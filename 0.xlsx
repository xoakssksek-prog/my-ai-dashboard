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1f3150794129c75/Desktop/DIEM/BAO CAO EP NHUA/AI/"/>
    </mc:Choice>
  </mc:AlternateContent>
  <xr:revisionPtr revIDLastSave="113" documentId="8_{C0AD0CA2-3160-44B1-8883-3FEEB7EB92A7}" xr6:coauthVersionLast="47" xr6:coauthVersionMax="47" xr10:uidLastSave="{E1D65464-4673-434A-972E-8DE46B9CE91A}"/>
  <bookViews>
    <workbookView xWindow="-120" yWindow="-120" windowWidth="29040" windowHeight="15720" xr2:uid="{00000000-000D-0000-FFFF-FFFF00000000}"/>
  </bookViews>
  <sheets>
    <sheet name="1호기" sheetId="1" r:id="rId1"/>
    <sheet name="2호기" sheetId="2" r:id="rId2"/>
    <sheet name="3호기" sheetId="3" r:id="rId3"/>
    <sheet name="4호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60" i="1" l="1"/>
  <c r="U160" i="1" s="1"/>
  <c r="J160" i="1"/>
  <c r="S159" i="1"/>
  <c r="U159" i="1" s="1"/>
  <c r="J159" i="1"/>
  <c r="S158" i="1"/>
  <c r="U158" i="1" s="1"/>
  <c r="J158" i="1"/>
  <c r="S157" i="1"/>
  <c r="U157" i="1" s="1"/>
  <c r="J157" i="1"/>
  <c r="S156" i="1"/>
  <c r="U156" i="1" s="1"/>
  <c r="J156" i="1"/>
  <c r="S155" i="1"/>
  <c r="U155" i="1" s="1"/>
  <c r="J155" i="1"/>
  <c r="S154" i="1"/>
  <c r="U154" i="1" s="1"/>
  <c r="J154" i="1"/>
  <c r="S153" i="1"/>
  <c r="U153" i="1" s="1"/>
  <c r="J153" i="1"/>
  <c r="S152" i="1"/>
  <c r="U152" i="1" s="1"/>
  <c r="J152" i="1"/>
  <c r="S151" i="1"/>
  <c r="U151" i="1" s="1"/>
  <c r="J151" i="1"/>
  <c r="S150" i="1"/>
  <c r="U150" i="1" s="1"/>
  <c r="J150" i="1"/>
  <c r="S149" i="1"/>
  <c r="U149" i="1" s="1"/>
  <c r="J149" i="1"/>
  <c r="S160" i="2"/>
  <c r="U160" i="2" s="1"/>
  <c r="J160" i="2"/>
  <c r="S159" i="2"/>
  <c r="U159" i="2" s="1"/>
  <c r="J159" i="2"/>
  <c r="S158" i="2"/>
  <c r="U158" i="2" s="1"/>
  <c r="J158" i="2"/>
  <c r="S157" i="2"/>
  <c r="U157" i="2" s="1"/>
  <c r="J157" i="2"/>
  <c r="S156" i="2"/>
  <c r="U156" i="2" s="1"/>
  <c r="J156" i="2"/>
  <c r="S155" i="2"/>
  <c r="U155" i="2" s="1"/>
  <c r="J155" i="2"/>
  <c r="S154" i="2"/>
  <c r="U154" i="2" s="1"/>
  <c r="J154" i="2"/>
  <c r="S153" i="2"/>
  <c r="U153" i="2" s="1"/>
  <c r="J153" i="2"/>
  <c r="S152" i="2"/>
  <c r="U152" i="2" s="1"/>
  <c r="J152" i="2"/>
  <c r="S151" i="2"/>
  <c r="U151" i="2" s="1"/>
  <c r="J151" i="2"/>
  <c r="S150" i="2"/>
  <c r="U150" i="2" s="1"/>
  <c r="J150" i="2"/>
  <c r="S149" i="2"/>
  <c r="U149" i="2" s="1"/>
  <c r="J149" i="2"/>
  <c r="S160" i="3"/>
  <c r="U160" i="3" s="1"/>
  <c r="J160" i="3"/>
  <c r="S159" i="3"/>
  <c r="U159" i="3" s="1"/>
  <c r="J159" i="3"/>
  <c r="S158" i="3"/>
  <c r="U158" i="3" s="1"/>
  <c r="J158" i="3"/>
  <c r="S157" i="3"/>
  <c r="U157" i="3" s="1"/>
  <c r="J157" i="3"/>
  <c r="S156" i="3"/>
  <c r="U156" i="3" s="1"/>
  <c r="J156" i="3"/>
  <c r="S155" i="3"/>
  <c r="U155" i="3" s="1"/>
  <c r="J155" i="3"/>
  <c r="S154" i="3"/>
  <c r="U154" i="3" s="1"/>
  <c r="J154" i="3"/>
  <c r="S153" i="3"/>
  <c r="U153" i="3" s="1"/>
  <c r="J153" i="3"/>
  <c r="S152" i="3"/>
  <c r="U152" i="3" s="1"/>
  <c r="J152" i="3"/>
  <c r="S151" i="3"/>
  <c r="U151" i="3" s="1"/>
  <c r="J151" i="3"/>
  <c r="S150" i="3"/>
  <c r="U150" i="3" s="1"/>
  <c r="J150" i="3"/>
  <c r="S149" i="3"/>
  <c r="U149" i="3" s="1"/>
  <c r="J149" i="3"/>
  <c r="S160" i="4"/>
  <c r="U160" i="4" s="1"/>
  <c r="J160" i="4"/>
  <c r="S159" i="4"/>
  <c r="U159" i="4" s="1"/>
  <c r="J159" i="4"/>
  <c r="S158" i="4"/>
  <c r="U158" i="4" s="1"/>
  <c r="J158" i="4"/>
  <c r="S157" i="4"/>
  <c r="U157" i="4" s="1"/>
  <c r="J157" i="4"/>
  <c r="S156" i="4"/>
  <c r="U156" i="4" s="1"/>
  <c r="J156" i="4"/>
  <c r="S155" i="4"/>
  <c r="U155" i="4" s="1"/>
  <c r="J155" i="4"/>
  <c r="S154" i="4"/>
  <c r="U154" i="4" s="1"/>
  <c r="J154" i="4"/>
  <c r="S153" i="4"/>
  <c r="U153" i="4" s="1"/>
  <c r="J153" i="4"/>
  <c r="S152" i="4"/>
  <c r="U152" i="4" s="1"/>
  <c r="J152" i="4"/>
  <c r="S151" i="4"/>
  <c r="U151" i="4" s="1"/>
  <c r="J151" i="4"/>
  <c r="S150" i="4"/>
  <c r="U150" i="4" s="1"/>
  <c r="J150" i="4"/>
  <c r="S149" i="4"/>
  <c r="U149" i="4" s="1"/>
  <c r="J149" i="4"/>
  <c r="S22" i="1"/>
  <c r="S148" i="4" l="1"/>
  <c r="U148" i="4" s="1"/>
  <c r="J148" i="4"/>
  <c r="S147" i="4"/>
  <c r="U147" i="4" s="1"/>
  <c r="J147" i="4"/>
  <c r="S146" i="4"/>
  <c r="U146" i="4" s="1"/>
  <c r="S145" i="4"/>
  <c r="J145" i="4" s="1"/>
  <c r="S144" i="4"/>
  <c r="J144" i="4" s="1"/>
  <c r="U143" i="4"/>
  <c r="S143" i="4"/>
  <c r="J143" i="4" s="1"/>
  <c r="S142" i="4"/>
  <c r="U142" i="4" s="1"/>
  <c r="J142" i="4"/>
  <c r="U141" i="4"/>
  <c r="S141" i="4"/>
  <c r="J141" i="4"/>
  <c r="S140" i="4"/>
  <c r="U140" i="4" s="1"/>
  <c r="J140" i="4"/>
  <c r="S139" i="4"/>
  <c r="U139" i="4" s="1"/>
  <c r="J139" i="4"/>
  <c r="S138" i="4"/>
  <c r="J138" i="4" s="1"/>
  <c r="S137" i="4"/>
  <c r="U137" i="4" s="1"/>
  <c r="J137" i="4"/>
  <c r="S148" i="3"/>
  <c r="U148" i="3" s="1"/>
  <c r="J148" i="3"/>
  <c r="S147" i="3"/>
  <c r="U147" i="3" s="1"/>
  <c r="U146" i="3"/>
  <c r="S146" i="3"/>
  <c r="J146" i="3" s="1"/>
  <c r="S145" i="3"/>
  <c r="U145" i="3" s="1"/>
  <c r="J145" i="3"/>
  <c r="S144" i="3"/>
  <c r="J144" i="3" s="1"/>
  <c r="U143" i="3"/>
  <c r="S143" i="3"/>
  <c r="J143" i="3"/>
  <c r="U142" i="3"/>
  <c r="S142" i="3"/>
  <c r="J142" i="3"/>
  <c r="S141" i="3"/>
  <c r="U141" i="3" s="1"/>
  <c r="S140" i="3"/>
  <c r="U140" i="3" s="1"/>
  <c r="J140" i="3"/>
  <c r="S139" i="3"/>
  <c r="U139" i="3" s="1"/>
  <c r="J139" i="3"/>
  <c r="S138" i="3"/>
  <c r="J138" i="3" s="1"/>
  <c r="S137" i="3"/>
  <c r="U137" i="3" s="1"/>
  <c r="S148" i="2"/>
  <c r="J148" i="2" s="1"/>
  <c r="U147" i="2"/>
  <c r="S147" i="2"/>
  <c r="J147" i="2"/>
  <c r="S146" i="2"/>
  <c r="U146" i="2" s="1"/>
  <c r="S145" i="2"/>
  <c r="U145" i="2" s="1"/>
  <c r="J145" i="2"/>
  <c r="S144" i="2"/>
  <c r="J144" i="2" s="1"/>
  <c r="S143" i="2"/>
  <c r="U143" i="2" s="1"/>
  <c r="J143" i="2"/>
  <c r="S142" i="2"/>
  <c r="U142" i="2" s="1"/>
  <c r="U141" i="2"/>
  <c r="S141" i="2"/>
  <c r="J141" i="2"/>
  <c r="S140" i="2"/>
  <c r="J140" i="2" s="1"/>
  <c r="S139" i="2"/>
  <c r="U139" i="2" s="1"/>
  <c r="J139" i="2"/>
  <c r="U138" i="2"/>
  <c r="S138" i="2"/>
  <c r="J138" i="2"/>
  <c r="U137" i="2"/>
  <c r="S137" i="2"/>
  <c r="J137" i="2"/>
  <c r="S148" i="1"/>
  <c r="U148" i="1" s="1"/>
  <c r="S147" i="1"/>
  <c r="J147" i="1" s="1"/>
  <c r="S146" i="1"/>
  <c r="J146" i="1" s="1"/>
  <c r="S145" i="1"/>
  <c r="U145" i="1" s="1"/>
  <c r="S144" i="1"/>
  <c r="U144" i="1" s="1"/>
  <c r="J144" i="1"/>
  <c r="S143" i="1"/>
  <c r="U143" i="1" s="1"/>
  <c r="S142" i="1"/>
  <c r="J142" i="1" s="1"/>
  <c r="S141" i="1"/>
  <c r="U141" i="1" s="1"/>
  <c r="S140" i="1"/>
  <c r="U140" i="1" s="1"/>
  <c r="S139" i="1"/>
  <c r="U139" i="1" s="1"/>
  <c r="S138" i="1"/>
  <c r="U138" i="1" s="1"/>
  <c r="S137" i="1"/>
  <c r="U137" i="1" s="1"/>
  <c r="J148" i="1" l="1"/>
  <c r="J138" i="1"/>
  <c r="J145" i="1"/>
  <c r="J140" i="1"/>
  <c r="J139" i="1"/>
  <c r="U142" i="1"/>
  <c r="U146" i="1"/>
  <c r="U147" i="1"/>
  <c r="J143" i="1"/>
  <c r="U144" i="4"/>
  <c r="U145" i="4"/>
  <c r="J146" i="4"/>
  <c r="U138" i="4"/>
  <c r="U144" i="3"/>
  <c r="U138" i="3"/>
  <c r="J141" i="3"/>
  <c r="J147" i="3"/>
  <c r="J137" i="3"/>
  <c r="U148" i="2"/>
  <c r="U144" i="2"/>
  <c r="U140" i="2"/>
  <c r="J146" i="2"/>
  <c r="J142" i="2"/>
  <c r="J137" i="1"/>
  <c r="J141" i="1"/>
  <c r="S136" i="4" l="1"/>
  <c r="U136" i="4" s="1"/>
  <c r="S135" i="4"/>
  <c r="U135" i="4" s="1"/>
  <c r="S134" i="4"/>
  <c r="J134" i="4" s="1"/>
  <c r="S133" i="4"/>
  <c r="U133" i="4" s="1"/>
  <c r="U132" i="4"/>
  <c r="S132" i="4"/>
  <c r="J132" i="4"/>
  <c r="S131" i="4"/>
  <c r="U131" i="4" s="1"/>
  <c r="S130" i="4"/>
  <c r="U130" i="4" s="1"/>
  <c r="J130" i="4"/>
  <c r="S129" i="4"/>
  <c r="U129" i="4" s="1"/>
  <c r="J129" i="4"/>
  <c r="S128" i="4"/>
  <c r="J128" i="4" s="1"/>
  <c r="S127" i="4"/>
  <c r="U127" i="4" s="1"/>
  <c r="S126" i="4"/>
  <c r="U126" i="4" s="1"/>
  <c r="S125" i="4"/>
  <c r="U125" i="4" s="1"/>
  <c r="U124" i="4"/>
  <c r="S124" i="4"/>
  <c r="J124" i="4"/>
  <c r="S123" i="4"/>
  <c r="J123" i="4" s="1"/>
  <c r="S122" i="4"/>
  <c r="U122" i="4" s="1"/>
  <c r="J122" i="4"/>
  <c r="S121" i="4"/>
  <c r="U121" i="4" s="1"/>
  <c r="S120" i="4"/>
  <c r="U120" i="4" s="1"/>
  <c r="S119" i="4"/>
  <c r="U119" i="4" s="1"/>
  <c r="S118" i="4"/>
  <c r="J118" i="4" s="1"/>
  <c r="S117" i="4"/>
  <c r="U117" i="4" s="1"/>
  <c r="U116" i="4"/>
  <c r="S116" i="4"/>
  <c r="J116" i="4"/>
  <c r="S115" i="4"/>
  <c r="U115" i="4" s="1"/>
  <c r="S114" i="4"/>
  <c r="U114" i="4" s="1"/>
  <c r="J114" i="4"/>
  <c r="S113" i="4"/>
  <c r="U113" i="4" s="1"/>
  <c r="J113" i="4"/>
  <c r="U112" i="4"/>
  <c r="S112" i="4"/>
  <c r="J112" i="4"/>
  <c r="S111" i="4"/>
  <c r="U111" i="4" s="1"/>
  <c r="S110" i="4"/>
  <c r="U110" i="4" s="1"/>
  <c r="S109" i="4"/>
  <c r="U109" i="4" s="1"/>
  <c r="S108" i="4"/>
  <c r="U108" i="4" s="1"/>
  <c r="S107" i="4"/>
  <c r="J107" i="4" s="1"/>
  <c r="U106" i="4"/>
  <c r="S106" i="4"/>
  <c r="J106" i="4"/>
  <c r="S105" i="4"/>
  <c r="U105" i="4" s="1"/>
  <c r="J105" i="4"/>
  <c r="S104" i="4"/>
  <c r="U104" i="4" s="1"/>
  <c r="J104" i="4"/>
  <c r="S103" i="4"/>
  <c r="U103" i="4" s="1"/>
  <c r="S102" i="4"/>
  <c r="J102" i="4" s="1"/>
  <c r="S101" i="4"/>
  <c r="U101" i="4" s="1"/>
  <c r="U100" i="4"/>
  <c r="S100" i="4"/>
  <c r="J100" i="4"/>
  <c r="S99" i="4"/>
  <c r="U99" i="4" s="1"/>
  <c r="J99" i="4"/>
  <c r="S98" i="4"/>
  <c r="U98" i="4" s="1"/>
  <c r="S97" i="4"/>
  <c r="U97" i="4" s="1"/>
  <c r="S96" i="4"/>
  <c r="J96" i="4" s="1"/>
  <c r="S95" i="4"/>
  <c r="U95" i="4" s="1"/>
  <c r="S94" i="4"/>
  <c r="U94" i="4" s="1"/>
  <c r="J94" i="4"/>
  <c r="S93" i="4"/>
  <c r="U93" i="4" s="1"/>
  <c r="S92" i="4"/>
  <c r="U92" i="4" s="1"/>
  <c r="J92" i="4"/>
  <c r="U91" i="4"/>
  <c r="S91" i="4"/>
  <c r="J91" i="4" s="1"/>
  <c r="U90" i="4"/>
  <c r="S90" i="4"/>
  <c r="J90" i="4"/>
  <c r="S89" i="4"/>
  <c r="U89" i="4" s="1"/>
  <c r="S88" i="4"/>
  <c r="U88" i="4" s="1"/>
  <c r="J88" i="4"/>
  <c r="S87" i="4"/>
  <c r="U87" i="4" s="1"/>
  <c r="J87" i="4"/>
  <c r="S86" i="4"/>
  <c r="J86" i="4" s="1"/>
  <c r="S85" i="4"/>
  <c r="U85" i="4" s="1"/>
  <c r="S84" i="4"/>
  <c r="U84" i="4" s="1"/>
  <c r="J84" i="4"/>
  <c r="S83" i="4"/>
  <c r="U83" i="4" s="1"/>
  <c r="S82" i="4"/>
  <c r="U82" i="4" s="1"/>
  <c r="J82" i="4"/>
  <c r="S81" i="4"/>
  <c r="U81" i="4" s="1"/>
  <c r="J81" i="4"/>
  <c r="U80" i="4"/>
  <c r="S80" i="4"/>
  <c r="J80" i="4"/>
  <c r="S79" i="4"/>
  <c r="U79" i="4" s="1"/>
  <c r="S78" i="4"/>
  <c r="U78" i="4" s="1"/>
  <c r="S77" i="4"/>
  <c r="U77" i="4" s="1"/>
  <c r="J77" i="4"/>
  <c r="S76" i="4"/>
  <c r="U76" i="4" s="1"/>
  <c r="S75" i="4"/>
  <c r="J75" i="4" s="1"/>
  <c r="S74" i="4"/>
  <c r="U74" i="4" s="1"/>
  <c r="J74" i="4"/>
  <c r="S73" i="4"/>
  <c r="U73" i="4" s="1"/>
  <c r="S72" i="4"/>
  <c r="U72" i="4" s="1"/>
  <c r="S71" i="4"/>
  <c r="U71" i="4" s="1"/>
  <c r="S70" i="4"/>
  <c r="J70" i="4" s="1"/>
  <c r="S69" i="4"/>
  <c r="U69" i="4" s="1"/>
  <c r="S68" i="4"/>
  <c r="U68" i="4" s="1"/>
  <c r="J68" i="4"/>
  <c r="S67" i="4"/>
  <c r="U67" i="4" s="1"/>
  <c r="S66" i="4"/>
  <c r="U66" i="4" s="1"/>
  <c r="J66" i="4"/>
  <c r="S65" i="4"/>
  <c r="U65" i="4" s="1"/>
  <c r="S64" i="4"/>
  <c r="U64" i="4" s="1"/>
  <c r="S63" i="4"/>
  <c r="U63" i="4" s="1"/>
  <c r="S62" i="4"/>
  <c r="U62" i="4" s="1"/>
  <c r="S61" i="4"/>
  <c r="U61" i="4" s="1"/>
  <c r="S60" i="4"/>
  <c r="U60" i="4" s="1"/>
  <c r="S59" i="4"/>
  <c r="J59" i="4" s="1"/>
  <c r="S58" i="4"/>
  <c r="U58" i="4" s="1"/>
  <c r="J58" i="4"/>
  <c r="S57" i="4"/>
  <c r="U57" i="4" s="1"/>
  <c r="S56" i="4"/>
  <c r="U56" i="4" s="1"/>
  <c r="J56" i="4"/>
  <c r="S55" i="4"/>
  <c r="U55" i="4" s="1"/>
  <c r="S54" i="4"/>
  <c r="J54" i="4" s="1"/>
  <c r="S53" i="4"/>
  <c r="U53" i="4" s="1"/>
  <c r="U52" i="4"/>
  <c r="S52" i="4"/>
  <c r="J52" i="4"/>
  <c r="S51" i="4"/>
  <c r="U51" i="4" s="1"/>
  <c r="J51" i="4"/>
  <c r="S50" i="4"/>
  <c r="U50" i="4" s="1"/>
  <c r="J50" i="4"/>
  <c r="S49" i="4"/>
  <c r="U49" i="4" s="1"/>
  <c r="J49" i="4"/>
  <c r="U48" i="4"/>
  <c r="S48" i="4"/>
  <c r="J48" i="4"/>
  <c r="S47" i="4"/>
  <c r="U47" i="4" s="1"/>
  <c r="S46" i="4"/>
  <c r="U46" i="4" s="1"/>
  <c r="J46" i="4"/>
  <c r="S45" i="4"/>
  <c r="U45" i="4" s="1"/>
  <c r="J45" i="4"/>
  <c r="S44" i="4"/>
  <c r="U44" i="4" s="1"/>
  <c r="J44" i="4"/>
  <c r="S43" i="4"/>
  <c r="J43" i="4" s="1"/>
  <c r="U42" i="4"/>
  <c r="S42" i="4"/>
  <c r="J42" i="4"/>
  <c r="S41" i="4"/>
  <c r="U41" i="4" s="1"/>
  <c r="S40" i="4"/>
  <c r="U40" i="4" s="1"/>
  <c r="S39" i="4"/>
  <c r="U39" i="4" s="1"/>
  <c r="S38" i="4"/>
  <c r="J38" i="4" s="1"/>
  <c r="S37" i="4"/>
  <c r="U37" i="4" s="1"/>
  <c r="S36" i="4"/>
  <c r="U36" i="4" s="1"/>
  <c r="S35" i="4"/>
  <c r="U35" i="4" s="1"/>
  <c r="S34" i="4"/>
  <c r="U34" i="4" s="1"/>
  <c r="S33" i="4"/>
  <c r="U33" i="4" s="1"/>
  <c r="S32" i="4"/>
  <c r="U32" i="4" s="1"/>
  <c r="J32" i="4"/>
  <c r="S31" i="4"/>
  <c r="U31" i="4" s="1"/>
  <c r="S30" i="4"/>
  <c r="U30" i="4" s="1"/>
  <c r="S29" i="4"/>
  <c r="U29" i="4" s="1"/>
  <c r="J29" i="4"/>
  <c r="S28" i="4"/>
  <c r="U28" i="4" s="1"/>
  <c r="J28" i="4"/>
  <c r="S27" i="4"/>
  <c r="J27" i="4" s="1"/>
  <c r="S26" i="4"/>
  <c r="U26" i="4" s="1"/>
  <c r="J26" i="4"/>
  <c r="S25" i="4"/>
  <c r="U25" i="4" s="1"/>
  <c r="S24" i="4"/>
  <c r="U24" i="4" s="1"/>
  <c r="J24" i="4"/>
  <c r="S23" i="4"/>
  <c r="U23" i="4" s="1"/>
  <c r="J23" i="4"/>
  <c r="S22" i="4"/>
  <c r="U22" i="4" s="1"/>
  <c r="S21" i="4"/>
  <c r="U21" i="4" s="1"/>
  <c r="S20" i="4"/>
  <c r="U20" i="4" s="1"/>
  <c r="J20" i="4"/>
  <c r="S19" i="4"/>
  <c r="U19" i="4" s="1"/>
  <c r="S18" i="4"/>
  <c r="U18" i="4" s="1"/>
  <c r="S17" i="4"/>
  <c r="U17" i="4" s="1"/>
  <c r="S136" i="3"/>
  <c r="U136" i="3" s="1"/>
  <c r="S135" i="3"/>
  <c r="U135" i="3" s="1"/>
  <c r="S134" i="3"/>
  <c r="U134" i="3" s="1"/>
  <c r="S133" i="3"/>
  <c r="U133" i="3" s="1"/>
  <c r="S132" i="3"/>
  <c r="U132" i="3" s="1"/>
  <c r="S131" i="3"/>
  <c r="U131" i="3" s="1"/>
  <c r="S130" i="3"/>
  <c r="U130" i="3" s="1"/>
  <c r="S129" i="3"/>
  <c r="J129" i="3" s="1"/>
  <c r="S128" i="3"/>
  <c r="U128" i="3" s="1"/>
  <c r="S127" i="3"/>
  <c r="J127" i="3" s="1"/>
  <c r="S126" i="3"/>
  <c r="J126" i="3" s="1"/>
  <c r="S125" i="3"/>
  <c r="U125" i="3" s="1"/>
  <c r="S124" i="3"/>
  <c r="U124" i="3" s="1"/>
  <c r="S123" i="3"/>
  <c r="U123" i="3" s="1"/>
  <c r="S122" i="3"/>
  <c r="U122" i="3" s="1"/>
  <c r="S121" i="3"/>
  <c r="U121" i="3" s="1"/>
  <c r="S120" i="3"/>
  <c r="U120" i="3" s="1"/>
  <c r="S119" i="3"/>
  <c r="U119" i="3" s="1"/>
  <c r="S118" i="3"/>
  <c r="U118" i="3" s="1"/>
  <c r="S117" i="3"/>
  <c r="U117" i="3" s="1"/>
  <c r="J117" i="3"/>
  <c r="S116" i="3"/>
  <c r="U116" i="3" s="1"/>
  <c r="U115" i="3"/>
  <c r="S115" i="3"/>
  <c r="J115" i="3" s="1"/>
  <c r="S114" i="3"/>
  <c r="U114" i="3" s="1"/>
  <c r="S113" i="3"/>
  <c r="U113" i="3" s="1"/>
  <c r="U112" i="3"/>
  <c r="S112" i="3"/>
  <c r="J112" i="3"/>
  <c r="U111" i="3"/>
  <c r="S111" i="3"/>
  <c r="J111" i="3" s="1"/>
  <c r="S110" i="3"/>
  <c r="J110" i="3" s="1"/>
  <c r="S109" i="3"/>
  <c r="U109" i="3" s="1"/>
  <c r="J109" i="3"/>
  <c r="S108" i="3"/>
  <c r="U108" i="3" s="1"/>
  <c r="S107" i="3"/>
  <c r="U107" i="3" s="1"/>
  <c r="S106" i="3"/>
  <c r="U106" i="3" s="1"/>
  <c r="S105" i="3"/>
  <c r="U105" i="3" s="1"/>
  <c r="J105" i="3"/>
  <c r="S104" i="3"/>
  <c r="U104" i="3" s="1"/>
  <c r="S103" i="3"/>
  <c r="U103" i="3" s="1"/>
  <c r="J103" i="3"/>
  <c r="U102" i="3"/>
  <c r="S102" i="3"/>
  <c r="J102" i="3"/>
  <c r="S101" i="3"/>
  <c r="U101" i="3" s="1"/>
  <c r="J101" i="3"/>
  <c r="S100" i="3"/>
  <c r="U100" i="3" s="1"/>
  <c r="J100" i="3"/>
  <c r="U99" i="3"/>
  <c r="S99" i="3"/>
  <c r="J99" i="3" s="1"/>
  <c r="S98" i="3"/>
  <c r="U98" i="3" s="1"/>
  <c r="S97" i="3"/>
  <c r="J97" i="3" s="1"/>
  <c r="S96" i="3"/>
  <c r="U96" i="3" s="1"/>
  <c r="J96" i="3"/>
  <c r="S95" i="3"/>
  <c r="J95" i="3" s="1"/>
  <c r="S94" i="3"/>
  <c r="J94" i="3" s="1"/>
  <c r="S93" i="3"/>
  <c r="U93" i="3" s="1"/>
  <c r="J93" i="3"/>
  <c r="S92" i="3"/>
  <c r="U92" i="3" s="1"/>
  <c r="S91" i="3"/>
  <c r="U91" i="3" s="1"/>
  <c r="S90" i="3"/>
  <c r="U90" i="3" s="1"/>
  <c r="S89" i="3"/>
  <c r="U89" i="3" s="1"/>
  <c r="S88" i="3"/>
  <c r="U88" i="3" s="1"/>
  <c r="S87" i="3"/>
  <c r="U87" i="3" s="1"/>
  <c r="J87" i="3"/>
  <c r="S86" i="3"/>
  <c r="U86" i="3" s="1"/>
  <c r="J86" i="3"/>
  <c r="S85" i="3"/>
  <c r="U85" i="3" s="1"/>
  <c r="S84" i="3"/>
  <c r="U84" i="3" s="1"/>
  <c r="J84" i="3"/>
  <c r="S83" i="3"/>
  <c r="U83" i="3" s="1"/>
  <c r="S82" i="3"/>
  <c r="U82" i="3" s="1"/>
  <c r="J82" i="3"/>
  <c r="S81" i="3"/>
  <c r="U81" i="3" s="1"/>
  <c r="S80" i="3"/>
  <c r="U80" i="3" s="1"/>
  <c r="J80" i="3"/>
  <c r="S79" i="3"/>
  <c r="J79" i="3" s="1"/>
  <c r="S78" i="3"/>
  <c r="J78" i="3" s="1"/>
  <c r="S77" i="3"/>
  <c r="U77" i="3" s="1"/>
  <c r="J77" i="3"/>
  <c r="S76" i="3"/>
  <c r="U76" i="3" s="1"/>
  <c r="S75" i="3"/>
  <c r="U75" i="3" s="1"/>
  <c r="S74" i="3"/>
  <c r="U74" i="3" s="1"/>
  <c r="S73" i="3"/>
  <c r="U73" i="3" s="1"/>
  <c r="J73" i="3"/>
  <c r="S72" i="3"/>
  <c r="U72" i="3" s="1"/>
  <c r="S71" i="3"/>
  <c r="U71" i="3" s="1"/>
  <c r="J71" i="3"/>
  <c r="U70" i="3"/>
  <c r="S70" i="3"/>
  <c r="J70" i="3" s="1"/>
  <c r="S69" i="3"/>
  <c r="U69" i="3" s="1"/>
  <c r="S68" i="3"/>
  <c r="U68" i="3" s="1"/>
  <c r="J68" i="3"/>
  <c r="S67" i="3"/>
  <c r="J67" i="3" s="1"/>
  <c r="S66" i="3"/>
  <c r="U66" i="3" s="1"/>
  <c r="J66" i="3"/>
  <c r="S65" i="3"/>
  <c r="J65" i="3" s="1"/>
  <c r="U64" i="3"/>
  <c r="S64" i="3"/>
  <c r="J64" i="3"/>
  <c r="S63" i="3"/>
  <c r="J63" i="3" s="1"/>
  <c r="S62" i="3"/>
  <c r="J62" i="3" s="1"/>
  <c r="S61" i="3"/>
  <c r="U61" i="3" s="1"/>
  <c r="S60" i="3"/>
  <c r="U60" i="3" s="1"/>
  <c r="S59" i="3"/>
  <c r="U59" i="3" s="1"/>
  <c r="S58" i="3"/>
  <c r="U58" i="3" s="1"/>
  <c r="S57" i="3"/>
  <c r="U57" i="3" s="1"/>
  <c r="J57" i="3"/>
  <c r="S56" i="3"/>
  <c r="U56" i="3" s="1"/>
  <c r="S55" i="3"/>
  <c r="U55" i="3" s="1"/>
  <c r="J55" i="3"/>
  <c r="S54" i="3"/>
  <c r="U54" i="3" s="1"/>
  <c r="J54" i="3"/>
  <c r="S53" i="3"/>
  <c r="U53" i="3" s="1"/>
  <c r="S52" i="3"/>
  <c r="U52" i="3" s="1"/>
  <c r="J52" i="3"/>
  <c r="S51" i="3"/>
  <c r="U51" i="3" s="1"/>
  <c r="J51" i="3"/>
  <c r="S50" i="3"/>
  <c r="U50" i="3" s="1"/>
  <c r="S49" i="3"/>
  <c r="U49" i="3" s="1"/>
  <c r="S48" i="3"/>
  <c r="J48" i="3" s="1"/>
  <c r="S47" i="3"/>
  <c r="J47" i="3" s="1"/>
  <c r="S46" i="3"/>
  <c r="J46" i="3" s="1"/>
  <c r="S45" i="3"/>
  <c r="U45" i="3" s="1"/>
  <c r="J45" i="3"/>
  <c r="S44" i="3"/>
  <c r="U44" i="3" s="1"/>
  <c r="S43" i="3"/>
  <c r="U43" i="3" s="1"/>
  <c r="S42" i="3"/>
  <c r="U42" i="3" s="1"/>
  <c r="S41" i="3"/>
  <c r="U41" i="3" s="1"/>
  <c r="S40" i="3"/>
  <c r="U40" i="3" s="1"/>
  <c r="S39" i="3"/>
  <c r="U39" i="3" s="1"/>
  <c r="S38" i="3"/>
  <c r="U38" i="3" s="1"/>
  <c r="J38" i="3"/>
  <c r="S37" i="3"/>
  <c r="U37" i="3" s="1"/>
  <c r="J37" i="3"/>
  <c r="S36" i="3"/>
  <c r="U36" i="3" s="1"/>
  <c r="J36" i="3"/>
  <c r="S35" i="3"/>
  <c r="J35" i="3" s="1"/>
  <c r="S34" i="3"/>
  <c r="U34" i="3" s="1"/>
  <c r="S33" i="3"/>
  <c r="U33" i="3" s="1"/>
  <c r="J33" i="3"/>
  <c r="S32" i="3"/>
  <c r="J32" i="3" s="1"/>
  <c r="S31" i="3"/>
  <c r="J31" i="3" s="1"/>
  <c r="S30" i="3"/>
  <c r="J30" i="3" s="1"/>
  <c r="S29" i="3"/>
  <c r="U29" i="3" s="1"/>
  <c r="J29" i="3"/>
  <c r="S28" i="3"/>
  <c r="U28" i="3" s="1"/>
  <c r="J28" i="3"/>
  <c r="S27" i="3"/>
  <c r="J27" i="3" s="1"/>
  <c r="S26" i="3"/>
  <c r="U26" i="3" s="1"/>
  <c r="S25" i="3"/>
  <c r="U25" i="3" s="1"/>
  <c r="J25" i="3"/>
  <c r="S24" i="3"/>
  <c r="U24" i="3" s="1"/>
  <c r="S23" i="3"/>
  <c r="U23" i="3" s="1"/>
  <c r="J23" i="3"/>
  <c r="S22" i="3"/>
  <c r="U22" i="3" s="1"/>
  <c r="J22" i="3"/>
  <c r="S21" i="3"/>
  <c r="U21" i="3" s="1"/>
  <c r="J21" i="3"/>
  <c r="S20" i="3"/>
  <c r="J20" i="3" s="1"/>
  <c r="S19" i="3"/>
  <c r="U19" i="3" s="1"/>
  <c r="S18" i="3"/>
  <c r="U18" i="3" s="1"/>
  <c r="J18" i="3"/>
  <c r="S17" i="3"/>
  <c r="U17" i="3" s="1"/>
  <c r="J17" i="3"/>
  <c r="S136" i="2"/>
  <c r="U136" i="2" s="1"/>
  <c r="J136" i="2"/>
  <c r="S135" i="2"/>
  <c r="U135" i="2" s="1"/>
  <c r="S134" i="2"/>
  <c r="U134" i="2" s="1"/>
  <c r="S133" i="2"/>
  <c r="U133" i="2" s="1"/>
  <c r="S132" i="2"/>
  <c r="U132" i="2" s="1"/>
  <c r="J132" i="2"/>
  <c r="S131" i="2"/>
  <c r="U131" i="2" s="1"/>
  <c r="S130" i="2"/>
  <c r="J130" i="2" s="1"/>
  <c r="S129" i="2"/>
  <c r="J129" i="2" s="1"/>
  <c r="S128" i="2"/>
  <c r="U128" i="2" s="1"/>
  <c r="S127" i="2"/>
  <c r="U127" i="2" s="1"/>
  <c r="S126" i="2"/>
  <c r="J126" i="2" s="1"/>
  <c r="S125" i="2"/>
  <c r="U125" i="2" s="1"/>
  <c r="S124" i="2"/>
  <c r="U124" i="2" s="1"/>
  <c r="S123" i="2"/>
  <c r="U123" i="2" s="1"/>
  <c r="S122" i="2"/>
  <c r="U122" i="2" s="1"/>
  <c r="J122" i="2"/>
  <c r="S121" i="2"/>
  <c r="U121" i="2" s="1"/>
  <c r="S120" i="2"/>
  <c r="U120" i="2" s="1"/>
  <c r="J120" i="2"/>
  <c r="S119" i="2"/>
  <c r="U119" i="2" s="1"/>
  <c r="S118" i="2"/>
  <c r="U118" i="2" s="1"/>
  <c r="J118" i="2"/>
  <c r="S117" i="2"/>
  <c r="U117" i="2" s="1"/>
  <c r="J117" i="2"/>
  <c r="S116" i="2"/>
  <c r="U116" i="2" s="1"/>
  <c r="J116" i="2"/>
  <c r="U115" i="2"/>
  <c r="S115" i="2"/>
  <c r="J115" i="2"/>
  <c r="U114" i="2"/>
  <c r="S114" i="2"/>
  <c r="J114" i="2" s="1"/>
  <c r="U113" i="2"/>
  <c r="S113" i="2"/>
  <c r="J113" i="2" s="1"/>
  <c r="S112" i="2"/>
  <c r="U112" i="2" s="1"/>
  <c r="J112" i="2"/>
  <c r="S111" i="2"/>
  <c r="U111" i="2" s="1"/>
  <c r="J111" i="2"/>
  <c r="S110" i="2"/>
  <c r="J110" i="2" s="1"/>
  <c r="S109" i="2"/>
  <c r="U109" i="2" s="1"/>
  <c r="S108" i="2"/>
  <c r="U108" i="2" s="1"/>
  <c r="S107" i="2"/>
  <c r="U107" i="2" s="1"/>
  <c r="J107" i="2"/>
  <c r="S106" i="2"/>
  <c r="U106" i="2" s="1"/>
  <c r="J106" i="2"/>
  <c r="S105" i="2"/>
  <c r="U105" i="2" s="1"/>
  <c r="J105" i="2"/>
  <c r="S104" i="2"/>
  <c r="U104" i="2" s="1"/>
  <c r="J104" i="2"/>
  <c r="S103" i="2"/>
  <c r="U103" i="2" s="1"/>
  <c r="J103" i="2"/>
  <c r="S102" i="2"/>
  <c r="U102" i="2" s="1"/>
  <c r="J102" i="2"/>
  <c r="S101" i="2"/>
  <c r="U101" i="2" s="1"/>
  <c r="J101" i="2"/>
  <c r="S100" i="2"/>
  <c r="U100" i="2" s="1"/>
  <c r="J100" i="2"/>
  <c r="U99" i="2"/>
  <c r="S99" i="2"/>
  <c r="J99" i="2"/>
  <c r="U98" i="2"/>
  <c r="S98" i="2"/>
  <c r="J98" i="2" s="1"/>
  <c r="U97" i="2"/>
  <c r="S97" i="2"/>
  <c r="J97" i="2" s="1"/>
  <c r="S96" i="2"/>
  <c r="U96" i="2" s="1"/>
  <c r="S95" i="2"/>
  <c r="U95" i="2" s="1"/>
  <c r="S94" i="2"/>
  <c r="J94" i="2" s="1"/>
  <c r="S93" i="2"/>
  <c r="U93" i="2" s="1"/>
  <c r="S92" i="2"/>
  <c r="U92" i="2" s="1"/>
  <c r="S91" i="2"/>
  <c r="U91" i="2" s="1"/>
  <c r="J91" i="2"/>
  <c r="S90" i="2"/>
  <c r="U90" i="2" s="1"/>
  <c r="J90" i="2"/>
  <c r="S89" i="2"/>
  <c r="U89" i="2" s="1"/>
  <c r="J89" i="2"/>
  <c r="S88" i="2"/>
  <c r="U88" i="2" s="1"/>
  <c r="S87" i="2"/>
  <c r="U87" i="2" s="1"/>
  <c r="S86" i="2"/>
  <c r="U86" i="2" s="1"/>
  <c r="J86" i="2"/>
  <c r="S85" i="2"/>
  <c r="U85" i="2" s="1"/>
  <c r="J85" i="2"/>
  <c r="S84" i="2"/>
  <c r="U84" i="2" s="1"/>
  <c r="S83" i="2"/>
  <c r="J83" i="2" s="1"/>
  <c r="S82" i="2"/>
  <c r="U82" i="2" s="1"/>
  <c r="J82" i="2"/>
  <c r="S81" i="2"/>
  <c r="U81" i="2" s="1"/>
  <c r="S80" i="2"/>
  <c r="U80" i="2" s="1"/>
  <c r="J80" i="2"/>
  <c r="S79" i="2"/>
  <c r="U79" i="2" s="1"/>
  <c r="S78" i="2"/>
  <c r="J78" i="2" s="1"/>
  <c r="S77" i="2"/>
  <c r="U77" i="2" s="1"/>
  <c r="S76" i="2"/>
  <c r="U76" i="2" s="1"/>
  <c r="S75" i="2"/>
  <c r="U75" i="2" s="1"/>
  <c r="S74" i="2"/>
  <c r="U74" i="2" s="1"/>
  <c r="S73" i="2"/>
  <c r="U73" i="2" s="1"/>
  <c r="S72" i="2"/>
  <c r="U72" i="2" s="1"/>
  <c r="S71" i="2"/>
  <c r="U71" i="2" s="1"/>
  <c r="S70" i="2"/>
  <c r="U70" i="2" s="1"/>
  <c r="J70" i="2"/>
  <c r="S69" i="2"/>
  <c r="U69" i="2" s="1"/>
  <c r="J69" i="2"/>
  <c r="S68" i="2"/>
  <c r="U68" i="2" s="1"/>
  <c r="S67" i="2"/>
  <c r="U67" i="2" s="1"/>
  <c r="S66" i="2"/>
  <c r="U66" i="2" s="1"/>
  <c r="J66" i="2"/>
  <c r="S65" i="2"/>
  <c r="U65" i="2" s="1"/>
  <c r="S64" i="2"/>
  <c r="U64" i="2" s="1"/>
  <c r="J64" i="2"/>
  <c r="S63" i="2"/>
  <c r="U63" i="2" s="1"/>
  <c r="J63" i="2"/>
  <c r="S62" i="2"/>
  <c r="J62" i="2" s="1"/>
  <c r="S61" i="2"/>
  <c r="U61" i="2" s="1"/>
  <c r="S60" i="2"/>
  <c r="U60" i="2" s="1"/>
  <c r="S59" i="2"/>
  <c r="U59" i="2" s="1"/>
  <c r="S58" i="2"/>
  <c r="U58" i="2" s="1"/>
  <c r="J58" i="2"/>
  <c r="S57" i="2"/>
  <c r="U57" i="2" s="1"/>
  <c r="S56" i="2"/>
  <c r="U56" i="2" s="1"/>
  <c r="S55" i="2"/>
  <c r="U55" i="2" s="1"/>
  <c r="J55" i="2"/>
  <c r="S54" i="2"/>
  <c r="U54" i="2" s="1"/>
  <c r="J54" i="2"/>
  <c r="S53" i="2"/>
  <c r="U53" i="2" s="1"/>
  <c r="S52" i="2"/>
  <c r="U52" i="2" s="1"/>
  <c r="S51" i="2"/>
  <c r="U51" i="2" s="1"/>
  <c r="J51" i="2"/>
  <c r="U50" i="2"/>
  <c r="S50" i="2"/>
  <c r="J50" i="2" s="1"/>
  <c r="S49" i="2"/>
  <c r="U49" i="2" s="1"/>
  <c r="J49" i="2"/>
  <c r="S48" i="2"/>
  <c r="U48" i="2" s="1"/>
  <c r="J48" i="2"/>
  <c r="S47" i="2"/>
  <c r="U47" i="2" s="1"/>
  <c r="J47" i="2"/>
  <c r="S46" i="2"/>
  <c r="J46" i="2" s="1"/>
  <c r="S45" i="2"/>
  <c r="U45" i="2" s="1"/>
  <c r="S44" i="2"/>
  <c r="U44" i="2" s="1"/>
  <c r="S43" i="2"/>
  <c r="U43" i="2" s="1"/>
  <c r="S42" i="2"/>
  <c r="U42" i="2" s="1"/>
  <c r="S41" i="2"/>
  <c r="U41" i="2" s="1"/>
  <c r="J41" i="2"/>
  <c r="S40" i="2"/>
  <c r="U40" i="2" s="1"/>
  <c r="J40" i="2"/>
  <c r="S39" i="2"/>
  <c r="U39" i="2" s="1"/>
  <c r="S38" i="2"/>
  <c r="U38" i="2" s="1"/>
  <c r="J38" i="2"/>
  <c r="S37" i="2"/>
  <c r="U37" i="2" s="1"/>
  <c r="J37" i="2"/>
  <c r="S36" i="2"/>
  <c r="U36" i="2" s="1"/>
  <c r="S35" i="2"/>
  <c r="U35" i="2" s="1"/>
  <c r="J35" i="2"/>
  <c r="S34" i="2"/>
  <c r="U34" i="2" s="1"/>
  <c r="J34" i="2"/>
  <c r="S33" i="2"/>
  <c r="U33" i="2" s="1"/>
  <c r="J33" i="2"/>
  <c r="S32" i="2"/>
  <c r="U32" i="2" s="1"/>
  <c r="S31" i="2"/>
  <c r="U31" i="2" s="1"/>
  <c r="S30" i="2"/>
  <c r="J30" i="2" s="1"/>
  <c r="S29" i="2"/>
  <c r="U29" i="2" s="1"/>
  <c r="S28" i="2"/>
  <c r="U28" i="2" s="1"/>
  <c r="S27" i="2"/>
  <c r="U27" i="2" s="1"/>
  <c r="J27" i="2"/>
  <c r="S26" i="2"/>
  <c r="U26" i="2" s="1"/>
  <c r="J26" i="2"/>
  <c r="S25" i="2"/>
  <c r="U25" i="2" s="1"/>
  <c r="J25" i="2"/>
  <c r="S24" i="2"/>
  <c r="U24" i="2" s="1"/>
  <c r="J24" i="2"/>
  <c r="S23" i="2"/>
  <c r="U23" i="2" s="1"/>
  <c r="J23" i="2"/>
  <c r="S22" i="2"/>
  <c r="U22" i="2" s="1"/>
  <c r="J22" i="2"/>
  <c r="S21" i="2"/>
  <c r="U21" i="2" s="1"/>
  <c r="J21" i="2"/>
  <c r="S20" i="2"/>
  <c r="U20" i="2" s="1"/>
  <c r="J20" i="2"/>
  <c r="S19" i="2"/>
  <c r="J19" i="2" s="1"/>
  <c r="S18" i="2"/>
  <c r="U18" i="2" s="1"/>
  <c r="J18" i="2"/>
  <c r="S17" i="2"/>
  <c r="U17" i="2" s="1"/>
  <c r="J17" i="2"/>
  <c r="U19" i="2" l="1"/>
  <c r="J52" i="2"/>
  <c r="J67" i="2"/>
  <c r="J31" i="2"/>
  <c r="J42" i="2"/>
  <c r="J81" i="2"/>
  <c r="J87" i="2"/>
  <c r="J36" i="2"/>
  <c r="J65" i="2"/>
  <c r="J32" i="2"/>
  <c r="J43" i="2"/>
  <c r="J88" i="2"/>
  <c r="U79" i="3"/>
  <c r="J19" i="3"/>
  <c r="J39" i="3"/>
  <c r="U47" i="3"/>
  <c r="U63" i="3"/>
  <c r="J69" i="3"/>
  <c r="J98" i="3"/>
  <c r="U67" i="3"/>
  <c r="J92" i="3"/>
  <c r="U20" i="3"/>
  <c r="J34" i="3"/>
  <c r="J41" i="3"/>
  <c r="J50" i="3"/>
  <c r="J85" i="3"/>
  <c r="U43" i="4"/>
  <c r="J57" i="4"/>
  <c r="J39" i="4"/>
  <c r="J33" i="4"/>
  <c r="J40" i="4"/>
  <c r="J34" i="4"/>
  <c r="J41" i="4"/>
  <c r="J35" i="4"/>
  <c r="U27" i="4"/>
  <c r="J30" i="4"/>
  <c r="J36" i="4"/>
  <c r="J73" i="4"/>
  <c r="J19" i="4"/>
  <c r="J25" i="4"/>
  <c r="J131" i="4"/>
  <c r="J136" i="4"/>
  <c r="J115" i="4"/>
  <c r="U107" i="4"/>
  <c r="J110" i="4"/>
  <c r="J109" i="4"/>
  <c r="J108" i="4"/>
  <c r="J103" i="4"/>
  <c r="J98" i="4"/>
  <c r="J97" i="4"/>
  <c r="U96" i="4"/>
  <c r="J89" i="4"/>
  <c r="J93" i="4"/>
  <c r="J83" i="4"/>
  <c r="J78" i="4"/>
  <c r="U95" i="3"/>
  <c r="J89" i="3"/>
  <c r="J83" i="3"/>
  <c r="J96" i="2"/>
  <c r="J95" i="2"/>
  <c r="J84" i="2"/>
  <c r="U83" i="2"/>
  <c r="J79" i="2"/>
  <c r="J65" i="4"/>
  <c r="J76" i="4"/>
  <c r="U75" i="4"/>
  <c r="J72" i="4"/>
  <c r="J71" i="4"/>
  <c r="J67" i="4"/>
  <c r="J76" i="3"/>
  <c r="J75" i="2"/>
  <c r="J74" i="2"/>
  <c r="J73" i="2"/>
  <c r="J72" i="2"/>
  <c r="J71" i="2"/>
  <c r="J68" i="2"/>
  <c r="J64" i="4"/>
  <c r="J62" i="4"/>
  <c r="J61" i="4"/>
  <c r="J60" i="4"/>
  <c r="U59" i="4"/>
  <c r="J55" i="4"/>
  <c r="J61" i="3"/>
  <c r="J60" i="3"/>
  <c r="J53" i="3"/>
  <c r="U48" i="3"/>
  <c r="J44" i="3"/>
  <c r="U35" i="3"/>
  <c r="U32" i="3"/>
  <c r="U31" i="3"/>
  <c r="J59" i="2"/>
  <c r="J57" i="2"/>
  <c r="J56" i="2"/>
  <c r="J53" i="2"/>
  <c r="J18" i="4"/>
  <c r="U130" i="2"/>
  <c r="J131" i="2"/>
  <c r="J135" i="2"/>
  <c r="J133" i="2"/>
  <c r="J134" i="2"/>
  <c r="J135" i="3"/>
  <c r="J133" i="3"/>
  <c r="J134" i="3"/>
  <c r="J114" i="3"/>
  <c r="J128" i="3"/>
  <c r="J108" i="3"/>
  <c r="J132" i="3"/>
  <c r="J116" i="3"/>
  <c r="J125" i="3"/>
  <c r="J118" i="3"/>
  <c r="U127" i="3"/>
  <c r="J121" i="3"/>
  <c r="J130" i="3"/>
  <c r="J131" i="3"/>
  <c r="J124" i="3"/>
  <c r="U128" i="4"/>
  <c r="J121" i="4"/>
  <c r="U123" i="4"/>
  <c r="J125" i="4"/>
  <c r="J119" i="4"/>
  <c r="J126" i="4"/>
  <c r="J120" i="4"/>
  <c r="J121" i="2"/>
  <c r="U129" i="2"/>
  <c r="J123" i="2"/>
  <c r="J127" i="2"/>
  <c r="J128" i="2"/>
  <c r="J17" i="4"/>
  <c r="J119" i="2"/>
  <c r="J119" i="3"/>
  <c r="U70" i="4"/>
  <c r="U118" i="4"/>
  <c r="J31" i="4"/>
  <c r="J47" i="4"/>
  <c r="J63" i="4"/>
  <c r="J79" i="4"/>
  <c r="J95" i="4"/>
  <c r="J111" i="4"/>
  <c r="J127" i="4"/>
  <c r="U102" i="4"/>
  <c r="J21" i="4"/>
  <c r="J37" i="4"/>
  <c r="J53" i="4"/>
  <c r="J69" i="4"/>
  <c r="J85" i="4"/>
  <c r="J101" i="4"/>
  <c r="J117" i="4"/>
  <c r="J133" i="4"/>
  <c r="U86" i="4"/>
  <c r="U134" i="4"/>
  <c r="U38" i="4"/>
  <c r="U54" i="4"/>
  <c r="J22" i="4"/>
  <c r="J135" i="4"/>
  <c r="U65" i="3"/>
  <c r="U129" i="3"/>
  <c r="U30" i="3"/>
  <c r="U46" i="3"/>
  <c r="U62" i="3"/>
  <c r="U94" i="3"/>
  <c r="U110" i="3"/>
  <c r="U126" i="3"/>
  <c r="U78" i="3"/>
  <c r="J26" i="3"/>
  <c r="J42" i="3"/>
  <c r="J58" i="3"/>
  <c r="J74" i="3"/>
  <c r="J90" i="3"/>
  <c r="J106" i="3"/>
  <c r="J122" i="3"/>
  <c r="U27" i="3"/>
  <c r="U97" i="3"/>
  <c r="J43" i="3"/>
  <c r="J59" i="3"/>
  <c r="J75" i="3"/>
  <c r="J91" i="3"/>
  <c r="J107" i="3"/>
  <c r="J123" i="3"/>
  <c r="J49" i="3"/>
  <c r="J81" i="3"/>
  <c r="J113" i="3"/>
  <c r="J24" i="3"/>
  <c r="J40" i="3"/>
  <c r="J56" i="3"/>
  <c r="J72" i="3"/>
  <c r="J88" i="3"/>
  <c r="J104" i="3"/>
  <c r="J120" i="3"/>
  <c r="J136" i="3"/>
  <c r="U110" i="2"/>
  <c r="U62" i="2"/>
  <c r="U30" i="2"/>
  <c r="U94" i="2"/>
  <c r="J28" i="2"/>
  <c r="J44" i="2"/>
  <c r="J60" i="2"/>
  <c r="J76" i="2"/>
  <c r="J92" i="2"/>
  <c r="J108" i="2"/>
  <c r="J124" i="2"/>
  <c r="J39" i="2"/>
  <c r="U46" i="2"/>
  <c r="U78" i="2"/>
  <c r="U126" i="2"/>
  <c r="J29" i="2"/>
  <c r="J45" i="2"/>
  <c r="J61" i="2"/>
  <c r="J77" i="2"/>
  <c r="J93" i="2"/>
  <c r="J109" i="2"/>
  <c r="J125" i="2"/>
  <c r="S136" i="1"/>
  <c r="U136" i="1" s="1"/>
  <c r="S135" i="1"/>
  <c r="U135" i="1" s="1"/>
  <c r="S134" i="1"/>
  <c r="U134" i="1" s="1"/>
  <c r="S133" i="1"/>
  <c r="U133" i="1" s="1"/>
  <c r="S132" i="1"/>
  <c r="U132" i="1" s="1"/>
  <c r="S131" i="1"/>
  <c r="J131" i="1" s="1"/>
  <c r="S130" i="1"/>
  <c r="U130" i="1" s="1"/>
  <c r="S129" i="1"/>
  <c r="U129" i="1" s="1"/>
  <c r="S128" i="1"/>
  <c r="J128" i="1" s="1"/>
  <c r="S127" i="1"/>
  <c r="J127" i="1" s="1"/>
  <c r="S126" i="1"/>
  <c r="J126" i="1" s="1"/>
  <c r="S125" i="1"/>
  <c r="U125" i="1" s="1"/>
  <c r="S124" i="1"/>
  <c r="U124" i="1" s="1"/>
  <c r="S123" i="1"/>
  <c r="U123" i="1" s="1"/>
  <c r="S122" i="1"/>
  <c r="U122" i="1" s="1"/>
  <c r="S121" i="1"/>
  <c r="U121" i="1" s="1"/>
  <c r="S120" i="1"/>
  <c r="U120" i="1" s="1"/>
  <c r="S119" i="1"/>
  <c r="J119" i="1" s="1"/>
  <c r="S118" i="1"/>
  <c r="U118" i="1" s="1"/>
  <c r="S117" i="1"/>
  <c r="U117" i="1" s="1"/>
  <c r="S116" i="1"/>
  <c r="J116" i="1" s="1"/>
  <c r="S115" i="1"/>
  <c r="J115" i="1" s="1"/>
  <c r="S114" i="1"/>
  <c r="J114" i="1" s="1"/>
  <c r="S113" i="1"/>
  <c r="U113" i="1" s="1"/>
  <c r="S112" i="1"/>
  <c r="U112" i="1" s="1"/>
  <c r="S111" i="1"/>
  <c r="U111" i="1" s="1"/>
  <c r="S110" i="1"/>
  <c r="U110" i="1" s="1"/>
  <c r="S109" i="1"/>
  <c r="U109" i="1" s="1"/>
  <c r="S108" i="1"/>
  <c r="U108" i="1" s="1"/>
  <c r="S107" i="1"/>
  <c r="U107" i="1" s="1"/>
  <c r="S106" i="1"/>
  <c r="U106" i="1" s="1"/>
  <c r="S105" i="1"/>
  <c r="U105" i="1" s="1"/>
  <c r="S104" i="1"/>
  <c r="U104" i="1" s="1"/>
  <c r="S103" i="1"/>
  <c r="J103" i="1" s="1"/>
  <c r="S102" i="1"/>
  <c r="J102" i="1" s="1"/>
  <c r="S101" i="1"/>
  <c r="U101" i="1" s="1"/>
  <c r="S100" i="1"/>
  <c r="U100" i="1" s="1"/>
  <c r="S99" i="1"/>
  <c r="U99" i="1" s="1"/>
  <c r="S98" i="1"/>
  <c r="U98" i="1" s="1"/>
  <c r="S97" i="1"/>
  <c r="J97" i="1" s="1"/>
  <c r="S96" i="1"/>
  <c r="U96" i="1" s="1"/>
  <c r="S95" i="1"/>
  <c r="J95" i="1" s="1"/>
  <c r="S94" i="1"/>
  <c r="U94" i="1" s="1"/>
  <c r="S93" i="1"/>
  <c r="U93" i="1" s="1"/>
  <c r="S92" i="1"/>
  <c r="J92" i="1" s="1"/>
  <c r="S91" i="1"/>
  <c r="U91" i="1" s="1"/>
  <c r="S90" i="1"/>
  <c r="J90" i="1" s="1"/>
  <c r="S89" i="1"/>
  <c r="U89" i="1" s="1"/>
  <c r="S88" i="1"/>
  <c r="U88" i="1" s="1"/>
  <c r="S87" i="1"/>
  <c r="U87" i="1" s="1"/>
  <c r="S86" i="1"/>
  <c r="U86" i="1" s="1"/>
  <c r="S85" i="1"/>
  <c r="U85" i="1" s="1"/>
  <c r="S84" i="1"/>
  <c r="U84" i="1" s="1"/>
  <c r="S83" i="1"/>
  <c r="U83" i="1" s="1"/>
  <c r="S82" i="1"/>
  <c r="U82" i="1" s="1"/>
  <c r="S81" i="1"/>
  <c r="U81" i="1" s="1"/>
  <c r="S80" i="1"/>
  <c r="J80" i="1" s="1"/>
  <c r="S79" i="1"/>
  <c r="U79" i="1" s="1"/>
  <c r="S78" i="1"/>
  <c r="U78" i="1" s="1"/>
  <c r="S77" i="1"/>
  <c r="U77" i="1" s="1"/>
  <c r="S76" i="1"/>
  <c r="U76" i="1" s="1"/>
  <c r="S75" i="1"/>
  <c r="U75" i="1" s="1"/>
  <c r="S74" i="1"/>
  <c r="U74" i="1" s="1"/>
  <c r="S73" i="1"/>
  <c r="J73" i="1" s="1"/>
  <c r="S72" i="1"/>
  <c r="U72" i="1" s="1"/>
  <c r="S71" i="1"/>
  <c r="J71" i="1" s="1"/>
  <c r="S70" i="1"/>
  <c r="U70" i="1" s="1"/>
  <c r="S69" i="1"/>
  <c r="U69" i="1" s="1"/>
  <c r="S68" i="1"/>
  <c r="J68" i="1" s="1"/>
  <c r="S67" i="1"/>
  <c r="U67" i="1" s="1"/>
  <c r="S66" i="1"/>
  <c r="J66" i="1" s="1"/>
  <c r="S65" i="1"/>
  <c r="U65" i="1" s="1"/>
  <c r="S64" i="1"/>
  <c r="U64" i="1" s="1"/>
  <c r="S63" i="1"/>
  <c r="U63" i="1" s="1"/>
  <c r="S62" i="1"/>
  <c r="U62" i="1" s="1"/>
  <c r="S61" i="1"/>
  <c r="J61" i="1" s="1"/>
  <c r="S60" i="1"/>
  <c r="U60" i="1" s="1"/>
  <c r="S59" i="1"/>
  <c r="U59" i="1" s="1"/>
  <c r="S58" i="1"/>
  <c r="U58" i="1" s="1"/>
  <c r="S57" i="1"/>
  <c r="U57" i="1" s="1"/>
  <c r="S56" i="1"/>
  <c r="J56" i="1" s="1"/>
  <c r="S55" i="1"/>
  <c r="U55" i="1" s="1"/>
  <c r="S54" i="1"/>
  <c r="U54" i="1" s="1"/>
  <c r="S53" i="1"/>
  <c r="U53" i="1" s="1"/>
  <c r="S52" i="1"/>
  <c r="U52" i="1" s="1"/>
  <c r="S51" i="1"/>
  <c r="U51" i="1" s="1"/>
  <c r="S50" i="1"/>
  <c r="U50" i="1" s="1"/>
  <c r="S49" i="1"/>
  <c r="J49" i="1" s="1"/>
  <c r="S48" i="1"/>
  <c r="U48" i="1" s="1"/>
  <c r="S47" i="1"/>
  <c r="U47" i="1" s="1"/>
  <c r="S46" i="1"/>
  <c r="U46" i="1" s="1"/>
  <c r="S45" i="1"/>
  <c r="U45" i="1" s="1"/>
  <c r="S44" i="1"/>
  <c r="J44" i="1" s="1"/>
  <c r="S43" i="1"/>
  <c r="U43" i="1" s="1"/>
  <c r="S42" i="1"/>
  <c r="J42" i="1" s="1"/>
  <c r="S41" i="1"/>
  <c r="U41" i="1" s="1"/>
  <c r="S40" i="1"/>
  <c r="U40" i="1" s="1"/>
  <c r="S39" i="1"/>
  <c r="U39" i="1" s="1"/>
  <c r="S38" i="1"/>
  <c r="U38" i="1" s="1"/>
  <c r="S37" i="1"/>
  <c r="U37" i="1" s="1"/>
  <c r="S36" i="1"/>
  <c r="U36" i="1" s="1"/>
  <c r="S35" i="1"/>
  <c r="U35" i="1" s="1"/>
  <c r="S34" i="1"/>
  <c r="J34" i="1" s="1"/>
  <c r="S33" i="1"/>
  <c r="U33" i="1" s="1"/>
  <c r="S32" i="1"/>
  <c r="U32" i="1" s="1"/>
  <c r="S31" i="1"/>
  <c r="U31" i="1" s="1"/>
  <c r="S30" i="1"/>
  <c r="J30" i="1" s="1"/>
  <c r="S29" i="1"/>
  <c r="U29" i="1" s="1"/>
  <c r="S28" i="1"/>
  <c r="J28" i="1" s="1"/>
  <c r="S27" i="1"/>
  <c r="U27" i="1" s="1"/>
  <c r="S26" i="1"/>
  <c r="U26" i="1" s="1"/>
  <c r="S25" i="1"/>
  <c r="U25" i="1" s="1"/>
  <c r="S24" i="1"/>
  <c r="U24" i="1" s="1"/>
  <c r="S23" i="1"/>
  <c r="J23" i="1" s="1"/>
  <c r="J22" i="1"/>
  <c r="S21" i="1"/>
  <c r="U21" i="1" s="1"/>
  <c r="S20" i="1"/>
  <c r="J20" i="1" s="1"/>
  <c r="S19" i="1"/>
  <c r="J19" i="1" s="1"/>
  <c r="S18" i="1"/>
  <c r="U18" i="1" s="1"/>
  <c r="S17" i="1"/>
  <c r="U17" i="1" s="1"/>
  <c r="J74" i="1" l="1"/>
  <c r="J38" i="1"/>
  <c r="J39" i="1"/>
  <c r="J55" i="1"/>
  <c r="J84" i="1"/>
  <c r="J87" i="1"/>
  <c r="J100" i="1"/>
  <c r="J40" i="1"/>
  <c r="J41" i="1"/>
  <c r="J88" i="1"/>
  <c r="J52" i="1"/>
  <c r="J89" i="1"/>
  <c r="J54" i="1"/>
  <c r="J57" i="1"/>
  <c r="J58" i="1"/>
  <c r="J104" i="1"/>
  <c r="J105" i="1"/>
  <c r="J24" i="1"/>
  <c r="J70" i="1"/>
  <c r="J106" i="1"/>
  <c r="J25" i="1"/>
  <c r="J120" i="1"/>
  <c r="J118" i="1"/>
  <c r="J26" i="1"/>
  <c r="J72" i="1"/>
  <c r="J36" i="1"/>
  <c r="J122" i="1"/>
  <c r="J86" i="1"/>
  <c r="J129" i="1"/>
  <c r="J27" i="1"/>
  <c r="J130" i="1"/>
  <c r="J59" i="1"/>
  <c r="J17" i="1"/>
  <c r="J33" i="1"/>
  <c r="J65" i="1"/>
  <c r="J81" i="1"/>
  <c r="J113" i="1"/>
  <c r="J18" i="1"/>
  <c r="J50" i="1"/>
  <c r="J82" i="1"/>
  <c r="J98" i="1"/>
  <c r="J35" i="1"/>
  <c r="J51" i="1"/>
  <c r="J67" i="1"/>
  <c r="J83" i="1"/>
  <c r="J99" i="1"/>
  <c r="J132" i="1"/>
  <c r="J21" i="1"/>
  <c r="J37" i="1"/>
  <c r="J53" i="1"/>
  <c r="J69" i="1"/>
  <c r="J85" i="1"/>
  <c r="J101" i="1"/>
  <c r="J117" i="1"/>
  <c r="J133" i="1"/>
  <c r="J134" i="1"/>
  <c r="J135" i="1"/>
  <c r="J136" i="1"/>
  <c r="J121" i="1"/>
  <c r="J124" i="1"/>
  <c r="J60" i="1"/>
  <c r="J76" i="1"/>
  <c r="J108" i="1"/>
  <c r="J29" i="1"/>
  <c r="J45" i="1"/>
  <c r="J77" i="1"/>
  <c r="J93" i="1"/>
  <c r="J109" i="1"/>
  <c r="J125" i="1"/>
  <c r="J43" i="1"/>
  <c r="J75" i="1"/>
  <c r="J91" i="1"/>
  <c r="J107" i="1"/>
  <c r="J123" i="1"/>
  <c r="J46" i="1"/>
  <c r="J62" i="1"/>
  <c r="J78" i="1"/>
  <c r="J94" i="1"/>
  <c r="J110" i="1"/>
  <c r="J31" i="1"/>
  <c r="J47" i="1"/>
  <c r="J63" i="1"/>
  <c r="J79" i="1"/>
  <c r="J111" i="1"/>
  <c r="J32" i="1"/>
  <c r="J48" i="1"/>
  <c r="J64" i="1"/>
  <c r="J96" i="1"/>
  <c r="J112" i="1"/>
  <c r="U131" i="1"/>
  <c r="U49" i="1"/>
  <c r="U61" i="1"/>
  <c r="U71" i="1"/>
  <c r="U127" i="1"/>
  <c r="U80" i="1"/>
  <c r="U97" i="1"/>
  <c r="U95" i="1"/>
  <c r="U103" i="1"/>
  <c r="U119" i="1"/>
  <c r="U128" i="1"/>
  <c r="U73" i="1"/>
  <c r="U28" i="1"/>
  <c r="U115" i="1"/>
  <c r="U22" i="1"/>
  <c r="U20" i="1"/>
  <c r="U126" i="1"/>
  <c r="U114" i="1"/>
  <c r="U116" i="1"/>
  <c r="U102" i="1"/>
  <c r="U90" i="1"/>
  <c r="U92" i="1"/>
  <c r="U66" i="1"/>
  <c r="U68" i="1"/>
  <c r="U56" i="1"/>
  <c r="U42" i="1"/>
  <c r="U44" i="1"/>
  <c r="U30" i="1"/>
  <c r="U34" i="1"/>
  <c r="U19" i="1"/>
  <c r="U23" i="1"/>
</calcChain>
</file>

<file path=xl/sharedStrings.xml><?xml version="1.0" encoding="utf-8"?>
<sst xmlns="http://schemas.openxmlformats.org/spreadsheetml/2006/main" count="1234" uniqueCount="105">
  <si>
    <t>작업조</t>
  </si>
  <si>
    <t>작업자명</t>
  </si>
  <si>
    <t>불량유형</t>
  </si>
  <si>
    <t>손실금액(VND)</t>
  </si>
  <si>
    <t>스크래치</t>
  </si>
  <si>
    <t>오염</t>
  </si>
  <si>
    <t>일자</t>
  </si>
  <si>
    <t>TIME</t>
  </si>
  <si>
    <t>사출기</t>
  </si>
  <si>
    <t>1호기(ENGEL)</t>
  </si>
  <si>
    <t>2호기(ENGEL)</t>
  </si>
  <si>
    <t>3호기(우진)</t>
  </si>
  <si>
    <t>4호기(우진)</t>
  </si>
  <si>
    <t>가동</t>
  </si>
  <si>
    <t>1 호기(ENGEL)</t>
  </si>
  <si>
    <t>2 호기(ENGEL)</t>
  </si>
  <si>
    <t>3 호기(우진)</t>
  </si>
  <si>
    <t>4 호기(우진)</t>
  </si>
  <si>
    <t>-</t>
  </si>
  <si>
    <t>흑점</t>
  </si>
  <si>
    <t>기타</t>
  </si>
  <si>
    <t>색상차이</t>
  </si>
  <si>
    <t>조건 조정</t>
  </si>
  <si>
    <t>시작불량</t>
  </si>
  <si>
    <t>합계</t>
  </si>
  <si>
    <t>개당 금액</t>
  </si>
  <si>
    <t>양품 수량</t>
  </si>
  <si>
    <t>불량율</t>
  </si>
  <si>
    <t>A조</t>
  </si>
  <si>
    <t>B조</t>
  </si>
  <si>
    <t>구분</t>
  </si>
  <si>
    <t>■사출기 불량 실적 현황</t>
  </si>
  <si>
    <t>비고</t>
  </si>
  <si>
    <t xml:space="preserve">3. 사출 실적 현황 </t>
  </si>
  <si>
    <t>설비수리</t>
  </si>
  <si>
    <t>계획정지</t>
  </si>
  <si>
    <t>금형 청소</t>
  </si>
  <si>
    <t>기종</t>
  </si>
  <si>
    <t>T50 LIGHT</t>
    <phoneticPr fontId="3" type="noConversion"/>
  </si>
  <si>
    <t>S51</t>
    <phoneticPr fontId="3" type="noConversion"/>
  </si>
  <si>
    <t>ARM FARAME(WW)</t>
  </si>
  <si>
    <t>ARM FARAME(BK)</t>
  </si>
  <si>
    <t>690 base  flat (WW)</t>
  </si>
  <si>
    <t>690 base  flat (BK)</t>
  </si>
  <si>
    <t>690 FR (BK)</t>
  </si>
  <si>
    <t>690 FR (IG)</t>
  </si>
  <si>
    <t>690 FR (WW)</t>
  </si>
  <si>
    <t>T50 2PCS (BK)</t>
  </si>
  <si>
    <t>T50 2PCS (WW)</t>
  </si>
  <si>
    <t>T20 iloom (WW)</t>
  </si>
  <si>
    <t>T20 iloom (BK)</t>
  </si>
  <si>
    <t>T20 Fursys (WW)</t>
  </si>
  <si>
    <t>T20 Fursys  (BK)</t>
  </si>
  <si>
    <t>T20  SIDIZ (WW)</t>
  </si>
  <si>
    <t>T20 SIDIZ (BK)</t>
  </si>
  <si>
    <t>TC14 (BK)</t>
  </si>
  <si>
    <t>TC14 (WW)</t>
  </si>
  <si>
    <t>690 M (WW)</t>
  </si>
  <si>
    <t>690 M (BK)</t>
  </si>
  <si>
    <t>T40 (BK)</t>
  </si>
  <si>
    <t>T40 (WW)</t>
  </si>
  <si>
    <t>생산 기종</t>
  </si>
  <si>
    <t>Tên model</t>
  </si>
  <si>
    <t>Theo tổ</t>
  </si>
  <si>
    <t>Công nhân</t>
  </si>
  <si>
    <t>Hàng đạt</t>
  </si>
  <si>
    <t>Vết xước</t>
  </si>
  <si>
    <t>Bị bẩn</t>
  </si>
  <si>
    <t>Chấm đen</t>
  </si>
  <si>
    <t>GAS</t>
  </si>
  <si>
    <t>Lệch màu</t>
  </si>
  <si>
    <t>Chỉnh 
điều kiện</t>
  </si>
  <si>
    <t>Lỗi 
khởi động</t>
  </si>
  <si>
    <t>Khác</t>
  </si>
  <si>
    <t>DANH THÀNH</t>
  </si>
  <si>
    <t>ĐỖ VĂN NGHĨA</t>
  </si>
  <si>
    <t>TRẦN CÔNG DANH</t>
  </si>
  <si>
    <t>TÔ NHẬT HÀO</t>
  </si>
  <si>
    <t>NGUYỄN LAM MINH (Nữ)</t>
  </si>
  <si>
    <t>TRỊNH THANH TIỀN (Nữ)</t>
  </si>
  <si>
    <t xml:space="preserve">THÁI VĂN THÁNH </t>
  </si>
  <si>
    <t>LÊ CHÍ BẢO</t>
  </si>
  <si>
    <t>ĐÀO QUỐC SỮ</t>
  </si>
  <si>
    <t>HUỲNH MINH THƯ</t>
  </si>
  <si>
    <t>VÕ VĂN THUẬN</t>
  </si>
  <si>
    <t>HUỲNH VĂN PHƯỚC</t>
  </si>
  <si>
    <t>HUỲNH VĂN ĐÔ</t>
  </si>
  <si>
    <t>VÕ NHƯ THUẦN</t>
  </si>
  <si>
    <t>NGUYỄN CHÍ PHÚC</t>
  </si>
  <si>
    <t>NGUYỄN NGỌC SƠN</t>
  </si>
  <si>
    <t xml:space="preserve">TRẦN VĂN NHƠN    </t>
  </si>
  <si>
    <t>← 해당 색상 서식 외에는 절대 수정하지 마십시오.</t>
  </si>
  <si>
    <t xml:space="preserve">     ( Vui lòng không chỉnh sửa các nội dung ngoài định dạng màu sắc đã quy định)</t>
  </si>
  <si>
    <t xml:space="preserve"> ← 오전 10시 기준 가동 현황 기준 작성 할것.</t>
  </si>
  <si>
    <r>
      <rPr>
        <b/>
        <sz val="18"/>
        <color theme="1"/>
        <rFont val="조선굴림체"/>
        <family val="1"/>
        <charset val="129"/>
      </rPr>
      <t>1. 실시간 가동 현황</t>
    </r>
    <r>
      <rPr>
        <sz val="16"/>
        <color theme="1"/>
        <rFont val="조선굴림체"/>
        <family val="1"/>
        <charset val="129"/>
      </rPr>
      <t xml:space="preserve"> </t>
    </r>
  </si>
  <si>
    <t>2. 작업자 명단</t>
  </si>
  <si>
    <t xml:space="preserve">    (Lập báo cáo theo tình hình vận hành tại thời điểm 10 giờ sáng.)</t>
  </si>
  <si>
    <r>
      <t>※  조별 인원 변경 또는 신입사원 추가 시, 변경된 명단을 반영하여 등록</t>
    </r>
    <r>
      <rPr>
        <b/>
        <sz val="16"/>
        <color rgb="FFFF0000"/>
        <rFont val="조선굴림체"/>
        <family val="1"/>
        <charset val="129"/>
      </rPr>
      <t xml:space="preserve"> </t>
    </r>
    <r>
      <rPr>
        <sz val="16"/>
        <color rgb="FFFF0000"/>
        <rFont val="조선굴림체"/>
        <family val="1"/>
        <charset val="129"/>
      </rPr>
      <t>(Khi có thay đổi nhân sự theo tổ hoặc bổ sung nhân viên mới, vui lòng cập nhật và đăng ký theo danh sách đã điều chỉnh.)</t>
    </r>
  </si>
  <si>
    <t>수정 가능</t>
  </si>
  <si>
    <t xml:space="preserve">[작성: Diem 사원 ] </t>
  </si>
  <si>
    <t>LÂM THANH MINH</t>
  </si>
  <si>
    <t>T50 LIGHT</t>
  </si>
  <si>
    <t>S51</t>
  </si>
  <si>
    <t>A조
(NGUYỄN)</t>
  </si>
  <si>
    <t>B조
(NGỌC)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</si>
</sst>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27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조선굴림체"/>
      <family val="1"/>
      <charset val="129"/>
    </font>
    <font>
      <b/>
      <sz val="11"/>
      <color theme="1"/>
      <name val="조선굴림체"/>
      <family val="1"/>
      <charset val="129"/>
    </font>
    <font>
      <sz val="12"/>
      <color rgb="FF31333F"/>
      <name val="조선굴림체"/>
      <family val="1"/>
      <charset val="129"/>
    </font>
    <font>
      <b/>
      <sz val="14"/>
      <color rgb="FF31333F"/>
      <name val="조선굴림체"/>
      <family val="1"/>
      <charset val="129"/>
    </font>
    <font>
      <sz val="14"/>
      <color theme="1"/>
      <name val="조선굴림체"/>
      <family val="1"/>
      <charset val="129"/>
    </font>
    <font>
      <sz val="14"/>
      <color rgb="FF31333F"/>
      <name val="조선굴림체"/>
      <family val="1"/>
      <charset val="129"/>
    </font>
    <font>
      <b/>
      <sz val="14"/>
      <color rgb="FF1F1F1F"/>
      <name val="조선굴림체"/>
      <family val="1"/>
      <charset val="129"/>
    </font>
    <font>
      <sz val="14"/>
      <color rgb="FF1F1F1F"/>
      <name val="조선굴림체"/>
      <family val="1"/>
      <charset val="129"/>
    </font>
    <font>
      <sz val="14"/>
      <color theme="0" tint="-0.34998626667073579"/>
      <name val="조선굴림체"/>
      <family val="1"/>
      <charset val="129"/>
    </font>
    <font>
      <b/>
      <sz val="28"/>
      <color theme="1"/>
      <name val="조선굴림체"/>
      <family val="1"/>
      <charset val="129"/>
    </font>
    <font>
      <b/>
      <sz val="14"/>
      <color rgb="FFFF0000"/>
      <name val="조선굴림체"/>
      <family val="1"/>
      <charset val="129"/>
    </font>
    <font>
      <b/>
      <sz val="14"/>
      <color theme="0"/>
      <name val="조선굴림체"/>
      <family val="1"/>
      <charset val="129"/>
    </font>
    <font>
      <sz val="16"/>
      <color theme="1"/>
      <name val="조선굴림체"/>
      <family val="1"/>
      <charset val="129"/>
    </font>
    <font>
      <sz val="18"/>
      <color theme="1"/>
      <name val="조선굴림체"/>
      <family val="1"/>
      <charset val="129"/>
    </font>
    <font>
      <b/>
      <sz val="18"/>
      <color theme="1"/>
      <name val="조선굴림체"/>
      <family val="1"/>
      <charset val="129"/>
    </font>
    <font>
      <sz val="16"/>
      <color rgb="FFFF0000"/>
      <name val="조선굴림체"/>
      <family val="1"/>
      <charset val="129"/>
    </font>
    <font>
      <b/>
      <sz val="14"/>
      <color theme="0"/>
      <name val="Calibri"/>
      <family val="2"/>
      <charset val="129"/>
      <scheme val="minor"/>
    </font>
    <font>
      <b/>
      <sz val="14"/>
      <color theme="0"/>
      <name val="Arial"/>
      <family val="2"/>
      <charset val="129"/>
    </font>
    <font>
      <sz val="14"/>
      <color theme="0"/>
      <name val="조선굴림체"/>
      <family val="1"/>
      <charset val="129"/>
    </font>
    <font>
      <sz val="14"/>
      <color theme="1"/>
      <name val="Calibri Light"/>
      <family val="2"/>
      <scheme val="major"/>
    </font>
    <font>
      <sz val="14"/>
      <color rgb="FF31333F"/>
      <name val="Calibri"/>
      <family val="2"/>
      <scheme val="minor"/>
    </font>
    <font>
      <b/>
      <sz val="16"/>
      <color rgb="FFFF0000"/>
      <name val="조선굴림체"/>
      <family val="1"/>
      <charset val="129"/>
    </font>
    <font>
      <b/>
      <sz val="14"/>
      <color theme="1" tint="0.499984740745262"/>
      <name val="조선굴림체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hair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hair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 tint="0.34998626667073579"/>
      </top>
      <bottom/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2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20" fontId="11" fillId="2" borderId="11" xfId="0" applyNumberFormat="1" applyFont="1" applyFill="1" applyBorder="1" applyAlignment="1">
      <alignment horizontal="center" vertical="center" wrapText="1" readingOrder="1"/>
    </xf>
    <xf numFmtId="9" fontId="11" fillId="2" borderId="11" xfId="2" applyFont="1" applyFill="1" applyBorder="1" applyAlignment="1">
      <alignment horizontal="center" vertical="center" wrapText="1" readingOrder="1"/>
    </xf>
    <xf numFmtId="164" fontId="11" fillId="2" borderId="11" xfId="1" applyFont="1" applyFill="1" applyBorder="1" applyAlignment="1">
      <alignment horizontal="center" vertical="center" wrapText="1" readingOrder="1"/>
    </xf>
    <xf numFmtId="20" fontId="11" fillId="2" borderId="8" xfId="0" applyNumberFormat="1" applyFont="1" applyFill="1" applyBorder="1" applyAlignment="1">
      <alignment horizontal="center" vertical="center" wrapText="1" readingOrder="1"/>
    </xf>
    <xf numFmtId="9" fontId="11" fillId="2" borderId="8" xfId="2" applyFont="1" applyFill="1" applyBorder="1" applyAlignment="1">
      <alignment horizontal="center" vertical="center" wrapText="1" readingOrder="1"/>
    </xf>
    <xf numFmtId="164" fontId="11" fillId="2" borderId="8" xfId="1" applyFont="1" applyFill="1" applyBorder="1" applyAlignment="1">
      <alignment horizontal="center" vertical="center" wrapText="1" readingOrder="1"/>
    </xf>
    <xf numFmtId="0" fontId="12" fillId="2" borderId="0" xfId="0" applyFont="1" applyFill="1" applyAlignment="1">
      <alignment horizontal="center" vertical="center"/>
    </xf>
    <xf numFmtId="20" fontId="11" fillId="2" borderId="9" xfId="0" applyNumberFormat="1" applyFont="1" applyFill="1" applyBorder="1" applyAlignment="1">
      <alignment horizontal="center" vertical="center" wrapText="1" readingOrder="1"/>
    </xf>
    <xf numFmtId="164" fontId="11" fillId="2" borderId="9" xfId="1" applyFont="1" applyFill="1" applyBorder="1" applyAlignment="1">
      <alignment horizontal="center" vertical="center" wrapText="1" readingOrder="1"/>
    </xf>
    <xf numFmtId="20" fontId="11" fillId="2" borderId="10" xfId="0" applyNumberFormat="1" applyFont="1" applyFill="1" applyBorder="1" applyAlignment="1">
      <alignment horizontal="center" vertical="center" wrapText="1" readingOrder="1"/>
    </xf>
    <xf numFmtId="9" fontId="11" fillId="2" borderId="10" xfId="2" applyFont="1" applyFill="1" applyBorder="1" applyAlignment="1">
      <alignment horizontal="center" vertical="center" wrapText="1" readingOrder="1"/>
    </xf>
    <xf numFmtId="164" fontId="11" fillId="2" borderId="10" xfId="1" applyFont="1" applyFill="1" applyBorder="1" applyAlignment="1">
      <alignment horizontal="center" vertical="center" wrapText="1" readingOrder="1"/>
    </xf>
    <xf numFmtId="0" fontId="9" fillId="2" borderId="12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20" fillId="3" borderId="15" xfId="0" applyFont="1" applyFill="1" applyBorder="1" applyAlignment="1">
      <alignment horizontal="center"/>
    </xf>
    <xf numFmtId="0" fontId="21" fillId="3" borderId="15" xfId="0" applyFont="1" applyFill="1" applyBorder="1" applyAlignment="1">
      <alignment horizontal="center" wrapText="1"/>
    </xf>
    <xf numFmtId="0" fontId="22" fillId="3" borderId="1" xfId="0" applyFont="1" applyFill="1" applyBorder="1" applyAlignment="1">
      <alignment horizontal="center" vertical="center"/>
    </xf>
    <xf numFmtId="164" fontId="22" fillId="3" borderId="1" xfId="1" applyFont="1" applyFill="1" applyBorder="1" applyAlignment="1">
      <alignment horizontal="center" vertical="center" wrapText="1" readingOrder="1"/>
    </xf>
    <xf numFmtId="0" fontId="15" fillId="3" borderId="1" xfId="0" applyFont="1" applyFill="1" applyBorder="1" applyAlignment="1">
      <alignment horizontal="center" vertical="center" wrapText="1" readingOrder="1"/>
    </xf>
    <xf numFmtId="0" fontId="4" fillId="2" borderId="0" xfId="0" applyFont="1" applyFill="1" applyAlignment="1">
      <alignment vertical="center"/>
    </xf>
    <xf numFmtId="0" fontId="4" fillId="2" borderId="13" xfId="0" applyFont="1" applyFill="1" applyBorder="1" applyAlignment="1">
      <alignment vertical="center"/>
    </xf>
    <xf numFmtId="0" fontId="18" fillId="2" borderId="13" xfId="0" applyFont="1" applyFill="1" applyBorder="1" applyAlignment="1">
      <alignment vertical="center"/>
    </xf>
    <xf numFmtId="0" fontId="4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horizontal="center" vertical="center" wrapText="1" readingOrder="1"/>
    </xf>
    <xf numFmtId="0" fontId="11" fillId="5" borderId="8" xfId="0" applyFont="1" applyFill="1" applyBorder="1" applyAlignment="1">
      <alignment horizontal="center" vertical="center" wrapText="1" readingOrder="1"/>
    </xf>
    <xf numFmtId="0" fontId="11" fillId="5" borderId="9" xfId="0" applyFont="1" applyFill="1" applyBorder="1" applyAlignment="1">
      <alignment horizontal="center" vertical="center" wrapText="1" readingOrder="1"/>
    </xf>
    <xf numFmtId="0" fontId="11" fillId="5" borderId="10" xfId="0" applyFont="1" applyFill="1" applyBorder="1" applyAlignment="1">
      <alignment horizontal="center" vertical="center" wrapText="1" readingOrder="1"/>
    </xf>
    <xf numFmtId="164" fontId="11" fillId="5" borderId="11" xfId="1" applyFont="1" applyFill="1" applyBorder="1" applyAlignment="1">
      <alignment horizontal="center" vertical="center" wrapText="1" readingOrder="1"/>
    </xf>
    <xf numFmtId="164" fontId="11" fillId="5" borderId="8" xfId="1" applyFont="1" applyFill="1" applyBorder="1" applyAlignment="1">
      <alignment horizontal="center" vertical="center" wrapText="1" readingOrder="1"/>
    </xf>
    <xf numFmtId="164" fontId="11" fillId="5" borderId="10" xfId="1" applyFont="1" applyFill="1" applyBorder="1" applyAlignment="1">
      <alignment horizontal="center" vertical="center" wrapText="1" readingOrder="1"/>
    </xf>
    <xf numFmtId="164" fontId="11" fillId="5" borderId="9" xfId="1" applyFont="1" applyFill="1" applyBorder="1" applyAlignment="1">
      <alignment horizontal="center" vertical="center" wrapText="1" readingOrder="1"/>
    </xf>
    <xf numFmtId="0" fontId="7" fillId="5" borderId="12" xfId="0" applyFont="1" applyFill="1" applyBorder="1" applyAlignment="1">
      <alignment horizontal="center" vertical="center" wrapText="1"/>
    </xf>
    <xf numFmtId="0" fontId="23" fillId="5" borderId="18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14" fillId="2" borderId="0" xfId="0" applyFont="1" applyFill="1" applyAlignment="1">
      <alignment vertical="center"/>
    </xf>
    <xf numFmtId="0" fontId="26" fillId="5" borderId="20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11" fillId="5" borderId="11" xfId="0" applyFont="1" applyFill="1" applyBorder="1" applyAlignment="1">
      <alignment vertical="center" wrapText="1" readingOrder="1"/>
    </xf>
    <xf numFmtId="0" fontId="11" fillId="5" borderId="8" xfId="0" applyFont="1" applyFill="1" applyBorder="1" applyAlignment="1">
      <alignment vertical="center" wrapText="1" readingOrder="1"/>
    </xf>
    <xf numFmtId="0" fontId="11" fillId="5" borderId="10" xfId="0" applyFont="1" applyFill="1" applyBorder="1" applyAlignment="1">
      <alignment vertical="center" wrapText="1" readingOrder="1"/>
    </xf>
    <xf numFmtId="0" fontId="4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9" fillId="2" borderId="13" xfId="0" applyFont="1" applyFill="1" applyBorder="1" applyAlignment="1">
      <alignment horizontal="right" wrapText="1"/>
    </xf>
    <xf numFmtId="0" fontId="18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0" fillId="2" borderId="11" xfId="0" applyFont="1" applyFill="1" applyBorder="1" applyAlignment="1">
      <alignment horizontal="center" vertical="center" wrapText="1" readingOrder="1"/>
    </xf>
    <xf numFmtId="0" fontId="10" fillId="2" borderId="8" xfId="0" applyFont="1" applyFill="1" applyBorder="1" applyAlignment="1">
      <alignment horizontal="center" vertical="center" wrapText="1" readingOrder="1"/>
    </xf>
    <xf numFmtId="0" fontId="10" fillId="2" borderId="9" xfId="0" applyFont="1" applyFill="1" applyBorder="1" applyAlignment="1">
      <alignment horizontal="center" vertical="center" wrapText="1" readingOrder="1"/>
    </xf>
    <xf numFmtId="0" fontId="11" fillId="2" borderId="2" xfId="0" applyFont="1" applyFill="1" applyBorder="1" applyAlignment="1">
      <alignment horizontal="center" vertical="center" wrapText="1" readingOrder="1"/>
    </xf>
    <xf numFmtId="0" fontId="11" fillId="2" borderId="7" xfId="0" applyFont="1" applyFill="1" applyBorder="1" applyAlignment="1">
      <alignment horizontal="center" vertical="center" wrapText="1" readingOrder="1"/>
    </xf>
    <xf numFmtId="0" fontId="11" fillId="2" borderId="3" xfId="0" applyFont="1" applyFill="1" applyBorder="1" applyAlignment="1">
      <alignment horizontal="center" vertical="center" wrapText="1" readingOrder="1"/>
    </xf>
    <xf numFmtId="14" fontId="10" fillId="5" borderId="1" xfId="0" applyNumberFormat="1" applyFont="1" applyFill="1" applyBorder="1" applyAlignment="1">
      <alignment horizontal="center" vertical="center" wrapText="1" readingOrder="1"/>
    </xf>
    <xf numFmtId="0" fontId="15" fillId="3" borderId="2" xfId="0" applyFont="1" applyFill="1" applyBorder="1" applyAlignment="1">
      <alignment horizontal="center" vertical="center" wrapText="1" readingOrder="1"/>
    </xf>
    <xf numFmtId="0" fontId="15" fillId="3" borderId="3" xfId="0" applyFont="1" applyFill="1" applyBorder="1" applyAlignment="1">
      <alignment horizontal="center" vertical="center" wrapText="1" readingOrder="1"/>
    </xf>
    <xf numFmtId="0" fontId="15" fillId="3" borderId="4" xfId="0" applyFont="1" applyFill="1" applyBorder="1" applyAlignment="1">
      <alignment horizontal="center" vertical="center" wrapText="1" readingOrder="1"/>
    </xf>
    <xf numFmtId="0" fontId="15" fillId="3" borderId="6" xfId="0" applyFont="1" applyFill="1" applyBorder="1" applyAlignment="1">
      <alignment horizontal="center" vertical="center" wrapText="1" readingOrder="1"/>
    </xf>
    <xf numFmtId="0" fontId="15" fillId="3" borderId="5" xfId="0" applyFont="1" applyFill="1" applyBorder="1" applyAlignment="1">
      <alignment horizontal="center" vertical="center" wrapText="1" readingOrder="1"/>
    </xf>
    <xf numFmtId="0" fontId="15" fillId="3" borderId="4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1" fillId="5" borderId="26" xfId="0" applyFont="1" applyFill="1" applyBorder="1" applyAlignment="1">
      <alignment horizontal="center" vertical="center" wrapText="1" readingOrder="1"/>
    </xf>
    <xf numFmtId="0" fontId="11" fillId="5" borderId="27" xfId="0" applyFont="1" applyFill="1" applyBorder="1" applyAlignment="1">
      <alignment horizontal="center" vertical="center" wrapText="1" readingOrder="1"/>
    </xf>
    <xf numFmtId="14" fontId="10" fillId="5" borderId="2" xfId="0" applyNumberFormat="1" applyFont="1" applyFill="1" applyBorder="1" applyAlignment="1">
      <alignment horizontal="center" vertical="center" wrapText="1" readingOrder="1"/>
    </xf>
    <xf numFmtId="14" fontId="10" fillId="5" borderId="7" xfId="0" applyNumberFormat="1" applyFont="1" applyFill="1" applyBorder="1" applyAlignment="1">
      <alignment horizontal="center" vertical="center" wrapText="1" readingOrder="1"/>
    </xf>
    <xf numFmtId="14" fontId="10" fillId="5" borderId="3" xfId="0" applyNumberFormat="1" applyFont="1" applyFill="1" applyBorder="1" applyAlignment="1">
      <alignment horizontal="center" vertical="center" wrapText="1" readingOrder="1"/>
    </xf>
    <xf numFmtId="0" fontId="11" fillId="5" borderId="28" xfId="0" applyFont="1" applyFill="1" applyBorder="1" applyAlignment="1">
      <alignment horizontal="center" vertical="center" wrapText="1" readingOrder="1"/>
    </xf>
    <xf numFmtId="0" fontId="11" fillId="5" borderId="29" xfId="0" applyFont="1" applyFill="1" applyBorder="1" applyAlignment="1">
      <alignment horizontal="center" vertical="center" wrapText="1" readingOrder="1"/>
    </xf>
    <xf numFmtId="0" fontId="15" fillId="3" borderId="22" xfId="0" applyFont="1" applyFill="1" applyBorder="1" applyAlignment="1">
      <alignment horizontal="center" vertical="center" wrapText="1" readingOrder="1"/>
    </xf>
    <xf numFmtId="0" fontId="15" fillId="3" borderId="23" xfId="0" applyFont="1" applyFill="1" applyBorder="1" applyAlignment="1">
      <alignment horizontal="center" vertical="center" wrapText="1" readingOrder="1"/>
    </xf>
    <xf numFmtId="0" fontId="15" fillId="3" borderId="24" xfId="0" applyFont="1" applyFill="1" applyBorder="1" applyAlignment="1">
      <alignment horizontal="center" vertical="center" wrapText="1" readingOrder="1"/>
    </xf>
    <xf numFmtId="0" fontId="15" fillId="3" borderId="25" xfId="0" applyFont="1" applyFill="1" applyBorder="1" applyAlignment="1">
      <alignment horizontal="center" vertical="center" wrapText="1" readingOrder="1"/>
    </xf>
    <xf numFmtId="0" fontId="11" fillId="5" borderId="30" xfId="0" applyFont="1" applyFill="1" applyBorder="1" applyAlignment="1">
      <alignment horizontal="center" vertical="center" wrapText="1" readingOrder="1"/>
    </xf>
    <xf numFmtId="0" fontId="11" fillId="5" borderId="31" xfId="0" applyFont="1" applyFill="1" applyBorder="1" applyAlignment="1">
      <alignment horizontal="center" vertical="center" wrapText="1" readingOrder="1"/>
    </xf>
    <xf numFmtId="0" fontId="14" fillId="2" borderId="32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14" fillId="2" borderId="14" xfId="0" applyFont="1" applyFill="1" applyBorder="1" applyAlignment="1">
      <alignment horizontal="left" vertical="center"/>
    </xf>
    <xf numFmtId="0" fontId="14" fillId="2" borderId="33" xfId="0" applyFont="1" applyFill="1" applyBorder="1" applyAlignment="1">
      <alignment horizontal="left" vertical="top"/>
    </xf>
    <xf numFmtId="0" fontId="10" fillId="2" borderId="10" xfId="0" applyFont="1" applyFill="1" applyBorder="1" applyAlignment="1">
      <alignment horizontal="center" vertical="center" wrapText="1" readingOrder="1"/>
    </xf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U160"/>
  <sheetViews>
    <sheetView tabSelected="1" zoomScale="70" zoomScaleNormal="70" workbookViewId="0">
      <pane ySplit="16" topLeftCell="A119" activePane="bottomLeft" state="frozenSplit"/>
      <selection pane="bottomLeft" activeCell="D132" sqref="D132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3.5703125" style="1" customWidth="1"/>
    <col min="22" max="22" width="66.14062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customWidth="1"/>
    <col min="27" max="48" width="14.5703125" style="1" customWidth="1"/>
    <col min="49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94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9</v>
      </c>
      <c r="C6" s="42" t="s">
        <v>13</v>
      </c>
      <c r="D6" s="89" t="s">
        <v>93</v>
      </c>
      <c r="E6" s="87"/>
      <c r="F6" s="87"/>
      <c r="G6" s="87"/>
      <c r="H6" s="87"/>
      <c r="I6" s="87"/>
      <c r="J6" s="87"/>
      <c r="K6" s="47"/>
      <c r="L6" s="48" t="s">
        <v>98</v>
      </c>
      <c r="M6" s="86" t="s">
        <v>91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96</v>
      </c>
      <c r="E7" s="88"/>
      <c r="F7" s="88"/>
      <c r="G7" s="88"/>
      <c r="H7" s="88"/>
      <c r="I7" s="88"/>
      <c r="J7" s="88"/>
      <c r="K7" s="88"/>
      <c r="L7" s="3"/>
      <c r="M7" s="88" t="s">
        <v>92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95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99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8.75" hidden="1">
      <c r="B17" s="75">
        <v>46082</v>
      </c>
      <c r="C17" s="62" t="s">
        <v>14</v>
      </c>
      <c r="D17" s="51"/>
      <c r="E17" s="59" t="s">
        <v>103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6.5" hidden="1" customHeight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6.5" hidden="1" customHeight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6.5" hidden="1" customHeight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600000000000001" hidden="1" customHeight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18.600000000000001" hidden="1" customHeight="1">
      <c r="B22" s="76"/>
      <c r="C22" s="63"/>
      <c r="D22" s="53"/>
      <c r="E22" s="61"/>
      <c r="F22" s="12">
        <v>0.83333333333333337</v>
      </c>
      <c r="G22" s="84"/>
      <c r="H22" s="85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103</v>
      </c>
      <c r="Z22" s="44" t="s">
        <v>46</v>
      </c>
    </row>
    <row r="23" spans="2:26" ht="18.600000000000001" hidden="1" customHeight="1">
      <c r="B23" s="76"/>
      <c r="C23" s="63"/>
      <c r="D23" s="51"/>
      <c r="E23" s="59" t="s">
        <v>104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104</v>
      </c>
      <c r="Z23" s="44" t="s">
        <v>45</v>
      </c>
    </row>
    <row r="24" spans="2:26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00000000000001" hidden="1" customHeight="1">
      <c r="B29" s="75">
        <v>46083</v>
      </c>
      <c r="C29" s="62" t="s">
        <v>14</v>
      </c>
      <c r="D29" s="51" t="s">
        <v>101</v>
      </c>
      <c r="E29" s="59" t="s">
        <v>103</v>
      </c>
      <c r="F29" s="5">
        <v>0.41666666666666669</v>
      </c>
      <c r="G29" s="73" t="s">
        <v>76</v>
      </c>
      <c r="H29" s="74"/>
      <c r="I29" s="34">
        <v>25</v>
      </c>
      <c r="J29" s="6">
        <f t="shared" si="2"/>
        <v>1.1599999999999999</v>
      </c>
      <c r="K29" s="38">
        <v>4</v>
      </c>
      <c r="L29" s="38"/>
      <c r="M29" s="38"/>
      <c r="N29" s="38"/>
      <c r="O29" s="38"/>
      <c r="P29" s="38"/>
      <c r="Q29" s="38">
        <v>20</v>
      </c>
      <c r="R29" s="38">
        <v>5</v>
      </c>
      <c r="S29" s="7">
        <f>SUM(K29:R29)</f>
        <v>29</v>
      </c>
      <c r="T29" s="7">
        <v>100000</v>
      </c>
      <c r="U29" s="7">
        <f>T29*S29</f>
        <v>2900000</v>
      </c>
      <c r="V29" s="4"/>
      <c r="W29" s="4"/>
      <c r="X29" s="4"/>
      <c r="Y29" s="4"/>
      <c r="Z29" s="44" t="s">
        <v>51</v>
      </c>
    </row>
    <row r="30" spans="2:26" ht="18.75" hidden="1">
      <c r="B30" s="76"/>
      <c r="C30" s="63"/>
      <c r="D30" s="52" t="s">
        <v>101</v>
      </c>
      <c r="E30" s="60"/>
      <c r="F30" s="8">
        <v>0.5</v>
      </c>
      <c r="G30" s="78" t="s">
        <v>76</v>
      </c>
      <c r="H30" s="79"/>
      <c r="I30" s="35">
        <v>30</v>
      </c>
      <c r="J30" s="9">
        <f t="shared" si="2"/>
        <v>6.6666666666666666E-2</v>
      </c>
      <c r="K30" s="39"/>
      <c r="L30" s="39"/>
      <c r="M30" s="39">
        <v>2</v>
      </c>
      <c r="N30" s="39"/>
      <c r="O30" s="39"/>
      <c r="P30" s="39"/>
      <c r="Q30" s="39"/>
      <c r="R30" s="39"/>
      <c r="S30" s="10">
        <f t="shared" ref="S30:S40" si="3">SUM(K30:R30)</f>
        <v>2</v>
      </c>
      <c r="T30" s="10">
        <v>100000</v>
      </c>
      <c r="U30" s="10">
        <f t="shared" ref="U30:U31" si="4">T30*S30</f>
        <v>200000</v>
      </c>
      <c r="V30" s="4"/>
      <c r="W30" s="4"/>
      <c r="X30" s="4"/>
      <c r="Y30" s="4"/>
      <c r="Z30" s="44" t="s">
        <v>52</v>
      </c>
    </row>
    <row r="31" spans="2:26" ht="18.75" hidden="1">
      <c r="B31" s="76"/>
      <c r="C31" s="63"/>
      <c r="D31" s="52" t="s">
        <v>101</v>
      </c>
      <c r="E31" s="60"/>
      <c r="F31" s="8">
        <v>0.58333333333333337</v>
      </c>
      <c r="G31" s="78" t="s">
        <v>76</v>
      </c>
      <c r="H31" s="79"/>
      <c r="I31" s="35">
        <v>50</v>
      </c>
      <c r="J31" s="9">
        <f t="shared" si="2"/>
        <v>0.2</v>
      </c>
      <c r="K31" s="39"/>
      <c r="L31" s="39"/>
      <c r="M31" s="39">
        <v>10</v>
      </c>
      <c r="N31" s="39"/>
      <c r="O31" s="39"/>
      <c r="P31" s="39"/>
      <c r="Q31" s="39"/>
      <c r="R31" s="39"/>
      <c r="S31" s="10">
        <f t="shared" si="3"/>
        <v>10</v>
      </c>
      <c r="T31" s="10">
        <v>100000</v>
      </c>
      <c r="U31" s="10">
        <f t="shared" si="4"/>
        <v>1000000</v>
      </c>
      <c r="V31" s="4"/>
      <c r="W31" s="4"/>
      <c r="X31" s="4"/>
      <c r="Y31" s="4"/>
      <c r="Z31" s="44" t="s">
        <v>53</v>
      </c>
    </row>
    <row r="32" spans="2:26" ht="18.75" hidden="1">
      <c r="B32" s="76"/>
      <c r="C32" s="63"/>
      <c r="D32" s="52" t="s">
        <v>101</v>
      </c>
      <c r="E32" s="60"/>
      <c r="F32" s="8">
        <v>0.66666666666666663</v>
      </c>
      <c r="G32" s="78" t="s">
        <v>76</v>
      </c>
      <c r="H32" s="79"/>
      <c r="I32" s="35">
        <v>60</v>
      </c>
      <c r="J32" s="9">
        <f t="shared" si="2"/>
        <v>0</v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 t="s">
        <v>101</v>
      </c>
      <c r="E33" s="60"/>
      <c r="F33" s="8">
        <v>0.75</v>
      </c>
      <c r="G33" s="78" t="s">
        <v>76</v>
      </c>
      <c r="H33" s="79"/>
      <c r="I33" s="35">
        <v>45</v>
      </c>
      <c r="J33" s="9">
        <f t="shared" si="2"/>
        <v>4.4444444444444446E-2</v>
      </c>
      <c r="K33" s="39"/>
      <c r="L33" s="39"/>
      <c r="M33" s="39">
        <v>2</v>
      </c>
      <c r="N33" s="39"/>
      <c r="O33" s="39"/>
      <c r="P33" s="39"/>
      <c r="Q33" s="39"/>
      <c r="R33" s="39"/>
      <c r="S33" s="10">
        <f t="shared" si="3"/>
        <v>2</v>
      </c>
      <c r="T33" s="10">
        <v>100000</v>
      </c>
      <c r="U33" s="10">
        <f t="shared" ref="U33:U40" si="5">T33*S33</f>
        <v>200000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 t="s">
        <v>101</v>
      </c>
      <c r="E34" s="61"/>
      <c r="F34" s="12">
        <v>0.83333333333333337</v>
      </c>
      <c r="G34" s="78" t="s">
        <v>76</v>
      </c>
      <c r="H34" s="79"/>
      <c r="I34" s="36">
        <v>50</v>
      </c>
      <c r="J34" s="9">
        <f t="shared" si="2"/>
        <v>0</v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 t="s">
        <v>101</v>
      </c>
      <c r="E35" s="59" t="s">
        <v>104</v>
      </c>
      <c r="F35" s="5">
        <v>0.91666666666666663</v>
      </c>
      <c r="G35" s="73" t="s">
        <v>88</v>
      </c>
      <c r="H35" s="74"/>
      <c r="I35" s="34">
        <v>50</v>
      </c>
      <c r="J35" s="6">
        <f t="shared" si="2"/>
        <v>0.2</v>
      </c>
      <c r="K35" s="38"/>
      <c r="L35" s="38"/>
      <c r="M35" s="38">
        <v>4</v>
      </c>
      <c r="N35" s="38">
        <v>1</v>
      </c>
      <c r="O35" s="38"/>
      <c r="P35" s="38"/>
      <c r="Q35" s="38"/>
      <c r="R35" s="38">
        <v>5</v>
      </c>
      <c r="S35" s="7">
        <f t="shared" si="3"/>
        <v>10</v>
      </c>
      <c r="T35" s="7">
        <v>100000</v>
      </c>
      <c r="U35" s="7">
        <f t="shared" si="5"/>
        <v>1000000</v>
      </c>
      <c r="V35" s="4"/>
      <c r="Y35" s="4"/>
      <c r="Z35" s="44" t="s">
        <v>55</v>
      </c>
    </row>
    <row r="36" spans="2:26" ht="18.75" hidden="1">
      <c r="B36" s="76"/>
      <c r="C36" s="63"/>
      <c r="D36" s="52" t="s">
        <v>101</v>
      </c>
      <c r="E36" s="60"/>
      <c r="F36" s="8">
        <v>1</v>
      </c>
      <c r="G36" s="78" t="s">
        <v>88</v>
      </c>
      <c r="H36" s="79"/>
      <c r="I36" s="35">
        <v>60</v>
      </c>
      <c r="J36" s="9">
        <f t="shared" si="2"/>
        <v>0</v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75" hidden="1">
      <c r="B37" s="76"/>
      <c r="C37" s="63"/>
      <c r="D37" s="52" t="s">
        <v>101</v>
      </c>
      <c r="E37" s="60"/>
      <c r="F37" s="8">
        <v>8.3333333333333329E-2</v>
      </c>
      <c r="G37" s="78" t="s">
        <v>88</v>
      </c>
      <c r="H37" s="79"/>
      <c r="I37" s="35">
        <v>60</v>
      </c>
      <c r="J37" s="9">
        <f t="shared" si="2"/>
        <v>0</v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 t="s">
        <v>101</v>
      </c>
      <c r="E38" s="60"/>
      <c r="F38" s="8">
        <v>0.16666666666666666</v>
      </c>
      <c r="G38" s="78" t="s">
        <v>88</v>
      </c>
      <c r="H38" s="79"/>
      <c r="I38" s="35">
        <v>60</v>
      </c>
      <c r="J38" s="9">
        <f t="shared" si="2"/>
        <v>0</v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 t="s">
        <v>101</v>
      </c>
      <c r="E39" s="60"/>
      <c r="F39" s="8">
        <v>0.25</v>
      </c>
      <c r="G39" s="78" t="s">
        <v>88</v>
      </c>
      <c r="H39" s="79"/>
      <c r="I39" s="35">
        <v>60</v>
      </c>
      <c r="J39" s="9">
        <f t="shared" si="2"/>
        <v>0</v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75" hidden="1">
      <c r="B40" s="77"/>
      <c r="C40" s="64"/>
      <c r="D40" s="53" t="s">
        <v>101</v>
      </c>
      <c r="E40" s="61"/>
      <c r="F40" s="12">
        <v>0.33333333333333331</v>
      </c>
      <c r="G40" s="78" t="s">
        <v>88</v>
      </c>
      <c r="H40" s="79"/>
      <c r="I40" s="36">
        <v>60</v>
      </c>
      <c r="J40" s="9">
        <f t="shared" si="2"/>
        <v>0</v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00000000000001" hidden="1" customHeight="1">
      <c r="B41" s="76">
        <v>46084</v>
      </c>
      <c r="C41" s="62" t="s">
        <v>14</v>
      </c>
      <c r="D41" s="51" t="s">
        <v>101</v>
      </c>
      <c r="E41" s="59" t="s">
        <v>103</v>
      </c>
      <c r="F41" s="5">
        <v>0.41666666666666669</v>
      </c>
      <c r="G41" s="73" t="s">
        <v>76</v>
      </c>
      <c r="H41" s="74"/>
      <c r="I41" s="34">
        <v>60</v>
      </c>
      <c r="J41" s="6">
        <f t="shared" si="2"/>
        <v>3.3333333333333333E-2</v>
      </c>
      <c r="K41" s="38"/>
      <c r="L41" s="38"/>
      <c r="M41" s="38">
        <v>2</v>
      </c>
      <c r="N41" s="38"/>
      <c r="O41" s="38"/>
      <c r="P41" s="38"/>
      <c r="Q41" s="38"/>
      <c r="R41" s="38"/>
      <c r="S41" s="7">
        <f>SUM(K41:R41)</f>
        <v>2</v>
      </c>
      <c r="T41" s="7">
        <v>100000</v>
      </c>
      <c r="U41" s="7">
        <f>T41*S41</f>
        <v>200000</v>
      </c>
      <c r="V41" s="4"/>
      <c r="W41" s="4"/>
      <c r="X41" s="4"/>
      <c r="Y41" s="4"/>
      <c r="Z41" s="44" t="s">
        <v>59</v>
      </c>
    </row>
    <row r="42" spans="2:26" ht="18.75" hidden="1">
      <c r="B42" s="76"/>
      <c r="C42" s="63"/>
      <c r="D42" s="52" t="s">
        <v>101</v>
      </c>
      <c r="E42" s="60"/>
      <c r="F42" s="8">
        <v>0.5</v>
      </c>
      <c r="G42" s="78" t="s">
        <v>76</v>
      </c>
      <c r="H42" s="79"/>
      <c r="I42" s="35">
        <v>60</v>
      </c>
      <c r="J42" s="9">
        <f t="shared" si="2"/>
        <v>8.3333333333333329E-2</v>
      </c>
      <c r="K42" s="39"/>
      <c r="L42" s="39"/>
      <c r="M42" s="39">
        <v>5</v>
      </c>
      <c r="N42" s="39"/>
      <c r="O42" s="39"/>
      <c r="P42" s="39"/>
      <c r="Q42" s="39"/>
      <c r="R42" s="39"/>
      <c r="S42" s="10">
        <f t="shared" ref="S42:S52" si="6">SUM(K42:R42)</f>
        <v>5</v>
      </c>
      <c r="T42" s="10">
        <v>100000</v>
      </c>
      <c r="U42" s="10">
        <f t="shared" ref="U42:U43" si="7">T42*S42</f>
        <v>500000</v>
      </c>
      <c r="V42" s="4"/>
      <c r="W42" s="4"/>
      <c r="X42" s="4"/>
      <c r="Y42" s="4"/>
      <c r="Z42" s="44" t="s">
        <v>60</v>
      </c>
    </row>
    <row r="43" spans="2:26" ht="18.75" hidden="1">
      <c r="B43" s="76"/>
      <c r="C43" s="63"/>
      <c r="D43" s="52" t="s">
        <v>101</v>
      </c>
      <c r="E43" s="60"/>
      <c r="F43" s="8">
        <v>0.58333333333333337</v>
      </c>
      <c r="G43" s="78" t="s">
        <v>76</v>
      </c>
      <c r="H43" s="79"/>
      <c r="I43" s="35">
        <v>60</v>
      </c>
      <c r="J43" s="9">
        <f t="shared" si="2"/>
        <v>0.05</v>
      </c>
      <c r="K43" s="39"/>
      <c r="L43" s="39"/>
      <c r="M43" s="39"/>
      <c r="N43" s="39"/>
      <c r="O43" s="39"/>
      <c r="P43" s="39"/>
      <c r="Q43" s="39"/>
      <c r="R43" s="39">
        <v>3</v>
      </c>
      <c r="S43" s="10">
        <f t="shared" si="6"/>
        <v>3</v>
      </c>
      <c r="T43" s="10">
        <v>100000</v>
      </c>
      <c r="U43" s="10">
        <f t="shared" si="7"/>
        <v>300000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 t="s">
        <v>101</v>
      </c>
      <c r="E44" s="60"/>
      <c r="F44" s="8">
        <v>0.66666666666666663</v>
      </c>
      <c r="G44" s="78" t="s">
        <v>76</v>
      </c>
      <c r="H44" s="79"/>
      <c r="I44" s="35">
        <v>50</v>
      </c>
      <c r="J44" s="9">
        <f t="shared" si="2"/>
        <v>0.06</v>
      </c>
      <c r="K44" s="39">
        <v>3</v>
      </c>
      <c r="L44" s="39"/>
      <c r="M44" s="39"/>
      <c r="N44" s="39"/>
      <c r="O44" s="39"/>
      <c r="P44" s="39"/>
      <c r="Q44" s="39"/>
      <c r="R44" s="39"/>
      <c r="S44" s="10">
        <f t="shared" si="6"/>
        <v>3</v>
      </c>
      <c r="T44" s="10">
        <v>100000</v>
      </c>
      <c r="U44" s="10">
        <f>T44*S44</f>
        <v>300000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 t="s">
        <v>101</v>
      </c>
      <c r="E45" s="60"/>
      <c r="F45" s="8">
        <v>0.75</v>
      </c>
      <c r="G45" s="78" t="s">
        <v>76</v>
      </c>
      <c r="H45" s="79"/>
      <c r="I45" s="35">
        <v>50</v>
      </c>
      <c r="J45" s="9">
        <f t="shared" si="2"/>
        <v>0.04</v>
      </c>
      <c r="K45" s="39"/>
      <c r="L45" s="39"/>
      <c r="M45" s="39"/>
      <c r="N45" s="39"/>
      <c r="O45" s="39"/>
      <c r="P45" s="39"/>
      <c r="Q45" s="39"/>
      <c r="R45" s="39">
        <v>2</v>
      </c>
      <c r="S45" s="10">
        <f t="shared" si="6"/>
        <v>2</v>
      </c>
      <c r="T45" s="10">
        <v>100000</v>
      </c>
      <c r="U45" s="10">
        <f t="shared" ref="U45:U52" si="8">T45*S45</f>
        <v>200000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 t="s">
        <v>101</v>
      </c>
      <c r="E46" s="61"/>
      <c r="F46" s="12">
        <v>0.83333333333333337</v>
      </c>
      <c r="G46" s="78" t="s">
        <v>76</v>
      </c>
      <c r="H46" s="79"/>
      <c r="I46" s="36">
        <v>20</v>
      </c>
      <c r="J46" s="9">
        <f t="shared" si="2"/>
        <v>0.2</v>
      </c>
      <c r="K46" s="41"/>
      <c r="L46" s="41"/>
      <c r="M46" s="41"/>
      <c r="N46" s="41"/>
      <c r="O46" s="41"/>
      <c r="P46" s="41"/>
      <c r="Q46" s="41"/>
      <c r="R46" s="41">
        <v>4</v>
      </c>
      <c r="S46" s="13">
        <f t="shared" si="6"/>
        <v>4</v>
      </c>
      <c r="T46" s="13">
        <v>100000</v>
      </c>
      <c r="U46" s="13">
        <f t="shared" si="8"/>
        <v>400000</v>
      </c>
      <c r="V46" s="4"/>
      <c r="Y46" s="4"/>
      <c r="Z46" s="45"/>
    </row>
    <row r="47" spans="2:26" ht="18.75" hidden="1">
      <c r="B47" s="76"/>
      <c r="C47" s="63"/>
      <c r="D47" s="51" t="s">
        <v>102</v>
      </c>
      <c r="E47" s="59" t="s">
        <v>104</v>
      </c>
      <c r="F47" s="5">
        <v>0.91666666666666663</v>
      </c>
      <c r="G47" s="73" t="s">
        <v>87</v>
      </c>
      <c r="H47" s="74"/>
      <c r="I47" s="34">
        <v>0</v>
      </c>
      <c r="J47" s="6" t="str">
        <f t="shared" si="2"/>
        <v/>
      </c>
      <c r="K47" s="38"/>
      <c r="L47" s="38"/>
      <c r="M47" s="38"/>
      <c r="N47" s="38"/>
      <c r="O47" s="38"/>
      <c r="P47" s="38"/>
      <c r="Q47" s="38">
        <v>10</v>
      </c>
      <c r="R47" s="38"/>
      <c r="S47" s="7">
        <f t="shared" si="6"/>
        <v>10</v>
      </c>
      <c r="T47" s="7">
        <v>100000</v>
      </c>
      <c r="U47" s="7">
        <f t="shared" si="8"/>
        <v>1000000</v>
      </c>
      <c r="V47" s="4"/>
      <c r="Y47" s="4"/>
      <c r="Z47" s="45"/>
    </row>
    <row r="48" spans="2:26" ht="18.75" hidden="1">
      <c r="B48" s="76"/>
      <c r="C48" s="63"/>
      <c r="D48" s="52" t="s">
        <v>102</v>
      </c>
      <c r="E48" s="60"/>
      <c r="F48" s="8">
        <v>1</v>
      </c>
      <c r="G48" s="78" t="s">
        <v>87</v>
      </c>
      <c r="H48" s="79"/>
      <c r="I48" s="35">
        <v>0</v>
      </c>
      <c r="J48" s="9" t="str">
        <f t="shared" si="2"/>
        <v/>
      </c>
      <c r="K48" s="39"/>
      <c r="L48" s="39"/>
      <c r="M48" s="39"/>
      <c r="N48" s="39"/>
      <c r="O48" s="39"/>
      <c r="P48" s="39"/>
      <c r="Q48" s="39"/>
      <c r="R48" s="39"/>
      <c r="S48" s="10">
        <f t="shared" si="6"/>
        <v>0</v>
      </c>
      <c r="T48" s="10">
        <v>100000</v>
      </c>
      <c r="U48" s="10">
        <f t="shared" si="8"/>
        <v>0</v>
      </c>
      <c r="V48" s="4"/>
      <c r="Y48" s="4"/>
      <c r="Z48" s="45"/>
    </row>
    <row r="49" spans="2:26" ht="18.75" hidden="1">
      <c r="B49" s="76"/>
      <c r="C49" s="63"/>
      <c r="D49" s="52" t="s">
        <v>102</v>
      </c>
      <c r="E49" s="60"/>
      <c r="F49" s="8">
        <v>8.3333333333333329E-2</v>
      </c>
      <c r="G49" s="78" t="s">
        <v>87</v>
      </c>
      <c r="H49" s="79"/>
      <c r="I49" s="35">
        <v>30</v>
      </c>
      <c r="J49" s="9">
        <f t="shared" si="2"/>
        <v>3.3333333333333333E-2</v>
      </c>
      <c r="K49" s="39">
        <v>1</v>
      </c>
      <c r="L49" s="39"/>
      <c r="M49" s="39"/>
      <c r="N49" s="39"/>
      <c r="O49" s="39"/>
      <c r="P49" s="39"/>
      <c r="Q49" s="39"/>
      <c r="R49" s="39"/>
      <c r="S49" s="10">
        <f t="shared" si="6"/>
        <v>1</v>
      </c>
      <c r="T49" s="10">
        <v>100000</v>
      </c>
      <c r="U49" s="10">
        <f t="shared" si="8"/>
        <v>100000</v>
      </c>
      <c r="V49" s="4"/>
      <c r="Y49" s="4"/>
      <c r="Z49" s="45"/>
    </row>
    <row r="50" spans="2:26" ht="18.75" hidden="1">
      <c r="B50" s="76"/>
      <c r="C50" s="63"/>
      <c r="D50" s="52" t="s">
        <v>102</v>
      </c>
      <c r="E50" s="60"/>
      <c r="F50" s="8">
        <v>0.16666666666666666</v>
      </c>
      <c r="G50" s="78" t="s">
        <v>87</v>
      </c>
      <c r="H50" s="79"/>
      <c r="I50" s="35">
        <v>50</v>
      </c>
      <c r="J50" s="9">
        <f t="shared" si="2"/>
        <v>0.02</v>
      </c>
      <c r="K50" s="39"/>
      <c r="L50" s="39"/>
      <c r="M50" s="39">
        <v>1</v>
      </c>
      <c r="N50" s="39"/>
      <c r="O50" s="39"/>
      <c r="P50" s="39"/>
      <c r="Q50" s="39"/>
      <c r="R50" s="39"/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 t="s">
        <v>102</v>
      </c>
      <c r="E51" s="60"/>
      <c r="F51" s="8">
        <v>0.25</v>
      </c>
      <c r="G51" s="78" t="s">
        <v>87</v>
      </c>
      <c r="H51" s="79"/>
      <c r="I51" s="35">
        <v>50</v>
      </c>
      <c r="J51" s="9">
        <f t="shared" si="2"/>
        <v>0.02</v>
      </c>
      <c r="K51" s="39"/>
      <c r="L51" s="39"/>
      <c r="M51" s="39">
        <v>1</v>
      </c>
      <c r="N51" s="39"/>
      <c r="O51" s="39"/>
      <c r="P51" s="39"/>
      <c r="Q51" s="39"/>
      <c r="R51" s="39"/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8.75" hidden="1">
      <c r="B52" s="76"/>
      <c r="C52" s="63"/>
      <c r="D52" s="53" t="s">
        <v>102</v>
      </c>
      <c r="E52" s="61"/>
      <c r="F52" s="12">
        <v>0.33333333333333331</v>
      </c>
      <c r="G52" s="78" t="s">
        <v>87</v>
      </c>
      <c r="H52" s="79"/>
      <c r="I52" s="36">
        <v>50</v>
      </c>
      <c r="J52" s="9">
        <f t="shared" si="2"/>
        <v>0.02</v>
      </c>
      <c r="K52" s="41"/>
      <c r="L52" s="41"/>
      <c r="M52" s="41">
        <v>1</v>
      </c>
      <c r="N52" s="41"/>
      <c r="O52" s="41"/>
      <c r="P52" s="41"/>
      <c r="Q52" s="41"/>
      <c r="R52" s="41"/>
      <c r="S52" s="13">
        <f t="shared" si="6"/>
        <v>1</v>
      </c>
      <c r="T52" s="13">
        <v>100000</v>
      </c>
      <c r="U52" s="13">
        <f t="shared" si="8"/>
        <v>100000</v>
      </c>
      <c r="V52" s="4"/>
      <c r="W52" s="4"/>
      <c r="X52" s="4"/>
      <c r="Y52" s="4"/>
      <c r="Z52" s="45"/>
    </row>
    <row r="53" spans="2:26" ht="16.5" hidden="1" customHeight="1">
      <c r="B53" s="65">
        <v>46085</v>
      </c>
      <c r="C53" s="62" t="s">
        <v>14</v>
      </c>
      <c r="D53" s="51" t="s">
        <v>102</v>
      </c>
      <c r="E53" s="59" t="s">
        <v>103</v>
      </c>
      <c r="F53" s="5">
        <v>0.41666666666666669</v>
      </c>
      <c r="G53" s="73" t="s">
        <v>74</v>
      </c>
      <c r="H53" s="74"/>
      <c r="I53" s="34">
        <v>53</v>
      </c>
      <c r="J53" s="6">
        <f t="shared" si="2"/>
        <v>0</v>
      </c>
      <c r="K53" s="38"/>
      <c r="L53" s="38"/>
      <c r="M53" s="38"/>
      <c r="N53" s="38"/>
      <c r="O53" s="38"/>
      <c r="P53" s="38"/>
      <c r="Q53" s="38"/>
      <c r="R53" s="38"/>
      <c r="S53" s="7">
        <f>SUM(K53:R53)</f>
        <v>0</v>
      </c>
      <c r="T53" s="7">
        <v>100000</v>
      </c>
      <c r="U53" s="7">
        <f>T53*S53</f>
        <v>0</v>
      </c>
      <c r="V53" s="4"/>
      <c r="W53" s="4"/>
      <c r="X53" s="4"/>
      <c r="Y53" s="4"/>
      <c r="Z53" s="45"/>
    </row>
    <row r="54" spans="2:26" ht="18.75" hidden="1">
      <c r="B54" s="65"/>
      <c r="C54" s="63"/>
      <c r="D54" s="52" t="s">
        <v>102</v>
      </c>
      <c r="E54" s="60"/>
      <c r="F54" s="8">
        <v>0.5</v>
      </c>
      <c r="G54" s="78" t="s">
        <v>74</v>
      </c>
      <c r="H54" s="79"/>
      <c r="I54" s="35">
        <v>35</v>
      </c>
      <c r="J54" s="9">
        <f t="shared" si="2"/>
        <v>0.25714285714285712</v>
      </c>
      <c r="K54" s="39"/>
      <c r="L54" s="39"/>
      <c r="M54" s="39">
        <v>5</v>
      </c>
      <c r="N54" s="39"/>
      <c r="O54" s="39"/>
      <c r="P54" s="39"/>
      <c r="Q54" s="39"/>
      <c r="R54" s="39">
        <v>4</v>
      </c>
      <c r="S54" s="10">
        <f t="shared" ref="S54:S64" si="9">SUM(K54:R54)</f>
        <v>9</v>
      </c>
      <c r="T54" s="10">
        <v>100000</v>
      </c>
      <c r="U54" s="10">
        <f t="shared" ref="U54:U55" si="10">T54*S54</f>
        <v>900000</v>
      </c>
      <c r="V54" s="4"/>
      <c r="W54" s="4"/>
      <c r="X54" s="4"/>
      <c r="Y54" s="4"/>
      <c r="Z54" s="45"/>
    </row>
    <row r="55" spans="2:26" ht="18.75" hidden="1">
      <c r="B55" s="65"/>
      <c r="C55" s="63"/>
      <c r="D55" s="52" t="s">
        <v>102</v>
      </c>
      <c r="E55" s="60"/>
      <c r="F55" s="8">
        <v>0.58333333333333337</v>
      </c>
      <c r="G55" s="78" t="s">
        <v>74</v>
      </c>
      <c r="H55" s="79"/>
      <c r="I55" s="35">
        <v>53</v>
      </c>
      <c r="J55" s="9">
        <f t="shared" si="2"/>
        <v>0</v>
      </c>
      <c r="K55" s="39"/>
      <c r="L55" s="39"/>
      <c r="M55" s="39"/>
      <c r="N55" s="39"/>
      <c r="O55" s="39"/>
      <c r="P55" s="39"/>
      <c r="Q55" s="39"/>
      <c r="R55" s="39"/>
      <c r="S55" s="10">
        <f t="shared" si="9"/>
        <v>0</v>
      </c>
      <c r="T55" s="10">
        <v>100000</v>
      </c>
      <c r="U55" s="10">
        <f t="shared" si="10"/>
        <v>0</v>
      </c>
      <c r="V55" s="4"/>
      <c r="W55" s="4"/>
      <c r="X55" s="4"/>
      <c r="Y55" s="4"/>
      <c r="Z55" s="45"/>
    </row>
    <row r="56" spans="2:26" ht="18.75" hidden="1">
      <c r="B56" s="65"/>
      <c r="C56" s="63"/>
      <c r="D56" s="52" t="s">
        <v>102</v>
      </c>
      <c r="E56" s="60"/>
      <c r="F56" s="8">
        <v>0.66666666666666663</v>
      </c>
      <c r="G56" s="78" t="s">
        <v>74</v>
      </c>
      <c r="H56" s="79"/>
      <c r="I56" s="35">
        <v>53</v>
      </c>
      <c r="J56" s="9">
        <f t="shared" si="2"/>
        <v>0</v>
      </c>
      <c r="K56" s="39"/>
      <c r="L56" s="39"/>
      <c r="M56" s="39"/>
      <c r="N56" s="39"/>
      <c r="O56" s="39"/>
      <c r="P56" s="39"/>
      <c r="Q56" s="39"/>
      <c r="R56" s="39"/>
      <c r="S56" s="10">
        <f t="shared" si="9"/>
        <v>0</v>
      </c>
      <c r="T56" s="10">
        <v>100000</v>
      </c>
      <c r="U56" s="10">
        <f>T56*S56</f>
        <v>0</v>
      </c>
      <c r="V56" s="4"/>
      <c r="W56" s="4"/>
      <c r="X56" s="4"/>
      <c r="Y56" s="4"/>
      <c r="Z56" s="45"/>
    </row>
    <row r="57" spans="2:26" ht="18.75" hidden="1">
      <c r="B57" s="65"/>
      <c r="C57" s="63"/>
      <c r="D57" s="52" t="s">
        <v>102</v>
      </c>
      <c r="E57" s="60"/>
      <c r="F57" s="8">
        <v>0.75</v>
      </c>
      <c r="G57" s="78" t="s">
        <v>74</v>
      </c>
      <c r="H57" s="79"/>
      <c r="I57" s="35">
        <v>53</v>
      </c>
      <c r="J57" s="9">
        <f t="shared" si="2"/>
        <v>0</v>
      </c>
      <c r="K57" s="39"/>
      <c r="L57" s="39"/>
      <c r="M57" s="39"/>
      <c r="N57" s="39"/>
      <c r="O57" s="39"/>
      <c r="P57" s="39"/>
      <c r="Q57" s="39"/>
      <c r="R57" s="39"/>
      <c r="S57" s="10">
        <f t="shared" si="9"/>
        <v>0</v>
      </c>
      <c r="T57" s="10">
        <v>100000</v>
      </c>
      <c r="U57" s="10">
        <f t="shared" ref="U57:U64" si="11">T57*S57</f>
        <v>0</v>
      </c>
      <c r="V57" s="4"/>
      <c r="W57" s="4"/>
      <c r="X57" s="11"/>
      <c r="Y57" s="4"/>
      <c r="Z57" s="45"/>
    </row>
    <row r="58" spans="2:26" ht="18.75" hidden="1">
      <c r="B58" s="65"/>
      <c r="C58" s="63"/>
      <c r="D58" s="53" t="s">
        <v>102</v>
      </c>
      <c r="E58" s="61"/>
      <c r="F58" s="12">
        <v>0.83333333333333337</v>
      </c>
      <c r="G58" s="78" t="s">
        <v>74</v>
      </c>
      <c r="H58" s="79"/>
      <c r="I58" s="36">
        <v>53</v>
      </c>
      <c r="J58" s="9">
        <f t="shared" si="2"/>
        <v>0</v>
      </c>
      <c r="K58" s="41"/>
      <c r="L58" s="41"/>
      <c r="M58" s="41"/>
      <c r="N58" s="41"/>
      <c r="O58" s="41"/>
      <c r="P58" s="41"/>
      <c r="Q58" s="41"/>
      <c r="R58" s="41"/>
      <c r="S58" s="13">
        <f t="shared" si="9"/>
        <v>0</v>
      </c>
      <c r="T58" s="13">
        <v>100000</v>
      </c>
      <c r="U58" s="13">
        <f t="shared" si="11"/>
        <v>0</v>
      </c>
      <c r="V58" s="4"/>
      <c r="Y58" s="4"/>
      <c r="Z58" s="45"/>
    </row>
    <row r="59" spans="2:26" ht="18.75" hidden="1">
      <c r="B59" s="65"/>
      <c r="C59" s="63"/>
      <c r="D59" s="51" t="s">
        <v>102</v>
      </c>
      <c r="E59" s="59" t="s">
        <v>104</v>
      </c>
      <c r="F59" s="5">
        <v>0.91666666666666663</v>
      </c>
      <c r="G59" s="73" t="s">
        <v>86</v>
      </c>
      <c r="H59" s="74"/>
      <c r="I59" s="34">
        <v>51</v>
      </c>
      <c r="J59" s="6">
        <f t="shared" si="2"/>
        <v>3.9215686274509803E-2</v>
      </c>
      <c r="K59" s="38"/>
      <c r="L59" s="38"/>
      <c r="M59" s="38">
        <v>2</v>
      </c>
      <c r="N59" s="38"/>
      <c r="O59" s="38"/>
      <c r="P59" s="38"/>
      <c r="Q59" s="38"/>
      <c r="R59" s="38"/>
      <c r="S59" s="7">
        <f t="shared" si="9"/>
        <v>2</v>
      </c>
      <c r="T59" s="7">
        <v>100000</v>
      </c>
      <c r="U59" s="7">
        <f t="shared" si="11"/>
        <v>200000</v>
      </c>
      <c r="V59" s="4"/>
      <c r="Y59" s="4"/>
      <c r="Z59" s="45"/>
    </row>
    <row r="60" spans="2:26" ht="18.75" hidden="1">
      <c r="B60" s="65"/>
      <c r="C60" s="63"/>
      <c r="D60" s="52" t="s">
        <v>102</v>
      </c>
      <c r="E60" s="60"/>
      <c r="F60" s="8">
        <v>1</v>
      </c>
      <c r="G60" s="78" t="s">
        <v>86</v>
      </c>
      <c r="H60" s="79"/>
      <c r="I60" s="35">
        <v>20</v>
      </c>
      <c r="J60" s="9">
        <f t="shared" si="2"/>
        <v>0.05</v>
      </c>
      <c r="K60" s="39">
        <v>1</v>
      </c>
      <c r="L60" s="39"/>
      <c r="M60" s="39"/>
      <c r="N60" s="39"/>
      <c r="O60" s="39"/>
      <c r="P60" s="39"/>
      <c r="Q60" s="39"/>
      <c r="R60" s="39"/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18.75" hidden="1">
      <c r="B61" s="65"/>
      <c r="C61" s="63"/>
      <c r="D61" s="52" t="s">
        <v>102</v>
      </c>
      <c r="E61" s="60"/>
      <c r="F61" s="8">
        <v>8.3333333333333329E-2</v>
      </c>
      <c r="G61" s="78" t="s">
        <v>86</v>
      </c>
      <c r="H61" s="79"/>
      <c r="I61" s="35">
        <v>52</v>
      </c>
      <c r="J61" s="9">
        <f t="shared" si="2"/>
        <v>1.9230769230769232E-2</v>
      </c>
      <c r="K61" s="39"/>
      <c r="L61" s="39"/>
      <c r="M61" s="39">
        <v>1</v>
      </c>
      <c r="N61" s="39"/>
      <c r="O61" s="39"/>
      <c r="P61" s="39"/>
      <c r="Q61" s="39"/>
      <c r="R61" s="39"/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18.75" hidden="1">
      <c r="B62" s="65"/>
      <c r="C62" s="63"/>
      <c r="D62" s="52" t="s">
        <v>102</v>
      </c>
      <c r="E62" s="60"/>
      <c r="F62" s="8">
        <v>0.16666666666666666</v>
      </c>
      <c r="G62" s="78" t="s">
        <v>86</v>
      </c>
      <c r="H62" s="79"/>
      <c r="I62" s="35">
        <v>53</v>
      </c>
      <c r="J62" s="9">
        <f t="shared" si="2"/>
        <v>1.8867924528301886E-2</v>
      </c>
      <c r="K62" s="39"/>
      <c r="L62" s="39"/>
      <c r="M62" s="39">
        <v>1</v>
      </c>
      <c r="N62" s="39"/>
      <c r="O62" s="39"/>
      <c r="P62" s="39"/>
      <c r="Q62" s="39"/>
      <c r="R62" s="39"/>
      <c r="S62" s="10">
        <f t="shared" si="9"/>
        <v>1</v>
      </c>
      <c r="T62" s="10">
        <v>100000</v>
      </c>
      <c r="U62" s="10">
        <f t="shared" si="11"/>
        <v>100000</v>
      </c>
      <c r="V62" s="4"/>
      <c r="W62" s="4"/>
      <c r="X62" s="4"/>
      <c r="Y62" s="4"/>
    </row>
    <row r="63" spans="2:26" ht="18.75" hidden="1">
      <c r="B63" s="65"/>
      <c r="C63" s="63"/>
      <c r="D63" s="52" t="s">
        <v>102</v>
      </c>
      <c r="E63" s="60"/>
      <c r="F63" s="8">
        <v>0.25</v>
      </c>
      <c r="G63" s="78" t="s">
        <v>86</v>
      </c>
      <c r="H63" s="79"/>
      <c r="I63" s="35">
        <v>30</v>
      </c>
      <c r="J63" s="9">
        <f t="shared" si="2"/>
        <v>3.3333333333333333E-2</v>
      </c>
      <c r="K63" s="39"/>
      <c r="L63" s="39"/>
      <c r="M63" s="39">
        <v>1</v>
      </c>
      <c r="N63" s="39"/>
      <c r="O63" s="39"/>
      <c r="P63" s="39"/>
      <c r="Q63" s="39"/>
      <c r="R63" s="39"/>
      <c r="S63" s="10">
        <f t="shared" si="9"/>
        <v>1</v>
      </c>
      <c r="T63" s="10">
        <v>100000</v>
      </c>
      <c r="U63" s="10">
        <f t="shared" si="11"/>
        <v>100000</v>
      </c>
      <c r="V63" s="4"/>
      <c r="Y63" s="4"/>
    </row>
    <row r="64" spans="2:26" ht="18.75" hidden="1">
      <c r="B64" s="65"/>
      <c r="C64" s="64"/>
      <c r="D64" s="53" t="s">
        <v>102</v>
      </c>
      <c r="E64" s="61"/>
      <c r="F64" s="14">
        <v>0.33333333333333331</v>
      </c>
      <c r="G64" s="78" t="s">
        <v>86</v>
      </c>
      <c r="H64" s="79"/>
      <c r="I64" s="37">
        <v>53</v>
      </c>
      <c r="J64" s="9">
        <f t="shared" si="2"/>
        <v>1.8867924528301886E-2</v>
      </c>
      <c r="K64" s="40"/>
      <c r="L64" s="40"/>
      <c r="M64" s="40">
        <v>1</v>
      </c>
      <c r="N64" s="40"/>
      <c r="O64" s="40"/>
      <c r="P64" s="40"/>
      <c r="Q64" s="40"/>
      <c r="R64" s="40"/>
      <c r="S64" s="16">
        <f t="shared" si="9"/>
        <v>1</v>
      </c>
      <c r="T64" s="16">
        <v>100000</v>
      </c>
      <c r="U64" s="16">
        <f t="shared" si="11"/>
        <v>100000</v>
      </c>
      <c r="V64" s="4"/>
      <c r="W64" s="4"/>
      <c r="X64" s="4"/>
      <c r="Y64" s="4"/>
    </row>
    <row r="65" spans="2:25" ht="16.5" hidden="1" customHeight="1">
      <c r="B65" s="65">
        <v>46086</v>
      </c>
      <c r="C65" s="62" t="s">
        <v>14</v>
      </c>
      <c r="D65" s="51" t="s">
        <v>102</v>
      </c>
      <c r="E65" s="59" t="s">
        <v>103</v>
      </c>
      <c r="F65" s="5">
        <v>0.41666666666666669</v>
      </c>
      <c r="G65" s="73" t="s">
        <v>77</v>
      </c>
      <c r="H65" s="74"/>
      <c r="I65" s="34">
        <v>52</v>
      </c>
      <c r="J65" s="6">
        <f t="shared" si="2"/>
        <v>0</v>
      </c>
      <c r="K65" s="38"/>
      <c r="L65" s="38"/>
      <c r="M65" s="38"/>
      <c r="N65" s="38"/>
      <c r="O65" s="38"/>
      <c r="P65" s="38"/>
      <c r="Q65" s="38"/>
      <c r="R65" s="38"/>
      <c r="S65" s="7">
        <f>SUM(K65:R65)</f>
        <v>0</v>
      </c>
      <c r="T65" s="7">
        <v>100000</v>
      </c>
      <c r="U65" s="7">
        <f>T65*S65</f>
        <v>0</v>
      </c>
      <c r="V65" s="4"/>
      <c r="W65" s="4"/>
      <c r="X65" s="4"/>
      <c r="Y65" s="4"/>
    </row>
    <row r="66" spans="2:25" ht="18.75" hidden="1">
      <c r="B66" s="65"/>
      <c r="C66" s="63"/>
      <c r="D66" s="52" t="s">
        <v>102</v>
      </c>
      <c r="E66" s="60"/>
      <c r="F66" s="8">
        <v>0.5</v>
      </c>
      <c r="G66" s="78" t="s">
        <v>77</v>
      </c>
      <c r="H66" s="79"/>
      <c r="I66" s="35">
        <v>52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18.75" hidden="1">
      <c r="B67" s="65"/>
      <c r="C67" s="63"/>
      <c r="D67" s="52" t="s">
        <v>102</v>
      </c>
      <c r="E67" s="60"/>
      <c r="F67" s="8">
        <v>0.58333333333333337</v>
      </c>
      <c r="G67" s="78" t="s">
        <v>77</v>
      </c>
      <c r="H67" s="79"/>
      <c r="I67" s="35">
        <v>52</v>
      </c>
      <c r="J67" s="9">
        <f t="shared" si="2"/>
        <v>0</v>
      </c>
      <c r="K67" s="39"/>
      <c r="L67" s="39"/>
      <c r="M67" s="39"/>
      <c r="N67" s="39"/>
      <c r="O67" s="39"/>
      <c r="P67" s="39"/>
      <c r="Q67" s="39"/>
      <c r="R67" s="39"/>
      <c r="S67" s="10">
        <f t="shared" si="12"/>
        <v>0</v>
      </c>
      <c r="T67" s="10">
        <v>100000</v>
      </c>
      <c r="U67" s="10">
        <f t="shared" si="13"/>
        <v>0</v>
      </c>
      <c r="V67" s="4"/>
      <c r="W67" s="4"/>
      <c r="X67" s="4"/>
      <c r="Y67" s="4"/>
    </row>
    <row r="68" spans="2:25" ht="18.75" hidden="1">
      <c r="B68" s="65"/>
      <c r="C68" s="63"/>
      <c r="D68" s="52" t="s">
        <v>102</v>
      </c>
      <c r="E68" s="60"/>
      <c r="F68" s="8">
        <v>0.66666666666666663</v>
      </c>
      <c r="G68" s="78" t="s">
        <v>77</v>
      </c>
      <c r="H68" s="79"/>
      <c r="I68" s="35">
        <v>52</v>
      </c>
      <c r="J68" s="9">
        <f t="shared" si="2"/>
        <v>0</v>
      </c>
      <c r="K68" s="39"/>
      <c r="L68" s="39"/>
      <c r="M68" s="39"/>
      <c r="N68" s="39"/>
      <c r="O68" s="39"/>
      <c r="P68" s="39"/>
      <c r="Q68" s="39"/>
      <c r="R68" s="39"/>
      <c r="S68" s="10">
        <f t="shared" si="12"/>
        <v>0</v>
      </c>
      <c r="T68" s="10">
        <v>100000</v>
      </c>
      <c r="U68" s="10">
        <f>T68*S68</f>
        <v>0</v>
      </c>
      <c r="V68" s="4"/>
      <c r="W68" s="4"/>
      <c r="X68" s="4"/>
      <c r="Y68" s="4"/>
    </row>
    <row r="69" spans="2:25" ht="18.75" hidden="1">
      <c r="B69" s="65"/>
      <c r="C69" s="63"/>
      <c r="D69" s="52" t="s">
        <v>102</v>
      </c>
      <c r="E69" s="60"/>
      <c r="F69" s="8">
        <v>0.75</v>
      </c>
      <c r="G69" s="78" t="s">
        <v>77</v>
      </c>
      <c r="H69" s="79"/>
      <c r="I69" s="35">
        <v>40</v>
      </c>
      <c r="J69" s="9">
        <f t="shared" si="2"/>
        <v>0.05</v>
      </c>
      <c r="K69" s="39"/>
      <c r="L69" s="39"/>
      <c r="M69" s="39">
        <v>2</v>
      </c>
      <c r="N69" s="39"/>
      <c r="O69" s="39"/>
      <c r="P69" s="39"/>
      <c r="Q69" s="39"/>
      <c r="R69" s="39"/>
      <c r="S69" s="10">
        <f t="shared" si="12"/>
        <v>2</v>
      </c>
      <c r="T69" s="10">
        <v>100000</v>
      </c>
      <c r="U69" s="10">
        <f t="shared" ref="U69:U76" si="14">T69*S69</f>
        <v>200000</v>
      </c>
      <c r="V69" s="4"/>
      <c r="W69" s="4"/>
      <c r="X69" s="11"/>
      <c r="Y69" s="4"/>
    </row>
    <row r="70" spans="2:25" ht="18.75" hidden="1">
      <c r="B70" s="65"/>
      <c r="C70" s="63"/>
      <c r="D70" s="53" t="s">
        <v>102</v>
      </c>
      <c r="E70" s="61"/>
      <c r="F70" s="12">
        <v>0.83333333333333337</v>
      </c>
      <c r="G70" s="78" t="s">
        <v>77</v>
      </c>
      <c r="H70" s="79"/>
      <c r="I70" s="36">
        <v>52</v>
      </c>
      <c r="J70" s="9">
        <f t="shared" si="2"/>
        <v>0</v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18.75" hidden="1">
      <c r="B71" s="65"/>
      <c r="C71" s="63"/>
      <c r="D71" s="51" t="s">
        <v>102</v>
      </c>
      <c r="E71" s="59" t="s">
        <v>104</v>
      </c>
      <c r="F71" s="5">
        <v>0.91666666666666663</v>
      </c>
      <c r="G71" s="73" t="s">
        <v>89</v>
      </c>
      <c r="H71" s="74"/>
      <c r="I71" s="34">
        <v>50</v>
      </c>
      <c r="J71" s="6">
        <f t="shared" si="2"/>
        <v>0.02</v>
      </c>
      <c r="K71" s="38"/>
      <c r="L71" s="38"/>
      <c r="M71" s="38">
        <v>1</v>
      </c>
      <c r="N71" s="38"/>
      <c r="O71" s="38"/>
      <c r="P71" s="38"/>
      <c r="Q71" s="38"/>
      <c r="R71" s="38"/>
      <c r="S71" s="7">
        <f t="shared" si="12"/>
        <v>1</v>
      </c>
      <c r="T71" s="7">
        <v>100000</v>
      </c>
      <c r="U71" s="7">
        <f t="shared" si="14"/>
        <v>100000</v>
      </c>
      <c r="V71" s="4"/>
      <c r="Y71" s="4"/>
    </row>
    <row r="72" spans="2:25" ht="18.75" hidden="1">
      <c r="B72" s="65"/>
      <c r="C72" s="63"/>
      <c r="D72" s="52" t="s">
        <v>102</v>
      </c>
      <c r="E72" s="60"/>
      <c r="F72" s="8">
        <v>1</v>
      </c>
      <c r="G72" s="78" t="s">
        <v>89</v>
      </c>
      <c r="H72" s="79"/>
      <c r="I72" s="35">
        <v>50</v>
      </c>
      <c r="J72" s="9">
        <f t="shared" si="2"/>
        <v>0.02</v>
      </c>
      <c r="K72" s="39"/>
      <c r="L72" s="39"/>
      <c r="M72" s="39">
        <v>1</v>
      </c>
      <c r="N72" s="39"/>
      <c r="O72" s="39"/>
      <c r="P72" s="39"/>
      <c r="Q72" s="39"/>
      <c r="R72" s="39"/>
      <c r="S72" s="10">
        <f t="shared" si="12"/>
        <v>1</v>
      </c>
      <c r="T72" s="10">
        <v>100000</v>
      </c>
      <c r="U72" s="10">
        <f t="shared" si="14"/>
        <v>100000</v>
      </c>
      <c r="V72" s="4"/>
      <c r="Y72" s="4"/>
    </row>
    <row r="73" spans="2:25" ht="18.75" hidden="1">
      <c r="B73" s="65"/>
      <c r="C73" s="63"/>
      <c r="D73" s="52" t="s">
        <v>102</v>
      </c>
      <c r="E73" s="60"/>
      <c r="F73" s="8">
        <v>8.3333333333333329E-2</v>
      </c>
      <c r="G73" s="78" t="s">
        <v>89</v>
      </c>
      <c r="H73" s="79"/>
      <c r="I73" s="35">
        <v>50</v>
      </c>
      <c r="J73" s="9">
        <f t="shared" si="2"/>
        <v>0</v>
      </c>
      <c r="K73" s="39"/>
      <c r="L73" s="39"/>
      <c r="M73" s="39"/>
      <c r="N73" s="39"/>
      <c r="O73" s="39"/>
      <c r="P73" s="39"/>
      <c r="Q73" s="39"/>
      <c r="R73" s="39"/>
      <c r="S73" s="10">
        <f t="shared" si="12"/>
        <v>0</v>
      </c>
      <c r="T73" s="10">
        <v>100000</v>
      </c>
      <c r="U73" s="10">
        <f t="shared" si="14"/>
        <v>0</v>
      </c>
      <c r="V73" s="4"/>
      <c r="Y73" s="4"/>
    </row>
    <row r="74" spans="2:25" ht="18.75" hidden="1">
      <c r="B74" s="65"/>
      <c r="C74" s="63"/>
      <c r="D74" s="52" t="s">
        <v>102</v>
      </c>
      <c r="E74" s="60"/>
      <c r="F74" s="8">
        <v>0.16666666666666666</v>
      </c>
      <c r="G74" s="78" t="s">
        <v>89</v>
      </c>
      <c r="H74" s="79"/>
      <c r="I74" s="35">
        <v>50</v>
      </c>
      <c r="J74" s="9">
        <f t="shared" si="2"/>
        <v>0</v>
      </c>
      <c r="K74" s="39"/>
      <c r="L74" s="39"/>
      <c r="M74" s="39"/>
      <c r="N74" s="39"/>
      <c r="O74" s="39"/>
      <c r="P74" s="39"/>
      <c r="Q74" s="39"/>
      <c r="R74" s="39"/>
      <c r="S74" s="10">
        <f t="shared" si="12"/>
        <v>0</v>
      </c>
      <c r="T74" s="10">
        <v>100000</v>
      </c>
      <c r="U74" s="10">
        <f t="shared" si="14"/>
        <v>0</v>
      </c>
      <c r="V74" s="4"/>
      <c r="W74" s="4"/>
      <c r="X74" s="4"/>
      <c r="Y74" s="4"/>
    </row>
    <row r="75" spans="2:25" ht="18.75" hidden="1">
      <c r="B75" s="65"/>
      <c r="C75" s="63"/>
      <c r="D75" s="52" t="s">
        <v>102</v>
      </c>
      <c r="E75" s="60"/>
      <c r="F75" s="8">
        <v>0.25</v>
      </c>
      <c r="G75" s="78" t="s">
        <v>89</v>
      </c>
      <c r="H75" s="79"/>
      <c r="I75" s="35">
        <v>50</v>
      </c>
      <c r="J75" s="9">
        <f t="shared" si="2"/>
        <v>0</v>
      </c>
      <c r="K75" s="39"/>
      <c r="L75" s="39"/>
      <c r="M75" s="39"/>
      <c r="N75" s="39"/>
      <c r="O75" s="39"/>
      <c r="P75" s="39"/>
      <c r="Q75" s="39"/>
      <c r="R75" s="39"/>
      <c r="S75" s="10">
        <f t="shared" si="12"/>
        <v>0</v>
      </c>
      <c r="T75" s="10">
        <v>100000</v>
      </c>
      <c r="U75" s="10">
        <f t="shared" si="14"/>
        <v>0</v>
      </c>
      <c r="V75" s="4"/>
      <c r="Y75" s="4"/>
    </row>
    <row r="76" spans="2:25" ht="18.75" hidden="1">
      <c r="B76" s="65"/>
      <c r="C76" s="64"/>
      <c r="D76" s="53" t="s">
        <v>102</v>
      </c>
      <c r="E76" s="61"/>
      <c r="F76" s="14">
        <v>0.33333333333333331</v>
      </c>
      <c r="G76" s="78" t="s">
        <v>89</v>
      </c>
      <c r="H76" s="79"/>
      <c r="I76" s="37"/>
      <c r="J76" s="9" t="str">
        <f t="shared" si="2"/>
        <v/>
      </c>
      <c r="K76" s="40"/>
      <c r="L76" s="40"/>
      <c r="M76" s="40"/>
      <c r="N76" s="40"/>
      <c r="O76" s="40"/>
      <c r="P76" s="40"/>
      <c r="Q76" s="40"/>
      <c r="R76" s="40"/>
      <c r="S76" s="16">
        <f t="shared" si="12"/>
        <v>0</v>
      </c>
      <c r="T76" s="16">
        <v>100000</v>
      </c>
      <c r="U76" s="16">
        <f t="shared" si="14"/>
        <v>0</v>
      </c>
      <c r="V76" s="4"/>
      <c r="W76" s="4"/>
      <c r="X76" s="4"/>
      <c r="Y76" s="4"/>
    </row>
    <row r="77" spans="2:25" ht="16.5" hidden="1" customHeight="1">
      <c r="B77" s="65">
        <v>46087</v>
      </c>
      <c r="C77" s="62" t="s">
        <v>14</v>
      </c>
      <c r="D77" s="51" t="s">
        <v>102</v>
      </c>
      <c r="E77" s="59" t="s">
        <v>103</v>
      </c>
      <c r="F77" s="5">
        <v>0.41666666666666669</v>
      </c>
      <c r="G77" s="73" t="s">
        <v>77</v>
      </c>
      <c r="H77" s="74"/>
      <c r="I77" s="34">
        <v>53</v>
      </c>
      <c r="J77" s="6">
        <f t="shared" si="2"/>
        <v>0</v>
      </c>
      <c r="K77" s="38"/>
      <c r="L77" s="38"/>
      <c r="M77" s="38"/>
      <c r="N77" s="38"/>
      <c r="O77" s="38"/>
      <c r="P77" s="38"/>
      <c r="Q77" s="38"/>
      <c r="R77" s="38"/>
      <c r="S77" s="7">
        <f>SUM(K77:R77)</f>
        <v>0</v>
      </c>
      <c r="T77" s="7">
        <v>100000</v>
      </c>
      <c r="U77" s="7">
        <f>T77*S77</f>
        <v>0</v>
      </c>
      <c r="V77" s="4"/>
      <c r="W77" s="4"/>
      <c r="X77" s="4"/>
      <c r="Y77" s="4"/>
    </row>
    <row r="78" spans="2:25" ht="18.75" hidden="1">
      <c r="B78" s="65"/>
      <c r="C78" s="63"/>
      <c r="D78" s="52" t="s">
        <v>102</v>
      </c>
      <c r="E78" s="60"/>
      <c r="F78" s="8">
        <v>0.5</v>
      </c>
      <c r="G78" s="78" t="s">
        <v>77</v>
      </c>
      <c r="H78" s="79"/>
      <c r="I78" s="35">
        <v>28</v>
      </c>
      <c r="J78" s="9">
        <f t="shared" si="2"/>
        <v>3.5714285714285712E-2</v>
      </c>
      <c r="K78" s="39"/>
      <c r="L78" s="39"/>
      <c r="M78" s="39"/>
      <c r="N78" s="39"/>
      <c r="O78" s="39"/>
      <c r="P78" s="39"/>
      <c r="Q78" s="39">
        <v>1</v>
      </c>
      <c r="R78" s="39"/>
      <c r="S78" s="10">
        <f t="shared" ref="S78:S88" si="15">SUM(K78:R78)</f>
        <v>1</v>
      </c>
      <c r="T78" s="10">
        <v>100000</v>
      </c>
      <c r="U78" s="10">
        <f t="shared" ref="U78:U79" si="16">T78*S78</f>
        <v>100000</v>
      </c>
      <c r="V78" s="4"/>
      <c r="W78" s="4"/>
      <c r="X78" s="4"/>
      <c r="Y78" s="4"/>
    </row>
    <row r="79" spans="2:25" ht="18.75" hidden="1">
      <c r="B79" s="65"/>
      <c r="C79" s="63"/>
      <c r="D79" s="52" t="s">
        <v>102</v>
      </c>
      <c r="E79" s="60"/>
      <c r="F79" s="8">
        <v>0.58333333333333337</v>
      </c>
      <c r="G79" s="78" t="s">
        <v>77</v>
      </c>
      <c r="H79" s="79"/>
      <c r="I79" s="35">
        <v>53</v>
      </c>
      <c r="J79" s="9">
        <f t="shared" si="2"/>
        <v>0</v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18.75" hidden="1">
      <c r="B80" s="65"/>
      <c r="C80" s="63"/>
      <c r="D80" s="52" t="s">
        <v>102</v>
      </c>
      <c r="E80" s="60"/>
      <c r="F80" s="8">
        <v>0.66666666666666663</v>
      </c>
      <c r="G80" s="78" t="s">
        <v>77</v>
      </c>
      <c r="H80" s="79"/>
      <c r="I80" s="35">
        <v>53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8.75" hidden="1">
      <c r="B81" s="65"/>
      <c r="C81" s="63"/>
      <c r="D81" s="52" t="s">
        <v>102</v>
      </c>
      <c r="E81" s="60"/>
      <c r="F81" s="8">
        <v>0.75</v>
      </c>
      <c r="G81" s="78" t="s">
        <v>77</v>
      </c>
      <c r="H81" s="79"/>
      <c r="I81" s="35">
        <v>40</v>
      </c>
      <c r="J81" s="9">
        <f t="shared" si="2"/>
        <v>2.5000000000000001E-2</v>
      </c>
      <c r="K81" s="39"/>
      <c r="L81" s="39"/>
      <c r="M81" s="39"/>
      <c r="N81" s="39"/>
      <c r="O81" s="39"/>
      <c r="P81" s="39"/>
      <c r="Q81" s="39">
        <v>1</v>
      </c>
      <c r="R81" s="39"/>
      <c r="S81" s="10">
        <f t="shared" si="15"/>
        <v>1</v>
      </c>
      <c r="T81" s="10">
        <v>100000</v>
      </c>
      <c r="U81" s="10">
        <f t="shared" ref="U81:U88" si="17">T81*S81</f>
        <v>100000</v>
      </c>
      <c r="V81" s="4"/>
      <c r="W81" s="4"/>
      <c r="X81" s="11"/>
      <c r="Y81" s="4"/>
    </row>
    <row r="82" spans="2:25" ht="18.75" hidden="1">
      <c r="B82" s="65"/>
      <c r="C82" s="63"/>
      <c r="D82" s="53" t="s">
        <v>102</v>
      </c>
      <c r="E82" s="61"/>
      <c r="F82" s="12">
        <v>0.83333333333333337</v>
      </c>
      <c r="G82" s="78" t="s">
        <v>77</v>
      </c>
      <c r="H82" s="79"/>
      <c r="I82" s="36">
        <v>53</v>
      </c>
      <c r="J82" s="9">
        <f t="shared" si="2"/>
        <v>0</v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8.75" hidden="1">
      <c r="B83" s="65"/>
      <c r="C83" s="63"/>
      <c r="D83" s="51" t="s">
        <v>102</v>
      </c>
      <c r="E83" s="59" t="s">
        <v>104</v>
      </c>
      <c r="F83" s="5">
        <v>0.91666666666666663</v>
      </c>
      <c r="G83" s="73" t="s">
        <v>89</v>
      </c>
      <c r="H83" s="74"/>
      <c r="I83" s="34">
        <v>45</v>
      </c>
      <c r="J83" s="6">
        <f t="shared" ref="J83:J136" si="18">IFERROR(S83/I83,"")</f>
        <v>2.2222222222222223E-2</v>
      </c>
      <c r="K83" s="38">
        <v>1</v>
      </c>
      <c r="L83" s="38"/>
      <c r="M83" s="38"/>
      <c r="N83" s="38"/>
      <c r="O83" s="38"/>
      <c r="P83" s="38"/>
      <c r="Q83" s="38"/>
      <c r="R83" s="38"/>
      <c r="S83" s="7">
        <f t="shared" si="15"/>
        <v>1</v>
      </c>
      <c r="T83" s="7">
        <v>100000</v>
      </c>
      <c r="U83" s="7">
        <f t="shared" si="17"/>
        <v>100000</v>
      </c>
      <c r="V83" s="4"/>
      <c r="Y83" s="4"/>
    </row>
    <row r="84" spans="2:25" ht="18.75" hidden="1">
      <c r="B84" s="65"/>
      <c r="C84" s="63"/>
      <c r="D84" s="52" t="s">
        <v>102</v>
      </c>
      <c r="E84" s="60"/>
      <c r="F84" s="8">
        <v>1</v>
      </c>
      <c r="G84" s="78" t="s">
        <v>89</v>
      </c>
      <c r="H84" s="79"/>
      <c r="I84" s="35">
        <v>45</v>
      </c>
      <c r="J84" s="9">
        <f t="shared" si="18"/>
        <v>2.2222222222222223E-2</v>
      </c>
      <c r="K84" s="39"/>
      <c r="L84" s="39"/>
      <c r="M84" s="39">
        <v>1</v>
      </c>
      <c r="N84" s="39"/>
      <c r="O84" s="39"/>
      <c r="P84" s="39"/>
      <c r="Q84" s="39"/>
      <c r="R84" s="39"/>
      <c r="S84" s="10">
        <f t="shared" si="15"/>
        <v>1</v>
      </c>
      <c r="T84" s="10">
        <v>100000</v>
      </c>
      <c r="U84" s="10">
        <f t="shared" si="17"/>
        <v>100000</v>
      </c>
      <c r="V84" s="4"/>
      <c r="Y84" s="4"/>
    </row>
    <row r="85" spans="2:25" ht="18.75" hidden="1">
      <c r="B85" s="65"/>
      <c r="C85" s="63"/>
      <c r="D85" s="52" t="s">
        <v>102</v>
      </c>
      <c r="E85" s="60"/>
      <c r="F85" s="8">
        <v>8.3333333333333329E-2</v>
      </c>
      <c r="G85" s="78" t="s">
        <v>89</v>
      </c>
      <c r="H85" s="79"/>
      <c r="I85" s="35">
        <v>45</v>
      </c>
      <c r="J85" s="9">
        <f t="shared" si="18"/>
        <v>2.2222222222222223E-2</v>
      </c>
      <c r="K85" s="39">
        <v>1</v>
      </c>
      <c r="L85" s="39"/>
      <c r="M85" s="39"/>
      <c r="N85" s="39"/>
      <c r="O85" s="39"/>
      <c r="P85" s="39"/>
      <c r="Q85" s="39"/>
      <c r="R85" s="39"/>
      <c r="S85" s="10">
        <f t="shared" si="15"/>
        <v>1</v>
      </c>
      <c r="T85" s="10">
        <v>100000</v>
      </c>
      <c r="U85" s="10">
        <f t="shared" si="17"/>
        <v>100000</v>
      </c>
      <c r="V85" s="4"/>
      <c r="Y85" s="4"/>
    </row>
    <row r="86" spans="2:25" ht="18.75" hidden="1">
      <c r="B86" s="65"/>
      <c r="C86" s="63"/>
      <c r="D86" s="52" t="s">
        <v>102</v>
      </c>
      <c r="E86" s="60"/>
      <c r="F86" s="8">
        <v>0.16666666666666666</v>
      </c>
      <c r="G86" s="78" t="s">
        <v>89</v>
      </c>
      <c r="H86" s="79"/>
      <c r="I86" s="35">
        <v>48</v>
      </c>
      <c r="J86" s="9">
        <f t="shared" si="18"/>
        <v>0</v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18.75" hidden="1">
      <c r="B87" s="65"/>
      <c r="C87" s="63"/>
      <c r="D87" s="52" t="s">
        <v>102</v>
      </c>
      <c r="E87" s="60"/>
      <c r="F87" s="8">
        <v>0.25</v>
      </c>
      <c r="G87" s="78" t="s">
        <v>89</v>
      </c>
      <c r="H87" s="79"/>
      <c r="I87" s="35">
        <v>48</v>
      </c>
      <c r="J87" s="9">
        <f t="shared" si="18"/>
        <v>0</v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18.75" hidden="1">
      <c r="B88" s="65"/>
      <c r="C88" s="64"/>
      <c r="D88" s="53" t="s">
        <v>102</v>
      </c>
      <c r="E88" s="61"/>
      <c r="F88" s="14">
        <v>0.33333333333333331</v>
      </c>
      <c r="G88" s="78" t="s">
        <v>89</v>
      </c>
      <c r="H88" s="79"/>
      <c r="I88" s="37">
        <v>49</v>
      </c>
      <c r="J88" s="9">
        <f t="shared" si="18"/>
        <v>0</v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hidden="1" customHeight="1">
      <c r="B89" s="65">
        <v>46088</v>
      </c>
      <c r="C89" s="62" t="s">
        <v>14</v>
      </c>
      <c r="D89" s="51" t="s">
        <v>102</v>
      </c>
      <c r="E89" s="59" t="s">
        <v>103</v>
      </c>
      <c r="F89" s="5">
        <v>0.41666666666666669</v>
      </c>
      <c r="G89" s="73" t="s">
        <v>74</v>
      </c>
      <c r="H89" s="74"/>
      <c r="I89" s="34">
        <v>54</v>
      </c>
      <c r="J89" s="6">
        <f t="shared" si="18"/>
        <v>0</v>
      </c>
      <c r="K89" s="38"/>
      <c r="L89" s="38"/>
      <c r="M89" s="38"/>
      <c r="N89" s="38"/>
      <c r="O89" s="38"/>
      <c r="P89" s="38"/>
      <c r="Q89" s="38"/>
      <c r="R89" s="38"/>
      <c r="S89" s="7">
        <f>SUM(K89:R89)</f>
        <v>0</v>
      </c>
      <c r="T89" s="7">
        <v>100000</v>
      </c>
      <c r="U89" s="7">
        <f>T89*S89</f>
        <v>0</v>
      </c>
      <c r="V89" s="4"/>
      <c r="W89" s="4"/>
      <c r="X89" s="4"/>
      <c r="Y89" s="4"/>
    </row>
    <row r="90" spans="2:25" ht="18.75" hidden="1">
      <c r="B90" s="65"/>
      <c r="C90" s="63"/>
      <c r="D90" s="52" t="s">
        <v>102</v>
      </c>
      <c r="E90" s="60"/>
      <c r="F90" s="8">
        <v>0.5</v>
      </c>
      <c r="G90" s="78" t="s">
        <v>74</v>
      </c>
      <c r="H90" s="79"/>
      <c r="I90" s="35">
        <v>27</v>
      </c>
      <c r="J90" s="9">
        <f t="shared" si="18"/>
        <v>3.7037037037037035E-2</v>
      </c>
      <c r="K90" s="39"/>
      <c r="L90" s="39"/>
      <c r="M90" s="39"/>
      <c r="N90" s="39"/>
      <c r="O90" s="39"/>
      <c r="P90" s="39"/>
      <c r="Q90" s="39">
        <v>1</v>
      </c>
      <c r="R90" s="39"/>
      <c r="S90" s="10">
        <f t="shared" ref="S90:S100" si="19">SUM(K90:R90)</f>
        <v>1</v>
      </c>
      <c r="T90" s="10">
        <v>100000</v>
      </c>
      <c r="U90" s="10">
        <f t="shared" ref="U90:U91" si="20">T90*S90</f>
        <v>100000</v>
      </c>
      <c r="V90" s="4"/>
      <c r="W90" s="4"/>
      <c r="X90" s="4"/>
      <c r="Y90" s="4"/>
    </row>
    <row r="91" spans="2:25" ht="18.75" hidden="1">
      <c r="B91" s="65"/>
      <c r="C91" s="63"/>
      <c r="D91" s="52" t="s">
        <v>102</v>
      </c>
      <c r="E91" s="60"/>
      <c r="F91" s="8">
        <v>0.58333333333333337</v>
      </c>
      <c r="G91" s="78" t="s">
        <v>74</v>
      </c>
      <c r="H91" s="79"/>
      <c r="I91" s="35">
        <v>54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8.75" hidden="1">
      <c r="B92" s="65"/>
      <c r="C92" s="63"/>
      <c r="D92" s="52" t="s">
        <v>102</v>
      </c>
      <c r="E92" s="60"/>
      <c r="F92" s="8">
        <v>0.66666666666666663</v>
      </c>
      <c r="G92" s="78" t="s">
        <v>74</v>
      </c>
      <c r="H92" s="79"/>
      <c r="I92" s="35">
        <v>54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8.75" hidden="1">
      <c r="B93" s="65"/>
      <c r="C93" s="63"/>
      <c r="D93" s="52" t="s">
        <v>102</v>
      </c>
      <c r="E93" s="60"/>
      <c r="F93" s="8">
        <v>0.75</v>
      </c>
      <c r="G93" s="78" t="s">
        <v>74</v>
      </c>
      <c r="H93" s="79"/>
      <c r="I93" s="35">
        <v>37</v>
      </c>
      <c r="J93" s="9">
        <f t="shared" si="18"/>
        <v>2.7027027027027029E-2</v>
      </c>
      <c r="K93" s="39"/>
      <c r="L93" s="39"/>
      <c r="M93" s="39"/>
      <c r="N93" s="39"/>
      <c r="O93" s="39"/>
      <c r="P93" s="39"/>
      <c r="Q93" s="39">
        <v>1</v>
      </c>
      <c r="R93" s="39"/>
      <c r="S93" s="10">
        <f t="shared" si="19"/>
        <v>1</v>
      </c>
      <c r="T93" s="10">
        <v>100000</v>
      </c>
      <c r="U93" s="10">
        <f t="shared" ref="U93:U100" si="21">T93*S93</f>
        <v>100000</v>
      </c>
      <c r="V93" s="4"/>
      <c r="W93" s="4"/>
      <c r="X93" s="11"/>
      <c r="Y93" s="4"/>
    </row>
    <row r="94" spans="2:25" ht="18.75" hidden="1">
      <c r="B94" s="65"/>
      <c r="C94" s="63"/>
      <c r="D94" s="53" t="s">
        <v>102</v>
      </c>
      <c r="E94" s="61"/>
      <c r="F94" s="12">
        <v>0.83333333333333337</v>
      </c>
      <c r="G94" s="78" t="s">
        <v>74</v>
      </c>
      <c r="H94" s="79"/>
      <c r="I94" s="36">
        <v>54</v>
      </c>
      <c r="J94" s="9">
        <f t="shared" si="18"/>
        <v>0</v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8.75" hidden="1">
      <c r="B95" s="65"/>
      <c r="C95" s="63"/>
      <c r="D95" s="51" t="s">
        <v>102</v>
      </c>
      <c r="E95" s="59" t="s">
        <v>104</v>
      </c>
      <c r="F95" s="5">
        <v>0.91666666666666663</v>
      </c>
      <c r="G95" s="73" t="s">
        <v>87</v>
      </c>
      <c r="H95" s="74"/>
      <c r="I95" s="34">
        <v>50</v>
      </c>
      <c r="J95" s="6">
        <f t="shared" si="18"/>
        <v>0.04</v>
      </c>
      <c r="K95" s="38"/>
      <c r="L95" s="38"/>
      <c r="M95" s="38"/>
      <c r="N95" s="38"/>
      <c r="O95" s="38"/>
      <c r="P95" s="38"/>
      <c r="Q95" s="38">
        <v>2</v>
      </c>
      <c r="R95" s="38"/>
      <c r="S95" s="7">
        <f t="shared" si="19"/>
        <v>2</v>
      </c>
      <c r="T95" s="7">
        <v>100000</v>
      </c>
      <c r="U95" s="7">
        <f t="shared" si="21"/>
        <v>200000</v>
      </c>
      <c r="V95" s="4"/>
      <c r="Y95" s="4"/>
    </row>
    <row r="96" spans="2:25" ht="18.75" hidden="1">
      <c r="B96" s="65"/>
      <c r="C96" s="63"/>
      <c r="D96" s="52" t="s">
        <v>102</v>
      </c>
      <c r="E96" s="60"/>
      <c r="F96" s="8">
        <v>1</v>
      </c>
      <c r="G96" s="78" t="s">
        <v>87</v>
      </c>
      <c r="H96" s="79"/>
      <c r="I96" s="35">
        <v>50</v>
      </c>
      <c r="J96" s="9">
        <f t="shared" si="18"/>
        <v>0.04</v>
      </c>
      <c r="K96" s="39"/>
      <c r="L96" s="39"/>
      <c r="M96" s="39"/>
      <c r="N96" s="39"/>
      <c r="O96" s="39"/>
      <c r="P96" s="39"/>
      <c r="Q96" s="39">
        <v>2</v>
      </c>
      <c r="R96" s="39"/>
      <c r="S96" s="10">
        <f t="shared" si="19"/>
        <v>2</v>
      </c>
      <c r="T96" s="10">
        <v>100000</v>
      </c>
      <c r="U96" s="10">
        <f t="shared" si="21"/>
        <v>200000</v>
      </c>
      <c r="V96" s="4"/>
      <c r="Y96" s="4"/>
    </row>
    <row r="97" spans="2:25" ht="18.75" hidden="1">
      <c r="B97" s="65"/>
      <c r="C97" s="63"/>
      <c r="D97" s="52" t="s">
        <v>102</v>
      </c>
      <c r="E97" s="60"/>
      <c r="F97" s="8">
        <v>8.3333333333333329E-2</v>
      </c>
      <c r="G97" s="78" t="s">
        <v>87</v>
      </c>
      <c r="H97" s="79"/>
      <c r="I97" s="35">
        <v>50</v>
      </c>
      <c r="J97" s="9">
        <f t="shared" si="18"/>
        <v>0.04</v>
      </c>
      <c r="K97" s="39"/>
      <c r="L97" s="39"/>
      <c r="M97" s="39">
        <v>2</v>
      </c>
      <c r="N97" s="39"/>
      <c r="O97" s="39"/>
      <c r="P97" s="39"/>
      <c r="Q97" s="39"/>
      <c r="R97" s="39"/>
      <c r="S97" s="10">
        <f t="shared" si="19"/>
        <v>2</v>
      </c>
      <c r="T97" s="10">
        <v>100000</v>
      </c>
      <c r="U97" s="10">
        <f t="shared" si="21"/>
        <v>200000</v>
      </c>
      <c r="V97" s="4"/>
      <c r="Y97" s="4"/>
    </row>
    <row r="98" spans="2:25" ht="18.75" hidden="1">
      <c r="B98" s="65"/>
      <c r="C98" s="63"/>
      <c r="D98" s="52" t="s">
        <v>102</v>
      </c>
      <c r="E98" s="60"/>
      <c r="F98" s="8">
        <v>0.16666666666666666</v>
      </c>
      <c r="G98" s="78" t="s">
        <v>87</v>
      </c>
      <c r="H98" s="79"/>
      <c r="I98" s="35">
        <v>50</v>
      </c>
      <c r="J98" s="9">
        <f t="shared" si="18"/>
        <v>0.02</v>
      </c>
      <c r="K98" s="39"/>
      <c r="L98" s="39"/>
      <c r="M98" s="39">
        <v>1</v>
      </c>
      <c r="N98" s="39"/>
      <c r="O98" s="39"/>
      <c r="P98" s="39"/>
      <c r="Q98" s="39"/>
      <c r="R98" s="39"/>
      <c r="S98" s="10">
        <f t="shared" si="19"/>
        <v>1</v>
      </c>
      <c r="T98" s="10">
        <v>100000</v>
      </c>
      <c r="U98" s="10">
        <f t="shared" si="21"/>
        <v>100000</v>
      </c>
      <c r="V98" s="4"/>
      <c r="W98" s="4"/>
      <c r="X98" s="4"/>
      <c r="Y98" s="4"/>
    </row>
    <row r="99" spans="2:25" ht="18.75" hidden="1">
      <c r="B99" s="65"/>
      <c r="C99" s="63"/>
      <c r="D99" s="52" t="s">
        <v>102</v>
      </c>
      <c r="E99" s="60"/>
      <c r="F99" s="8">
        <v>0.25</v>
      </c>
      <c r="G99" s="78" t="s">
        <v>87</v>
      </c>
      <c r="H99" s="79"/>
      <c r="I99" s="35">
        <v>20</v>
      </c>
      <c r="J99" s="9">
        <f t="shared" si="18"/>
        <v>0</v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8.75" hidden="1">
      <c r="B100" s="65"/>
      <c r="C100" s="64"/>
      <c r="D100" s="53" t="s">
        <v>102</v>
      </c>
      <c r="E100" s="61"/>
      <c r="F100" s="14">
        <v>0.33333333333333331</v>
      </c>
      <c r="G100" s="78" t="s">
        <v>87</v>
      </c>
      <c r="H100" s="79"/>
      <c r="I100" s="37">
        <v>0</v>
      </c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5">
        <v>46089</v>
      </c>
      <c r="C101" s="62" t="s">
        <v>14</v>
      </c>
      <c r="D101" s="51" t="s">
        <v>60</v>
      </c>
      <c r="E101" s="59" t="s">
        <v>103</v>
      </c>
      <c r="F101" s="5">
        <v>0.41666666666666669</v>
      </c>
      <c r="G101" s="73" t="s">
        <v>74</v>
      </c>
      <c r="H101" s="74"/>
      <c r="I101" s="34">
        <v>15</v>
      </c>
      <c r="J101" s="6">
        <f t="shared" si="18"/>
        <v>0.46666666666666667</v>
      </c>
      <c r="K101" s="38"/>
      <c r="L101" s="38"/>
      <c r="M101" s="38">
        <v>1</v>
      </c>
      <c r="N101" s="38"/>
      <c r="O101" s="38"/>
      <c r="P101" s="38"/>
      <c r="Q101" s="38">
        <v>6</v>
      </c>
      <c r="R101" s="38"/>
      <c r="S101" s="7">
        <f>SUM(K101:R101)</f>
        <v>7</v>
      </c>
      <c r="T101" s="7">
        <v>100000</v>
      </c>
      <c r="U101" s="7">
        <f>T101*S101</f>
        <v>700000</v>
      </c>
      <c r="V101" s="4"/>
      <c r="W101" s="4"/>
      <c r="X101" s="4"/>
      <c r="Y101" s="4"/>
    </row>
    <row r="102" spans="2:25" ht="18.75">
      <c r="B102" s="65"/>
      <c r="C102" s="63"/>
      <c r="D102" s="52" t="s">
        <v>60</v>
      </c>
      <c r="E102" s="60"/>
      <c r="F102" s="8">
        <v>0.5</v>
      </c>
      <c r="G102" s="78" t="s">
        <v>74</v>
      </c>
      <c r="H102" s="79"/>
      <c r="I102" s="35">
        <v>60</v>
      </c>
      <c r="J102" s="9">
        <f t="shared" si="18"/>
        <v>0</v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8.75">
      <c r="B103" s="65"/>
      <c r="C103" s="63"/>
      <c r="D103" s="52" t="s">
        <v>60</v>
      </c>
      <c r="E103" s="60"/>
      <c r="F103" s="8">
        <v>0.58333333333333337</v>
      </c>
      <c r="G103" s="78" t="s">
        <v>74</v>
      </c>
      <c r="H103" s="79"/>
      <c r="I103" s="35">
        <v>60</v>
      </c>
      <c r="J103" s="9">
        <f t="shared" si="18"/>
        <v>0</v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8.75">
      <c r="B104" s="65"/>
      <c r="C104" s="63"/>
      <c r="D104" s="52" t="s">
        <v>60</v>
      </c>
      <c r="E104" s="60"/>
      <c r="F104" s="8">
        <v>0.66666666666666663</v>
      </c>
      <c r="G104" s="78" t="s">
        <v>74</v>
      </c>
      <c r="H104" s="79"/>
      <c r="I104" s="35">
        <v>60</v>
      </c>
      <c r="J104" s="9">
        <f t="shared" si="18"/>
        <v>0</v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8.75">
      <c r="B105" s="65"/>
      <c r="C105" s="63"/>
      <c r="D105" s="52" t="s">
        <v>60</v>
      </c>
      <c r="E105" s="60"/>
      <c r="F105" s="8">
        <v>0.75</v>
      </c>
      <c r="G105" s="78" t="s">
        <v>74</v>
      </c>
      <c r="H105" s="79"/>
      <c r="I105" s="35">
        <v>15</v>
      </c>
      <c r="J105" s="9">
        <f t="shared" si="18"/>
        <v>0</v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8.75">
      <c r="B106" s="65"/>
      <c r="C106" s="63"/>
      <c r="D106" s="53" t="s">
        <v>60</v>
      </c>
      <c r="E106" s="61"/>
      <c r="F106" s="12">
        <v>0.83333333333333337</v>
      </c>
      <c r="G106" s="78" t="s">
        <v>74</v>
      </c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8.75">
      <c r="B107" s="65"/>
      <c r="C107" s="63"/>
      <c r="D107" s="51" t="s">
        <v>60</v>
      </c>
      <c r="E107" s="59" t="s">
        <v>104</v>
      </c>
      <c r="F107" s="5">
        <v>0.91666666666666663</v>
      </c>
      <c r="G107" s="73" t="s">
        <v>89</v>
      </c>
      <c r="H107" s="74"/>
      <c r="I107" s="34">
        <v>23</v>
      </c>
      <c r="J107" s="6">
        <f t="shared" si="18"/>
        <v>0.2608695652173913</v>
      </c>
      <c r="K107" s="38"/>
      <c r="L107" s="38"/>
      <c r="M107" s="38">
        <v>1</v>
      </c>
      <c r="N107" s="38"/>
      <c r="O107" s="38"/>
      <c r="P107" s="38"/>
      <c r="Q107" s="38">
        <v>5</v>
      </c>
      <c r="R107" s="38"/>
      <c r="S107" s="7">
        <f t="shared" si="22"/>
        <v>6</v>
      </c>
      <c r="T107" s="7">
        <v>100000</v>
      </c>
      <c r="U107" s="7">
        <f t="shared" si="24"/>
        <v>600000</v>
      </c>
      <c r="V107" s="4"/>
      <c r="Y107" s="4"/>
    </row>
    <row r="108" spans="2:25" ht="18.75">
      <c r="B108" s="65"/>
      <c r="C108" s="63"/>
      <c r="D108" s="52" t="s">
        <v>60</v>
      </c>
      <c r="E108" s="60"/>
      <c r="F108" s="8">
        <v>1</v>
      </c>
      <c r="G108" s="78" t="s">
        <v>89</v>
      </c>
      <c r="H108" s="79"/>
      <c r="I108" s="35">
        <v>59</v>
      </c>
      <c r="J108" s="9">
        <f t="shared" si="18"/>
        <v>1.6949152542372881E-2</v>
      </c>
      <c r="K108" s="39"/>
      <c r="L108" s="39"/>
      <c r="M108" s="39">
        <v>1</v>
      </c>
      <c r="N108" s="39"/>
      <c r="O108" s="39"/>
      <c r="P108" s="39"/>
      <c r="Q108" s="39"/>
      <c r="R108" s="39"/>
      <c r="S108" s="10">
        <f t="shared" si="22"/>
        <v>1</v>
      </c>
      <c r="T108" s="10">
        <v>100000</v>
      </c>
      <c r="U108" s="10">
        <f t="shared" si="24"/>
        <v>100000</v>
      </c>
      <c r="V108" s="4"/>
      <c r="Y108" s="4"/>
    </row>
    <row r="109" spans="2:25" ht="18.75">
      <c r="B109" s="65"/>
      <c r="C109" s="63"/>
      <c r="D109" s="52" t="s">
        <v>60</v>
      </c>
      <c r="E109" s="60"/>
      <c r="F109" s="8">
        <v>8.3333333333333329E-2</v>
      </c>
      <c r="G109" s="78" t="s">
        <v>89</v>
      </c>
      <c r="H109" s="79"/>
      <c r="I109" s="35">
        <v>59</v>
      </c>
      <c r="J109" s="9">
        <f t="shared" si="18"/>
        <v>1.6949152542372881E-2</v>
      </c>
      <c r="K109" s="39"/>
      <c r="L109" s="39"/>
      <c r="M109" s="39">
        <v>1</v>
      </c>
      <c r="N109" s="39"/>
      <c r="O109" s="39"/>
      <c r="P109" s="39"/>
      <c r="Q109" s="39"/>
      <c r="R109" s="39"/>
      <c r="S109" s="10">
        <f t="shared" si="22"/>
        <v>1</v>
      </c>
      <c r="T109" s="10">
        <v>100000</v>
      </c>
      <c r="U109" s="10">
        <f t="shared" si="24"/>
        <v>100000</v>
      </c>
      <c r="V109" s="4"/>
      <c r="Y109" s="4"/>
    </row>
    <row r="110" spans="2:25" ht="18.75">
      <c r="B110" s="65"/>
      <c r="C110" s="63"/>
      <c r="D110" s="52" t="s">
        <v>60</v>
      </c>
      <c r="E110" s="60"/>
      <c r="F110" s="8">
        <v>0.16666666666666666</v>
      </c>
      <c r="G110" s="78" t="s">
        <v>89</v>
      </c>
      <c r="H110" s="79"/>
      <c r="I110" s="35">
        <v>59</v>
      </c>
      <c r="J110" s="9">
        <f t="shared" si="18"/>
        <v>1.6949152542372881E-2</v>
      </c>
      <c r="K110" s="39"/>
      <c r="L110" s="39"/>
      <c r="M110" s="39">
        <v>1</v>
      </c>
      <c r="N110" s="39"/>
      <c r="O110" s="39"/>
      <c r="P110" s="39"/>
      <c r="Q110" s="39"/>
      <c r="R110" s="39"/>
      <c r="S110" s="10">
        <f t="shared" si="22"/>
        <v>1</v>
      </c>
      <c r="T110" s="10">
        <v>100000</v>
      </c>
      <c r="U110" s="10">
        <f t="shared" si="24"/>
        <v>100000</v>
      </c>
      <c r="V110" s="4"/>
      <c r="W110" s="4"/>
      <c r="X110" s="4"/>
      <c r="Y110" s="4"/>
    </row>
    <row r="111" spans="2:25" ht="18.75">
      <c r="B111" s="65"/>
      <c r="C111" s="63"/>
      <c r="D111" s="52" t="s">
        <v>60</v>
      </c>
      <c r="E111" s="60"/>
      <c r="F111" s="8">
        <v>0.25</v>
      </c>
      <c r="G111" s="78" t="s">
        <v>89</v>
      </c>
      <c r="H111" s="79"/>
      <c r="I111" s="35">
        <v>60</v>
      </c>
      <c r="J111" s="9">
        <f t="shared" si="18"/>
        <v>0</v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8.75">
      <c r="B112" s="65"/>
      <c r="C112" s="64"/>
      <c r="D112" s="53" t="s">
        <v>60</v>
      </c>
      <c r="E112" s="61"/>
      <c r="F112" s="14">
        <v>0.33333333333333331</v>
      </c>
      <c r="G112" s="78" t="s">
        <v>89</v>
      </c>
      <c r="H112" s="79"/>
      <c r="I112" s="37">
        <v>60</v>
      </c>
      <c r="J112" s="9">
        <f t="shared" si="18"/>
        <v>0</v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5">
        <v>46090</v>
      </c>
      <c r="C113" s="62" t="s">
        <v>14</v>
      </c>
      <c r="D113" s="51" t="s">
        <v>60</v>
      </c>
      <c r="E113" s="59" t="s">
        <v>103</v>
      </c>
      <c r="F113" s="5">
        <v>0.41666666666666669</v>
      </c>
      <c r="G113" s="73" t="s">
        <v>76</v>
      </c>
      <c r="H113" s="74"/>
      <c r="I113" s="34">
        <v>26</v>
      </c>
      <c r="J113" s="6">
        <f t="shared" si="18"/>
        <v>0.61538461538461542</v>
      </c>
      <c r="K113" s="38"/>
      <c r="L113" s="38"/>
      <c r="M113" s="38"/>
      <c r="N113" s="38"/>
      <c r="O113" s="38"/>
      <c r="P113" s="38"/>
      <c r="Q113" s="38">
        <v>12</v>
      </c>
      <c r="R113" s="38">
        <v>4</v>
      </c>
      <c r="S113" s="7">
        <f>SUM(K113:R113)</f>
        <v>16</v>
      </c>
      <c r="T113" s="7">
        <v>100000</v>
      </c>
      <c r="U113" s="7">
        <f>T113*S113</f>
        <v>1600000</v>
      </c>
      <c r="V113" s="4"/>
      <c r="W113" s="4"/>
      <c r="X113" s="4"/>
      <c r="Y113" s="4"/>
    </row>
    <row r="114" spans="2:25" ht="18.75" customHeight="1">
      <c r="B114" s="65"/>
      <c r="C114" s="63"/>
      <c r="D114" s="52" t="s">
        <v>60</v>
      </c>
      <c r="E114" s="60"/>
      <c r="F114" s="8">
        <v>0.5</v>
      </c>
      <c r="G114" s="78" t="s">
        <v>76</v>
      </c>
      <c r="H114" s="79"/>
      <c r="I114" s="35">
        <v>30</v>
      </c>
      <c r="J114" s="9">
        <f t="shared" si="18"/>
        <v>0</v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8.75" customHeight="1">
      <c r="B115" s="65"/>
      <c r="C115" s="63"/>
      <c r="D115" s="52" t="s">
        <v>60</v>
      </c>
      <c r="E115" s="60"/>
      <c r="F115" s="8">
        <v>0.58333333333333337</v>
      </c>
      <c r="G115" s="78" t="s">
        <v>76</v>
      </c>
      <c r="H115" s="79"/>
      <c r="I115" s="35">
        <v>30</v>
      </c>
      <c r="J115" s="9">
        <f t="shared" si="18"/>
        <v>0</v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8.75" customHeight="1">
      <c r="B116" s="65"/>
      <c r="C116" s="63"/>
      <c r="D116" s="52" t="s">
        <v>59</v>
      </c>
      <c r="E116" s="60"/>
      <c r="F116" s="8">
        <v>0.66666666666666663</v>
      </c>
      <c r="G116" s="78" t="s">
        <v>76</v>
      </c>
      <c r="H116" s="79"/>
      <c r="I116" s="35">
        <v>20</v>
      </c>
      <c r="J116" s="9">
        <f t="shared" si="18"/>
        <v>0.1</v>
      </c>
      <c r="K116" s="39"/>
      <c r="L116" s="39"/>
      <c r="M116" s="39"/>
      <c r="N116" s="39"/>
      <c r="O116" s="39"/>
      <c r="P116" s="39"/>
      <c r="Q116" s="39"/>
      <c r="R116" s="39">
        <v>2</v>
      </c>
      <c r="S116" s="10">
        <f t="shared" si="25"/>
        <v>2</v>
      </c>
      <c r="T116" s="10">
        <v>100000</v>
      </c>
      <c r="U116" s="10">
        <f>T116*S116</f>
        <v>200000</v>
      </c>
      <c r="V116" s="4"/>
      <c r="W116" s="4"/>
      <c r="X116" s="4"/>
      <c r="Y116" s="4"/>
    </row>
    <row r="117" spans="2:25" ht="18.75" customHeight="1">
      <c r="B117" s="65"/>
      <c r="C117" s="63"/>
      <c r="D117" s="52" t="s">
        <v>59</v>
      </c>
      <c r="E117" s="60"/>
      <c r="F117" s="8">
        <v>0.75</v>
      </c>
      <c r="G117" s="78" t="s">
        <v>76</v>
      </c>
      <c r="H117" s="79"/>
      <c r="I117" s="35">
        <v>60</v>
      </c>
      <c r="J117" s="9">
        <f t="shared" si="18"/>
        <v>0</v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8.75" customHeight="1">
      <c r="B118" s="65"/>
      <c r="C118" s="63"/>
      <c r="D118" s="53" t="s">
        <v>59</v>
      </c>
      <c r="E118" s="61"/>
      <c r="F118" s="12">
        <v>0.83333333333333337</v>
      </c>
      <c r="G118" s="78" t="s">
        <v>76</v>
      </c>
      <c r="H118" s="79"/>
      <c r="I118" s="36">
        <v>60</v>
      </c>
      <c r="J118" s="9">
        <f t="shared" si="18"/>
        <v>0</v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8.75">
      <c r="B119" s="65"/>
      <c r="C119" s="63"/>
      <c r="D119" s="51" t="s">
        <v>59</v>
      </c>
      <c r="E119" s="59" t="s">
        <v>104</v>
      </c>
      <c r="F119" s="5">
        <v>0.91666666666666663</v>
      </c>
      <c r="G119" s="73" t="s">
        <v>86</v>
      </c>
      <c r="H119" s="74"/>
      <c r="I119" s="34">
        <v>53</v>
      </c>
      <c r="J119" s="6">
        <f t="shared" si="18"/>
        <v>1.8867924528301886E-2</v>
      </c>
      <c r="K119" s="38">
        <v>1</v>
      </c>
      <c r="L119" s="38"/>
      <c r="M119" s="38"/>
      <c r="N119" s="38"/>
      <c r="O119" s="38"/>
      <c r="P119" s="38"/>
      <c r="Q119" s="38"/>
      <c r="R119" s="38"/>
      <c r="S119" s="7">
        <f t="shared" si="25"/>
        <v>1</v>
      </c>
      <c r="T119" s="7">
        <v>100000</v>
      </c>
      <c r="U119" s="7">
        <f t="shared" si="27"/>
        <v>100000</v>
      </c>
      <c r="V119" s="4"/>
      <c r="Y119" s="4"/>
    </row>
    <row r="120" spans="2:25" ht="18.75">
      <c r="B120" s="65"/>
      <c r="C120" s="63"/>
      <c r="D120" s="52" t="s">
        <v>59</v>
      </c>
      <c r="E120" s="60"/>
      <c r="F120" s="8">
        <v>1</v>
      </c>
      <c r="G120" s="78" t="s">
        <v>86</v>
      </c>
      <c r="H120" s="79"/>
      <c r="I120" s="35">
        <v>53</v>
      </c>
      <c r="J120" s="9">
        <f t="shared" si="18"/>
        <v>1.8867924528301886E-2</v>
      </c>
      <c r="K120" s="39">
        <v>1</v>
      </c>
      <c r="L120" s="39"/>
      <c r="M120" s="39"/>
      <c r="N120" s="39"/>
      <c r="O120" s="39"/>
      <c r="P120" s="39"/>
      <c r="Q120" s="39"/>
      <c r="R120" s="39"/>
      <c r="S120" s="10">
        <f t="shared" si="25"/>
        <v>1</v>
      </c>
      <c r="T120" s="10">
        <v>100000</v>
      </c>
      <c r="U120" s="10">
        <f t="shared" si="27"/>
        <v>100000</v>
      </c>
      <c r="V120" s="4"/>
      <c r="Y120" s="4"/>
    </row>
    <row r="121" spans="2:25" ht="18.75">
      <c r="B121" s="65"/>
      <c r="C121" s="63"/>
      <c r="D121" s="52" t="s">
        <v>59</v>
      </c>
      <c r="E121" s="60"/>
      <c r="F121" s="8">
        <v>8.3333333333333329E-2</v>
      </c>
      <c r="G121" s="78" t="s">
        <v>86</v>
      </c>
      <c r="H121" s="79"/>
      <c r="I121" s="35">
        <v>53</v>
      </c>
      <c r="J121" s="9">
        <f t="shared" si="18"/>
        <v>1.8867924528301886E-2</v>
      </c>
      <c r="K121" s="39">
        <v>1</v>
      </c>
      <c r="L121" s="39"/>
      <c r="M121" s="39"/>
      <c r="N121" s="39"/>
      <c r="O121" s="39"/>
      <c r="P121" s="39"/>
      <c r="Q121" s="39"/>
      <c r="R121" s="39"/>
      <c r="S121" s="10">
        <f t="shared" si="25"/>
        <v>1</v>
      </c>
      <c r="T121" s="10">
        <v>100000</v>
      </c>
      <c r="U121" s="10">
        <f t="shared" si="27"/>
        <v>100000</v>
      </c>
      <c r="V121" s="4"/>
      <c r="Y121" s="4"/>
    </row>
    <row r="122" spans="2:25" ht="18.75">
      <c r="B122" s="65"/>
      <c r="C122" s="63"/>
      <c r="D122" s="52" t="s">
        <v>59</v>
      </c>
      <c r="E122" s="60"/>
      <c r="F122" s="8">
        <v>0.16666666666666666</v>
      </c>
      <c r="G122" s="78" t="s">
        <v>86</v>
      </c>
      <c r="H122" s="79"/>
      <c r="I122" s="35">
        <v>53</v>
      </c>
      <c r="J122" s="9">
        <f t="shared" si="18"/>
        <v>1.8867924528301886E-2</v>
      </c>
      <c r="K122" s="39">
        <v>1</v>
      </c>
      <c r="L122" s="39"/>
      <c r="M122" s="39"/>
      <c r="N122" s="39"/>
      <c r="O122" s="39"/>
      <c r="P122" s="39"/>
      <c r="Q122" s="39"/>
      <c r="R122" s="39"/>
      <c r="S122" s="10">
        <f t="shared" si="25"/>
        <v>1</v>
      </c>
      <c r="T122" s="10">
        <v>100000</v>
      </c>
      <c r="U122" s="10">
        <f t="shared" si="27"/>
        <v>100000</v>
      </c>
      <c r="V122" s="4"/>
      <c r="W122" s="4"/>
      <c r="X122" s="4"/>
      <c r="Y122" s="4"/>
    </row>
    <row r="123" spans="2:25" ht="18.75">
      <c r="B123" s="65"/>
      <c r="C123" s="63"/>
      <c r="D123" s="52" t="s">
        <v>59</v>
      </c>
      <c r="E123" s="60"/>
      <c r="F123" s="8">
        <v>0.25</v>
      </c>
      <c r="G123" s="78" t="s">
        <v>86</v>
      </c>
      <c r="H123" s="79"/>
      <c r="I123" s="35">
        <v>53</v>
      </c>
      <c r="J123" s="9">
        <f t="shared" si="18"/>
        <v>1.8867924528301886E-2</v>
      </c>
      <c r="K123" s="39">
        <v>1</v>
      </c>
      <c r="L123" s="39"/>
      <c r="M123" s="39"/>
      <c r="N123" s="39"/>
      <c r="O123" s="39"/>
      <c r="P123" s="39"/>
      <c r="Q123" s="39"/>
      <c r="R123" s="39"/>
      <c r="S123" s="10">
        <f t="shared" si="25"/>
        <v>1</v>
      </c>
      <c r="T123" s="10">
        <v>100000</v>
      </c>
      <c r="U123" s="10">
        <f t="shared" si="27"/>
        <v>100000</v>
      </c>
      <c r="V123" s="4"/>
      <c r="Y123" s="4"/>
    </row>
    <row r="124" spans="2:25" ht="18.75">
      <c r="B124" s="65"/>
      <c r="C124" s="64"/>
      <c r="D124" s="53" t="s">
        <v>59</v>
      </c>
      <c r="E124" s="61"/>
      <c r="F124" s="14">
        <v>0.33333333333333331</v>
      </c>
      <c r="G124" s="78" t="s">
        <v>86</v>
      </c>
      <c r="H124" s="79"/>
      <c r="I124" s="37">
        <v>53</v>
      </c>
      <c r="J124" s="9">
        <f t="shared" si="18"/>
        <v>1.8867924528301886E-2</v>
      </c>
      <c r="K124" s="40">
        <v>1</v>
      </c>
      <c r="L124" s="40"/>
      <c r="M124" s="40"/>
      <c r="N124" s="40"/>
      <c r="O124" s="40"/>
      <c r="P124" s="40"/>
      <c r="Q124" s="40"/>
      <c r="R124" s="40"/>
      <c r="S124" s="16">
        <f t="shared" si="25"/>
        <v>1</v>
      </c>
      <c r="T124" s="16">
        <v>100000</v>
      </c>
      <c r="U124" s="16">
        <f t="shared" si="27"/>
        <v>100000</v>
      </c>
      <c r="V124" s="4"/>
      <c r="W124" s="4"/>
      <c r="X124" s="4"/>
      <c r="Y124" s="4"/>
    </row>
    <row r="125" spans="2:25" ht="16.5" customHeight="1">
      <c r="B125" s="65">
        <v>46091</v>
      </c>
      <c r="C125" s="62" t="s">
        <v>14</v>
      </c>
      <c r="D125" s="51" t="s">
        <v>59</v>
      </c>
      <c r="E125" s="59" t="s">
        <v>103</v>
      </c>
      <c r="F125" s="5">
        <v>0.41666666666666669</v>
      </c>
      <c r="G125" s="73" t="s">
        <v>74</v>
      </c>
      <c r="H125" s="74"/>
      <c r="I125" s="34">
        <v>50</v>
      </c>
      <c r="J125" s="6">
        <f t="shared" si="18"/>
        <v>0.24</v>
      </c>
      <c r="K125" s="38">
        <v>2</v>
      </c>
      <c r="L125" s="38"/>
      <c r="M125" s="38"/>
      <c r="N125" s="38"/>
      <c r="O125" s="38"/>
      <c r="P125" s="38"/>
      <c r="Q125" s="38">
        <v>10</v>
      </c>
      <c r="R125" s="38"/>
      <c r="S125" s="7">
        <f>SUM(K125:R125)</f>
        <v>12</v>
      </c>
      <c r="T125" s="7">
        <v>100000</v>
      </c>
      <c r="U125" s="7">
        <f>T125*S125</f>
        <v>1200000</v>
      </c>
      <c r="V125" s="4"/>
      <c r="W125" s="4"/>
      <c r="X125" s="4"/>
      <c r="Y125" s="4"/>
    </row>
    <row r="126" spans="2:25" ht="18.75">
      <c r="B126" s="65"/>
      <c r="C126" s="63"/>
      <c r="D126" s="52" t="s">
        <v>59</v>
      </c>
      <c r="E126" s="60"/>
      <c r="F126" s="8">
        <v>0.5</v>
      </c>
      <c r="G126" s="78" t="s">
        <v>74</v>
      </c>
      <c r="H126" s="79"/>
      <c r="I126" s="35">
        <v>50</v>
      </c>
      <c r="J126" s="9">
        <f t="shared" si="18"/>
        <v>0</v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8.75">
      <c r="B127" s="65"/>
      <c r="C127" s="63"/>
      <c r="D127" s="52"/>
      <c r="E127" s="60"/>
      <c r="F127" s="8">
        <v>0.58333333333333337</v>
      </c>
      <c r="G127" s="78"/>
      <c r="H127" s="79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8.75">
      <c r="B128" s="65"/>
      <c r="C128" s="63"/>
      <c r="D128" s="52"/>
      <c r="E128" s="60"/>
      <c r="F128" s="8">
        <v>0.66666666666666663</v>
      </c>
      <c r="G128" s="78"/>
      <c r="H128" s="79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8.75">
      <c r="B129" s="65"/>
      <c r="C129" s="63"/>
      <c r="D129" s="52" t="s">
        <v>102</v>
      </c>
      <c r="E129" s="60"/>
      <c r="F129" s="8">
        <v>0.75</v>
      </c>
      <c r="G129" s="78" t="s">
        <v>74</v>
      </c>
      <c r="H129" s="79"/>
      <c r="I129" s="35">
        <v>47</v>
      </c>
      <c r="J129" s="9">
        <f t="shared" si="18"/>
        <v>6.3829787234042548E-2</v>
      </c>
      <c r="K129" s="39"/>
      <c r="L129" s="39"/>
      <c r="M129" s="39"/>
      <c r="N129" s="39"/>
      <c r="O129" s="39"/>
      <c r="P129" s="39"/>
      <c r="Q129" s="39"/>
      <c r="R129" s="39">
        <v>3</v>
      </c>
      <c r="S129" s="10">
        <f t="shared" si="28"/>
        <v>3</v>
      </c>
      <c r="T129" s="10">
        <v>100000</v>
      </c>
      <c r="U129" s="10">
        <f t="shared" ref="U129:U136" si="30">T129*S129</f>
        <v>300000</v>
      </c>
      <c r="V129" s="4"/>
      <c r="W129" s="4"/>
      <c r="X129" s="11"/>
      <c r="Y129" s="4"/>
    </row>
    <row r="130" spans="2:25" ht="18.75">
      <c r="B130" s="65"/>
      <c r="C130" s="63"/>
      <c r="D130" s="53" t="s">
        <v>102</v>
      </c>
      <c r="E130" s="61"/>
      <c r="F130" s="12">
        <v>0.83333333333333337</v>
      </c>
      <c r="G130" s="78" t="s">
        <v>74</v>
      </c>
      <c r="H130" s="79"/>
      <c r="I130" s="36">
        <v>53</v>
      </c>
      <c r="J130" s="9">
        <f t="shared" si="18"/>
        <v>0</v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8.75">
      <c r="B131" s="65"/>
      <c r="C131" s="63"/>
      <c r="D131" s="51" t="s">
        <v>102</v>
      </c>
      <c r="E131" s="59" t="s">
        <v>104</v>
      </c>
      <c r="F131" s="5">
        <v>0.91666666666666663</v>
      </c>
      <c r="G131" s="73" t="s">
        <v>89</v>
      </c>
      <c r="H131" s="74"/>
      <c r="I131" s="34">
        <v>50</v>
      </c>
      <c r="J131" s="6">
        <f t="shared" si="18"/>
        <v>0.02</v>
      </c>
      <c r="K131" s="38"/>
      <c r="L131" s="38"/>
      <c r="M131" s="38">
        <v>1</v>
      </c>
      <c r="N131" s="38"/>
      <c r="O131" s="38"/>
      <c r="P131" s="38"/>
      <c r="Q131" s="38"/>
      <c r="R131" s="38"/>
      <c r="S131" s="7">
        <f t="shared" si="28"/>
        <v>1</v>
      </c>
      <c r="T131" s="7">
        <v>100000</v>
      </c>
      <c r="U131" s="7">
        <f t="shared" si="30"/>
        <v>100000</v>
      </c>
      <c r="V131" s="4"/>
      <c r="Y131" s="4"/>
    </row>
    <row r="132" spans="2:25" ht="18.75">
      <c r="B132" s="65"/>
      <c r="C132" s="63"/>
      <c r="D132" s="52" t="s">
        <v>102</v>
      </c>
      <c r="E132" s="60"/>
      <c r="F132" s="8">
        <v>1</v>
      </c>
      <c r="G132" s="78" t="s">
        <v>89</v>
      </c>
      <c r="H132" s="79"/>
      <c r="I132" s="35">
        <v>50</v>
      </c>
      <c r="J132" s="9">
        <f t="shared" si="18"/>
        <v>0.02</v>
      </c>
      <c r="K132" s="39">
        <v>1</v>
      </c>
      <c r="L132" s="39"/>
      <c r="M132" s="39"/>
      <c r="N132" s="39"/>
      <c r="O132" s="39"/>
      <c r="P132" s="39"/>
      <c r="Q132" s="39"/>
      <c r="R132" s="39"/>
      <c r="S132" s="10">
        <f t="shared" si="28"/>
        <v>1</v>
      </c>
      <c r="T132" s="10">
        <v>100000</v>
      </c>
      <c r="U132" s="10">
        <f t="shared" si="30"/>
        <v>100000</v>
      </c>
      <c r="V132" s="4"/>
      <c r="Y132" s="4"/>
    </row>
    <row r="133" spans="2:25" ht="18.75">
      <c r="B133" s="65"/>
      <c r="C133" s="63"/>
      <c r="D133" s="52" t="s">
        <v>102</v>
      </c>
      <c r="E133" s="60"/>
      <c r="F133" s="8">
        <v>8.3333333333333329E-2</v>
      </c>
      <c r="G133" s="78" t="s">
        <v>89</v>
      </c>
      <c r="H133" s="79"/>
      <c r="I133" s="35">
        <v>50</v>
      </c>
      <c r="J133" s="9">
        <f t="shared" si="18"/>
        <v>0.02</v>
      </c>
      <c r="K133" s="39"/>
      <c r="L133" s="39"/>
      <c r="M133" s="39">
        <v>1</v>
      </c>
      <c r="N133" s="39"/>
      <c r="O133" s="39"/>
      <c r="P133" s="39"/>
      <c r="Q133" s="39"/>
      <c r="R133" s="39"/>
      <c r="S133" s="10">
        <f t="shared" si="28"/>
        <v>1</v>
      </c>
      <c r="T133" s="10">
        <v>100000</v>
      </c>
      <c r="U133" s="10">
        <f t="shared" si="30"/>
        <v>100000</v>
      </c>
      <c r="V133" s="4"/>
      <c r="Y133" s="4"/>
    </row>
    <row r="134" spans="2:25" ht="18.75">
      <c r="B134" s="65"/>
      <c r="C134" s="63"/>
      <c r="D134" s="52" t="s">
        <v>102</v>
      </c>
      <c r="E134" s="60"/>
      <c r="F134" s="8">
        <v>0.16666666666666666</v>
      </c>
      <c r="G134" s="78" t="s">
        <v>89</v>
      </c>
      <c r="H134" s="79"/>
      <c r="I134" s="35">
        <v>50</v>
      </c>
      <c r="J134" s="9">
        <f t="shared" si="18"/>
        <v>0.02</v>
      </c>
      <c r="K134" s="39">
        <v>1</v>
      </c>
      <c r="L134" s="39"/>
      <c r="M134" s="39"/>
      <c r="N134" s="39"/>
      <c r="O134" s="39"/>
      <c r="P134" s="39"/>
      <c r="Q134" s="39"/>
      <c r="R134" s="39"/>
      <c r="S134" s="10">
        <f t="shared" si="28"/>
        <v>1</v>
      </c>
      <c r="T134" s="10">
        <v>100000</v>
      </c>
      <c r="U134" s="10">
        <f t="shared" si="30"/>
        <v>100000</v>
      </c>
      <c r="V134" s="4"/>
      <c r="W134" s="4"/>
      <c r="X134" s="4"/>
      <c r="Y134" s="4"/>
    </row>
    <row r="135" spans="2:25" ht="18.75">
      <c r="B135" s="65"/>
      <c r="C135" s="63"/>
      <c r="D135" s="52" t="s">
        <v>102</v>
      </c>
      <c r="E135" s="60"/>
      <c r="F135" s="8">
        <v>0.25</v>
      </c>
      <c r="G135" s="78" t="s">
        <v>89</v>
      </c>
      <c r="H135" s="79"/>
      <c r="I135" s="35">
        <v>50</v>
      </c>
      <c r="J135" s="9">
        <f t="shared" si="18"/>
        <v>0.02</v>
      </c>
      <c r="K135" s="39"/>
      <c r="L135" s="39"/>
      <c r="M135" s="39">
        <v>1</v>
      </c>
      <c r="N135" s="39"/>
      <c r="O135" s="39"/>
      <c r="P135" s="39"/>
      <c r="Q135" s="39"/>
      <c r="R135" s="39"/>
      <c r="S135" s="10">
        <f t="shared" si="28"/>
        <v>1</v>
      </c>
      <c r="T135" s="10">
        <v>100000</v>
      </c>
      <c r="U135" s="10">
        <f t="shared" si="30"/>
        <v>100000</v>
      </c>
      <c r="V135" s="4"/>
      <c r="Y135" s="4"/>
    </row>
    <row r="136" spans="2:25" ht="18.75">
      <c r="B136" s="65"/>
      <c r="C136" s="64"/>
      <c r="D136" s="53" t="s">
        <v>102</v>
      </c>
      <c r="E136" s="61"/>
      <c r="F136" s="14">
        <v>0.33333333333333331</v>
      </c>
      <c r="G136" s="78" t="s">
        <v>89</v>
      </c>
      <c r="H136" s="79"/>
      <c r="I136" s="37">
        <v>50</v>
      </c>
      <c r="J136" s="15">
        <f t="shared" si="18"/>
        <v>0.02</v>
      </c>
      <c r="K136" s="40"/>
      <c r="L136" s="40"/>
      <c r="M136" s="40">
        <v>1</v>
      </c>
      <c r="N136" s="40"/>
      <c r="O136" s="40"/>
      <c r="P136" s="40"/>
      <c r="Q136" s="40"/>
      <c r="R136" s="40"/>
      <c r="S136" s="16">
        <f t="shared" si="28"/>
        <v>1</v>
      </c>
      <c r="T136" s="16">
        <v>100000</v>
      </c>
      <c r="U136" s="16">
        <f t="shared" si="30"/>
        <v>100000</v>
      </c>
      <c r="V136" s="4"/>
      <c r="W136" s="4"/>
      <c r="X136" s="4"/>
      <c r="Y136" s="4"/>
    </row>
    <row r="137" spans="2:25" ht="16.5" customHeight="1">
      <c r="B137" s="65">
        <v>46092</v>
      </c>
      <c r="C137" s="62" t="s">
        <v>14</v>
      </c>
      <c r="D137" s="51"/>
      <c r="E137" s="59" t="s">
        <v>103</v>
      </c>
      <c r="F137" s="5">
        <v>0.41666666666666669</v>
      </c>
      <c r="G137" s="73"/>
      <c r="H137" s="74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8.75">
      <c r="B138" s="65"/>
      <c r="C138" s="63"/>
      <c r="D138" s="52"/>
      <c r="E138" s="60"/>
      <c r="F138" s="8">
        <v>0.5</v>
      </c>
      <c r="G138" s="78"/>
      <c r="H138" s="79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8.75">
      <c r="B139" s="65"/>
      <c r="C139" s="63"/>
      <c r="D139" s="52"/>
      <c r="E139" s="60"/>
      <c r="F139" s="8">
        <v>0.58333333333333337</v>
      </c>
      <c r="G139" s="78"/>
      <c r="H139" s="79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8.75">
      <c r="B140" s="65"/>
      <c r="C140" s="63"/>
      <c r="D140" s="52"/>
      <c r="E140" s="60"/>
      <c r="F140" s="8">
        <v>0.66666666666666663</v>
      </c>
      <c r="G140" s="78"/>
      <c r="H140" s="79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/>
      <c r="E141" s="60"/>
      <c r="F141" s="8">
        <v>0.75</v>
      </c>
      <c r="G141" s="78"/>
      <c r="H141" s="79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/>
      <c r="E142" s="61"/>
      <c r="F142" s="12">
        <v>0.83333333333333337</v>
      </c>
      <c r="G142" s="78"/>
      <c r="H142" s="79"/>
      <c r="I142" s="36"/>
      <c r="J142" s="9" t="str">
        <f t="shared" si="31"/>
        <v/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8.75">
      <c r="B143" s="65"/>
      <c r="C143" s="63"/>
      <c r="D143" s="51"/>
      <c r="E143" s="59" t="s">
        <v>104</v>
      </c>
      <c r="F143" s="5">
        <v>0.91666666666666663</v>
      </c>
      <c r="G143" s="73"/>
      <c r="H143" s="74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8.75">
      <c r="B144" s="65"/>
      <c r="C144" s="63"/>
      <c r="D144" s="52"/>
      <c r="E144" s="60"/>
      <c r="F144" s="8">
        <v>1</v>
      </c>
      <c r="G144" s="78"/>
      <c r="H144" s="79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8.75">
      <c r="B145" s="65"/>
      <c r="C145" s="63"/>
      <c r="D145" s="52"/>
      <c r="E145" s="60"/>
      <c r="F145" s="8">
        <v>8.3333333333333329E-2</v>
      </c>
      <c r="G145" s="78"/>
      <c r="H145" s="79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8.75">
      <c r="B146" s="65"/>
      <c r="C146" s="63"/>
      <c r="D146" s="52"/>
      <c r="E146" s="60"/>
      <c r="F146" s="8">
        <v>0.16666666666666666</v>
      </c>
      <c r="G146" s="78"/>
      <c r="H146" s="79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8.75">
      <c r="B147" s="65"/>
      <c r="C147" s="63"/>
      <c r="D147" s="52"/>
      <c r="E147" s="60"/>
      <c r="F147" s="8">
        <v>0.25</v>
      </c>
      <c r="G147" s="78"/>
      <c r="H147" s="79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8.75">
      <c r="B148" s="65"/>
      <c r="C148" s="64"/>
      <c r="D148" s="53"/>
      <c r="E148" s="91"/>
      <c r="F148" s="14">
        <v>0.33333333333333331</v>
      </c>
      <c r="G148" s="78"/>
      <c r="H148" s="79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 ht="16.5" customHeight="1">
      <c r="B149" s="65">
        <v>46093</v>
      </c>
      <c r="C149" s="62" t="s">
        <v>14</v>
      </c>
      <c r="D149" s="51"/>
      <c r="E149" s="59" t="s">
        <v>103</v>
      </c>
      <c r="F149" s="5">
        <v>0.41666666666666669</v>
      </c>
      <c r="G149" s="73"/>
      <c r="H149" s="74"/>
      <c r="I149" s="34"/>
      <c r="J149" s="6" t="str">
        <f t="shared" ref="J149:J160" si="35">IFERROR(S149/I149,"")</f>
        <v/>
      </c>
      <c r="K149" s="38"/>
      <c r="L149" s="38"/>
      <c r="M149" s="38"/>
      <c r="N149" s="38"/>
      <c r="O149" s="38"/>
      <c r="P149" s="38"/>
      <c r="Q149" s="38"/>
      <c r="R149" s="38"/>
      <c r="S149" s="7">
        <f>SUM(K149:R149)</f>
        <v>0</v>
      </c>
      <c r="T149" s="7">
        <v>100000</v>
      </c>
      <c r="U149" s="7">
        <f>T149*S149</f>
        <v>0</v>
      </c>
      <c r="V149" s="4"/>
      <c r="W149" s="4"/>
      <c r="X149" s="4"/>
      <c r="Y149" s="4"/>
    </row>
    <row r="150" spans="2:25" ht="18.75">
      <c r="B150" s="65"/>
      <c r="C150" s="63"/>
      <c r="D150" s="52"/>
      <c r="E150" s="60"/>
      <c r="F150" s="8">
        <v>0.5</v>
      </c>
      <c r="G150" s="78"/>
      <c r="H150" s="79"/>
      <c r="I150" s="35"/>
      <c r="J150" s="9" t="str">
        <f t="shared" si="35"/>
        <v/>
      </c>
      <c r="K150" s="39"/>
      <c r="L150" s="39"/>
      <c r="M150" s="39"/>
      <c r="N150" s="39"/>
      <c r="O150" s="39"/>
      <c r="P150" s="39"/>
      <c r="Q150" s="39"/>
      <c r="R150" s="39"/>
      <c r="S150" s="10">
        <f t="shared" ref="S150:S160" si="36">SUM(K150:R150)</f>
        <v>0</v>
      </c>
      <c r="T150" s="10">
        <v>100000</v>
      </c>
      <c r="U150" s="10">
        <f t="shared" ref="U150:U151" si="37">T150*S150</f>
        <v>0</v>
      </c>
      <c r="V150" s="4"/>
      <c r="W150" s="4"/>
      <c r="X150" s="4"/>
      <c r="Y150" s="4"/>
    </row>
    <row r="151" spans="2:25" ht="18.75">
      <c r="B151" s="65"/>
      <c r="C151" s="63"/>
      <c r="D151" s="52"/>
      <c r="E151" s="60"/>
      <c r="F151" s="8">
        <v>0.58333333333333337</v>
      </c>
      <c r="G151" s="78"/>
      <c r="H151" s="79"/>
      <c r="I151" s="35"/>
      <c r="J151" s="9" t="str">
        <f t="shared" si="35"/>
        <v/>
      </c>
      <c r="K151" s="39"/>
      <c r="L151" s="39"/>
      <c r="M151" s="39"/>
      <c r="N151" s="39"/>
      <c r="O151" s="39"/>
      <c r="P151" s="39"/>
      <c r="Q151" s="39"/>
      <c r="R151" s="39"/>
      <c r="S151" s="10">
        <f t="shared" si="36"/>
        <v>0</v>
      </c>
      <c r="T151" s="10">
        <v>100000</v>
      </c>
      <c r="U151" s="10">
        <f t="shared" si="37"/>
        <v>0</v>
      </c>
      <c r="V151" s="4"/>
      <c r="W151" s="4"/>
      <c r="X151" s="4"/>
      <c r="Y151" s="4"/>
    </row>
    <row r="152" spans="2:25" ht="18.75">
      <c r="B152" s="65"/>
      <c r="C152" s="63"/>
      <c r="D152" s="52"/>
      <c r="E152" s="60"/>
      <c r="F152" s="8">
        <v>0.66666666666666663</v>
      </c>
      <c r="G152" s="78"/>
      <c r="H152" s="79"/>
      <c r="I152" s="35"/>
      <c r="J152" s="9" t="str">
        <f t="shared" si="35"/>
        <v/>
      </c>
      <c r="K152" s="39"/>
      <c r="L152" s="39"/>
      <c r="M152" s="39"/>
      <c r="N152" s="39"/>
      <c r="O152" s="39"/>
      <c r="P152" s="39"/>
      <c r="Q152" s="39"/>
      <c r="R152" s="39"/>
      <c r="S152" s="10">
        <f t="shared" si="36"/>
        <v>0</v>
      </c>
      <c r="T152" s="10">
        <v>100000</v>
      </c>
      <c r="U152" s="10">
        <f>T152*S152</f>
        <v>0</v>
      </c>
      <c r="V152" s="4"/>
      <c r="W152" s="4"/>
      <c r="X152" s="4"/>
      <c r="Y152" s="4"/>
    </row>
    <row r="153" spans="2:25" ht="18.75">
      <c r="B153" s="65"/>
      <c r="C153" s="63"/>
      <c r="D153" s="52"/>
      <c r="E153" s="60"/>
      <c r="F153" s="8">
        <v>0.75</v>
      </c>
      <c r="G153" s="78"/>
      <c r="H153" s="79"/>
      <c r="I153" s="35"/>
      <c r="J153" s="9" t="str">
        <f t="shared" si="35"/>
        <v/>
      </c>
      <c r="K153" s="39"/>
      <c r="L153" s="39"/>
      <c r="M153" s="39"/>
      <c r="N153" s="39"/>
      <c r="O153" s="39"/>
      <c r="P153" s="39"/>
      <c r="Q153" s="39"/>
      <c r="R153" s="39"/>
      <c r="S153" s="10">
        <f t="shared" si="36"/>
        <v>0</v>
      </c>
      <c r="T153" s="10">
        <v>100000</v>
      </c>
      <c r="U153" s="10">
        <f t="shared" ref="U153:U160" si="38">T153*S153</f>
        <v>0</v>
      </c>
      <c r="V153" s="4"/>
      <c r="W153" s="4"/>
      <c r="X153" s="11"/>
      <c r="Y153" s="4"/>
    </row>
    <row r="154" spans="2:25" ht="18.75">
      <c r="B154" s="65"/>
      <c r="C154" s="63"/>
      <c r="D154" s="53"/>
      <c r="E154" s="61"/>
      <c r="F154" s="12">
        <v>0.83333333333333337</v>
      </c>
      <c r="G154" s="78"/>
      <c r="H154" s="79"/>
      <c r="I154" s="36"/>
      <c r="J154" s="9" t="str">
        <f t="shared" si="35"/>
        <v/>
      </c>
      <c r="K154" s="41"/>
      <c r="L154" s="41"/>
      <c r="M154" s="41"/>
      <c r="N154" s="41"/>
      <c r="O154" s="41"/>
      <c r="P154" s="41"/>
      <c r="Q154" s="41"/>
      <c r="R154" s="41"/>
      <c r="S154" s="13">
        <f t="shared" si="36"/>
        <v>0</v>
      </c>
      <c r="T154" s="13">
        <v>100000</v>
      </c>
      <c r="U154" s="13">
        <f t="shared" si="38"/>
        <v>0</v>
      </c>
      <c r="V154" s="4"/>
      <c r="Y154" s="4"/>
    </row>
    <row r="155" spans="2:25" ht="18.75">
      <c r="B155" s="65"/>
      <c r="C155" s="63"/>
      <c r="D155" s="51"/>
      <c r="E155" s="59" t="s">
        <v>104</v>
      </c>
      <c r="F155" s="5">
        <v>0.91666666666666663</v>
      </c>
      <c r="G155" s="73"/>
      <c r="H155" s="74"/>
      <c r="I155" s="34"/>
      <c r="J155" s="6" t="str">
        <f t="shared" si="35"/>
        <v/>
      </c>
      <c r="K155" s="38"/>
      <c r="L155" s="38"/>
      <c r="M155" s="38"/>
      <c r="N155" s="38"/>
      <c r="O155" s="38"/>
      <c r="P155" s="38"/>
      <c r="Q155" s="38"/>
      <c r="R155" s="38"/>
      <c r="S155" s="7">
        <f t="shared" si="36"/>
        <v>0</v>
      </c>
      <c r="T155" s="7">
        <v>100000</v>
      </c>
      <c r="U155" s="7">
        <f t="shared" si="38"/>
        <v>0</v>
      </c>
      <c r="V155" s="4"/>
      <c r="Y155" s="4"/>
    </row>
    <row r="156" spans="2:25" ht="18.75">
      <c r="B156" s="65"/>
      <c r="C156" s="63"/>
      <c r="D156" s="52"/>
      <c r="E156" s="60"/>
      <c r="F156" s="8">
        <v>1</v>
      </c>
      <c r="G156" s="78"/>
      <c r="H156" s="79"/>
      <c r="I156" s="35"/>
      <c r="J156" s="9" t="str">
        <f t="shared" si="35"/>
        <v/>
      </c>
      <c r="K156" s="39"/>
      <c r="L156" s="39"/>
      <c r="M156" s="39"/>
      <c r="N156" s="39"/>
      <c r="O156" s="39"/>
      <c r="P156" s="39"/>
      <c r="Q156" s="39"/>
      <c r="R156" s="39"/>
      <c r="S156" s="10">
        <f t="shared" si="36"/>
        <v>0</v>
      </c>
      <c r="T156" s="10">
        <v>100000</v>
      </c>
      <c r="U156" s="10">
        <f t="shared" si="38"/>
        <v>0</v>
      </c>
      <c r="V156" s="4"/>
      <c r="Y156" s="4"/>
    </row>
    <row r="157" spans="2:25" ht="18.75">
      <c r="B157" s="65"/>
      <c r="C157" s="63"/>
      <c r="D157" s="52"/>
      <c r="E157" s="60"/>
      <c r="F157" s="8">
        <v>8.3333333333333329E-2</v>
      </c>
      <c r="G157" s="78"/>
      <c r="H157" s="79"/>
      <c r="I157" s="35"/>
      <c r="J157" s="9" t="str">
        <f t="shared" si="35"/>
        <v/>
      </c>
      <c r="K157" s="39"/>
      <c r="L157" s="39"/>
      <c r="M157" s="39"/>
      <c r="N157" s="39"/>
      <c r="O157" s="39"/>
      <c r="P157" s="39"/>
      <c r="Q157" s="39"/>
      <c r="R157" s="39"/>
      <c r="S157" s="10">
        <f t="shared" si="36"/>
        <v>0</v>
      </c>
      <c r="T157" s="10">
        <v>100000</v>
      </c>
      <c r="U157" s="10">
        <f t="shared" si="38"/>
        <v>0</v>
      </c>
      <c r="V157" s="4"/>
      <c r="Y157" s="4"/>
    </row>
    <row r="158" spans="2:25" ht="18.75">
      <c r="B158" s="65"/>
      <c r="C158" s="63"/>
      <c r="D158" s="52"/>
      <c r="E158" s="60"/>
      <c r="F158" s="8">
        <v>0.16666666666666666</v>
      </c>
      <c r="G158" s="78"/>
      <c r="H158" s="79"/>
      <c r="I158" s="35"/>
      <c r="J158" s="9" t="str">
        <f t="shared" si="35"/>
        <v/>
      </c>
      <c r="K158" s="39"/>
      <c r="L158" s="39"/>
      <c r="M158" s="39"/>
      <c r="N158" s="39"/>
      <c r="O158" s="39"/>
      <c r="P158" s="39"/>
      <c r="Q158" s="39"/>
      <c r="R158" s="39"/>
      <c r="S158" s="10">
        <f t="shared" si="36"/>
        <v>0</v>
      </c>
      <c r="T158" s="10">
        <v>100000</v>
      </c>
      <c r="U158" s="10">
        <f t="shared" si="38"/>
        <v>0</v>
      </c>
      <c r="V158" s="4"/>
      <c r="W158" s="4"/>
      <c r="X158" s="4"/>
      <c r="Y158" s="4"/>
    </row>
    <row r="159" spans="2:25" ht="18.75">
      <c r="B159" s="65"/>
      <c r="C159" s="63"/>
      <c r="D159" s="52"/>
      <c r="E159" s="60"/>
      <c r="F159" s="8">
        <v>0.25</v>
      </c>
      <c r="G159" s="78"/>
      <c r="H159" s="79"/>
      <c r="I159" s="35"/>
      <c r="J159" s="9" t="str">
        <f t="shared" si="35"/>
        <v/>
      </c>
      <c r="K159" s="39"/>
      <c r="L159" s="39"/>
      <c r="M159" s="39"/>
      <c r="N159" s="39"/>
      <c r="O159" s="39"/>
      <c r="P159" s="39"/>
      <c r="Q159" s="39"/>
      <c r="R159" s="39"/>
      <c r="S159" s="10">
        <f t="shared" si="36"/>
        <v>0</v>
      </c>
      <c r="T159" s="10">
        <v>100000</v>
      </c>
      <c r="U159" s="10">
        <f t="shared" si="38"/>
        <v>0</v>
      </c>
      <c r="V159" s="4"/>
      <c r="Y159" s="4"/>
    </row>
    <row r="160" spans="2:25" ht="18.75">
      <c r="B160" s="65"/>
      <c r="C160" s="64"/>
      <c r="D160" s="53"/>
      <c r="E160" s="91"/>
      <c r="F160" s="14">
        <v>0.33333333333333331</v>
      </c>
      <c r="G160" s="78"/>
      <c r="H160" s="79"/>
      <c r="I160" s="37"/>
      <c r="J160" s="15" t="str">
        <f t="shared" si="35"/>
        <v/>
      </c>
      <c r="K160" s="40"/>
      <c r="L160" s="40"/>
      <c r="M160" s="40"/>
      <c r="N160" s="40"/>
      <c r="O160" s="40"/>
      <c r="P160" s="40"/>
      <c r="Q160" s="40"/>
      <c r="R160" s="40"/>
      <c r="S160" s="16">
        <f t="shared" si="36"/>
        <v>0</v>
      </c>
      <c r="T160" s="16">
        <v>100000</v>
      </c>
      <c r="U160" s="16">
        <f t="shared" si="38"/>
        <v>0</v>
      </c>
      <c r="V160" s="4"/>
      <c r="W160" s="4"/>
      <c r="X160" s="4"/>
      <c r="Y160" s="4"/>
    </row>
  </sheetData>
  <mergeCells count="210"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M6:U6"/>
    <mergeCell ref="M7:U7"/>
    <mergeCell ref="D6:J6"/>
    <mergeCell ref="D7:K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B41:B52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40:H40"/>
    <mergeCell ref="G41:H41"/>
    <mergeCell ref="G42:H42"/>
    <mergeCell ref="G43:H43"/>
    <mergeCell ref="G44:H44"/>
    <mergeCell ref="K15:S15"/>
    <mergeCell ref="T15:U15"/>
    <mergeCell ref="I15:J15"/>
    <mergeCell ref="E17:E22"/>
    <mergeCell ref="D15:D16"/>
    <mergeCell ref="G29:H29"/>
    <mergeCell ref="B17:B28"/>
    <mergeCell ref="C17:C28"/>
    <mergeCell ref="E23:E28"/>
    <mergeCell ref="B15:B16"/>
    <mergeCell ref="C15:C16"/>
    <mergeCell ref="E15:E16"/>
    <mergeCell ref="B29:B40"/>
    <mergeCell ref="C29:C40"/>
    <mergeCell ref="E29:E34"/>
    <mergeCell ref="E35:E40"/>
    <mergeCell ref="G35:H35"/>
    <mergeCell ref="G36:H36"/>
    <mergeCell ref="G37:H37"/>
    <mergeCell ref="G38:H38"/>
    <mergeCell ref="G39:H39"/>
    <mergeCell ref="E83:E88"/>
    <mergeCell ref="E89:E94"/>
    <mergeCell ref="E95:E100"/>
    <mergeCell ref="C89:C100"/>
    <mergeCell ref="E101:E106"/>
    <mergeCell ref="E107:E112"/>
    <mergeCell ref="E131:E136"/>
    <mergeCell ref="C53:C64"/>
    <mergeCell ref="F15:F16"/>
    <mergeCell ref="E41:E46"/>
    <mergeCell ref="C41:C52"/>
    <mergeCell ref="E47:E52"/>
    <mergeCell ref="B2:U2"/>
    <mergeCell ref="S14:U14"/>
    <mergeCell ref="B8:U8"/>
    <mergeCell ref="B4:U4"/>
    <mergeCell ref="E113:E118"/>
    <mergeCell ref="C113:C124"/>
    <mergeCell ref="C101:C112"/>
    <mergeCell ref="E119:E124"/>
    <mergeCell ref="E125:E130"/>
    <mergeCell ref="B65:B76"/>
    <mergeCell ref="B53:B64"/>
    <mergeCell ref="E53:E58"/>
    <mergeCell ref="E59:E64"/>
    <mergeCell ref="B125:B136"/>
    <mergeCell ref="B113:B124"/>
    <mergeCell ref="B101:B112"/>
    <mergeCell ref="B89:B100"/>
    <mergeCell ref="B77:B88"/>
    <mergeCell ref="C125:C136"/>
    <mergeCell ref="E65:E70"/>
    <mergeCell ref="E71:E76"/>
    <mergeCell ref="E77:E82"/>
    <mergeCell ref="C77:C88"/>
    <mergeCell ref="C65:C76"/>
  </mergeCells>
  <phoneticPr fontId="1" type="noConversion"/>
  <dataValidations count="6">
    <dataValidation type="list" allowBlank="1" showInputMessage="1" showErrorMessage="1" sqref="E17 E23 E29 E41 E53 E65 E77 E89 E101 E113 E125 E137 E35 E47 E59 E71 E83 E95 E107 E119 E131 E143 E149 E155" xr:uid="{7280530E-5B8D-4438-B3BD-789763083C72}">
      <formula1>$X$22:$X$23</formula1>
    </dataValidation>
    <dataValidation type="list" allowBlank="1" showInputMessage="1" showErrorMessage="1" sqref="C29 C125 C17 C101 C53 C77 C65 C89 C113 C41 C137 C149" xr:uid="{F1EE940D-722D-49C3-AED8-65AAA48A203D}">
      <formula1>$X$17:$X$21</formula1>
    </dataValidation>
    <dataValidation type="list" allowBlank="1" showInputMessage="1" showErrorMessage="1" sqref="C6" xr:uid="{6C6BE52D-388A-44ED-8B9B-93682A7F6DD3}">
      <formula1>$X$2:$X$7</formula1>
    </dataValidation>
    <dataValidation type="list" allowBlank="1" showInputMessage="1" showErrorMessage="1" sqref="G17:G34 G41:G46 G53:G58 G65:G70 G137:G142 G89:G94 G77:G82 G101:G106 G125:G130 G113:G118 G149:G154" xr:uid="{2F19E784-04BF-4E24-BE04-CB9AC5210FA1}">
      <formula1>$C$11:$S$11</formula1>
    </dataValidation>
    <dataValidation type="list" allowBlank="1" showInputMessage="1" showErrorMessage="1" sqref="D17:D160" xr:uid="{AB6E02A6-3DF0-4EDE-8381-A768F6272CD3}">
      <formula1>$Z$21:$Z$61</formula1>
    </dataValidation>
    <dataValidation type="list" allowBlank="1" showInputMessage="1" showErrorMessage="1" sqref="G35:H40 G47:H52 G59:H64 G71:H76 G143:H148 G95:H100 G83:H88 G119:H124 G131:H136 G107:H112 G155:H160" xr:uid="{C28E6288-565C-4B22-9955-C46161504448}">
      <formula1>$C$12:$S$12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5EB3-9678-42C3-8315-9CCE4CF12B97}">
  <dimension ref="B1:AU160"/>
  <sheetViews>
    <sheetView zoomScale="70" zoomScaleNormal="70" workbookViewId="0">
      <pane ySplit="16" topLeftCell="A140" activePane="bottomLeft" state="frozenSplit"/>
      <selection pane="bottomLeft" activeCell="I97" sqref="I97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3.5703125" style="1" customWidth="1"/>
    <col min="22" max="22" width="67.4257812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bestFit="1" customWidth="1"/>
    <col min="27" max="47" width="14.5703125" style="1" customWidth="1"/>
    <col min="48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94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10</v>
      </c>
      <c r="C6" s="42" t="s">
        <v>20</v>
      </c>
      <c r="D6" s="89" t="s">
        <v>93</v>
      </c>
      <c r="E6" s="87"/>
      <c r="F6" s="87"/>
      <c r="G6" s="87"/>
      <c r="H6" s="87"/>
      <c r="I6" s="87"/>
      <c r="J6" s="87"/>
      <c r="K6" s="47"/>
      <c r="L6" s="48" t="s">
        <v>98</v>
      </c>
      <c r="M6" s="86" t="s">
        <v>91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96</v>
      </c>
      <c r="E7" s="88"/>
      <c r="F7" s="88"/>
      <c r="G7" s="88"/>
      <c r="H7" s="88"/>
      <c r="I7" s="88"/>
      <c r="J7" s="88"/>
      <c r="K7" s="88"/>
      <c r="L7" s="3"/>
      <c r="M7" s="88" t="s">
        <v>92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95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99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6.5" hidden="1" customHeight="1">
      <c r="B17" s="75">
        <v>46082</v>
      </c>
      <c r="C17" s="62" t="s">
        <v>15</v>
      </c>
      <c r="D17" s="51"/>
      <c r="E17" s="59" t="s">
        <v>103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8.75" hidden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8.75" hidden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8.75" hidden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75" hidden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27" hidden="1">
      <c r="B22" s="76"/>
      <c r="C22" s="63"/>
      <c r="D22" s="53"/>
      <c r="E22" s="61"/>
      <c r="F22" s="12">
        <v>0.83333333333333337</v>
      </c>
      <c r="G22" s="78"/>
      <c r="H22" s="79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103</v>
      </c>
      <c r="Z22" s="44" t="s">
        <v>46</v>
      </c>
    </row>
    <row r="23" spans="2:26" ht="27" hidden="1">
      <c r="B23" s="76"/>
      <c r="C23" s="63"/>
      <c r="D23" s="51"/>
      <c r="E23" s="59" t="s">
        <v>104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104</v>
      </c>
      <c r="Z23" s="44" t="s">
        <v>45</v>
      </c>
    </row>
    <row r="24" spans="2:26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00000000000001" hidden="1" customHeight="1">
      <c r="B29" s="75">
        <v>46083</v>
      </c>
      <c r="C29" s="62" t="s">
        <v>15</v>
      </c>
      <c r="D29" s="51"/>
      <c r="E29" s="59" t="s">
        <v>103</v>
      </c>
      <c r="F29" s="5">
        <v>0.41666666666666669</v>
      </c>
      <c r="G29" s="73"/>
      <c r="H29" s="74"/>
      <c r="I29" s="34"/>
      <c r="J29" s="6" t="str">
        <f t="shared" si="2"/>
        <v/>
      </c>
      <c r="K29" s="38"/>
      <c r="L29" s="38"/>
      <c r="M29" s="38"/>
      <c r="N29" s="38"/>
      <c r="O29" s="38"/>
      <c r="P29" s="38"/>
      <c r="Q29" s="38"/>
      <c r="R29" s="38"/>
      <c r="S29" s="7">
        <f>SUM(K29:R29)</f>
        <v>0</v>
      </c>
      <c r="T29" s="7">
        <v>100000</v>
      </c>
      <c r="U29" s="7">
        <f>T29*S29</f>
        <v>0</v>
      </c>
      <c r="V29" s="4"/>
      <c r="W29" s="4"/>
      <c r="X29" s="4"/>
      <c r="Y29" s="4"/>
      <c r="Z29" s="44" t="s">
        <v>51</v>
      </c>
    </row>
    <row r="30" spans="2:26" ht="18.75" hidden="1">
      <c r="B30" s="76"/>
      <c r="C30" s="63"/>
      <c r="D30" s="52"/>
      <c r="E30" s="60"/>
      <c r="F30" s="8">
        <v>0.5</v>
      </c>
      <c r="G30" s="78"/>
      <c r="H30" s="79"/>
      <c r="I30" s="35"/>
      <c r="J30" s="9" t="str">
        <f t="shared" si="2"/>
        <v/>
      </c>
      <c r="K30" s="39"/>
      <c r="L30" s="39"/>
      <c r="M30" s="39"/>
      <c r="N30" s="39"/>
      <c r="O30" s="39"/>
      <c r="P30" s="39"/>
      <c r="Q30" s="39"/>
      <c r="R30" s="39"/>
      <c r="S30" s="10">
        <f t="shared" ref="S30:S40" si="3">SUM(K30:R30)</f>
        <v>0</v>
      </c>
      <c r="T30" s="10">
        <v>100000</v>
      </c>
      <c r="U30" s="10">
        <f t="shared" ref="U30:U31" si="4">T30*S30</f>
        <v>0</v>
      </c>
      <c r="V30" s="4"/>
      <c r="W30" s="4"/>
      <c r="X30" s="4"/>
      <c r="Y30" s="4"/>
      <c r="Z30" s="44" t="s">
        <v>52</v>
      </c>
    </row>
    <row r="31" spans="2:26" ht="18.75" hidden="1">
      <c r="B31" s="76"/>
      <c r="C31" s="63"/>
      <c r="D31" s="52"/>
      <c r="E31" s="60"/>
      <c r="F31" s="8">
        <v>0.58333333333333337</v>
      </c>
      <c r="G31" s="78"/>
      <c r="H31" s="79"/>
      <c r="I31" s="35"/>
      <c r="J31" s="9" t="str">
        <f t="shared" si="2"/>
        <v/>
      </c>
      <c r="K31" s="39"/>
      <c r="L31" s="39"/>
      <c r="M31" s="39"/>
      <c r="N31" s="39"/>
      <c r="O31" s="39"/>
      <c r="P31" s="39"/>
      <c r="Q31" s="39"/>
      <c r="R31" s="39"/>
      <c r="S31" s="10">
        <f t="shared" si="3"/>
        <v>0</v>
      </c>
      <c r="T31" s="10">
        <v>100000</v>
      </c>
      <c r="U31" s="10">
        <f t="shared" si="4"/>
        <v>0</v>
      </c>
      <c r="V31" s="4"/>
      <c r="W31" s="4"/>
      <c r="X31" s="4"/>
      <c r="Y31" s="4"/>
      <c r="Z31" s="44" t="s">
        <v>53</v>
      </c>
    </row>
    <row r="32" spans="2:26" ht="18.75" hidden="1">
      <c r="B32" s="76"/>
      <c r="C32" s="63"/>
      <c r="D32" s="52"/>
      <c r="E32" s="60"/>
      <c r="F32" s="8">
        <v>0.66666666666666663</v>
      </c>
      <c r="G32" s="78"/>
      <c r="H32" s="79"/>
      <c r="I32" s="35"/>
      <c r="J32" s="9" t="str">
        <f t="shared" si="2"/>
        <v/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/>
      <c r="E33" s="60"/>
      <c r="F33" s="8">
        <v>0.75</v>
      </c>
      <c r="G33" s="78"/>
      <c r="H33" s="79"/>
      <c r="I33" s="35"/>
      <c r="J33" s="9" t="str">
        <f t="shared" si="2"/>
        <v/>
      </c>
      <c r="K33" s="39"/>
      <c r="L33" s="39"/>
      <c r="M33" s="39"/>
      <c r="N33" s="39"/>
      <c r="O33" s="39"/>
      <c r="P33" s="39"/>
      <c r="Q33" s="39"/>
      <c r="R33" s="39"/>
      <c r="S33" s="10">
        <f t="shared" si="3"/>
        <v>0</v>
      </c>
      <c r="T33" s="10">
        <v>100000</v>
      </c>
      <c r="U33" s="10">
        <f t="shared" ref="U33:U40" si="5">T33*S33</f>
        <v>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/>
      <c r="E34" s="61"/>
      <c r="F34" s="12">
        <v>0.83333333333333337</v>
      </c>
      <c r="G34" s="78"/>
      <c r="H34" s="79"/>
      <c r="I34" s="36"/>
      <c r="J34" s="9" t="str">
        <f t="shared" si="2"/>
        <v/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/>
      <c r="E35" s="59" t="s">
        <v>104</v>
      </c>
      <c r="F35" s="5">
        <v>0.91666666666666663</v>
      </c>
      <c r="G35" s="73"/>
      <c r="H35" s="74"/>
      <c r="I35" s="34"/>
      <c r="J35" s="6" t="str">
        <f t="shared" si="2"/>
        <v/>
      </c>
      <c r="K35" s="38"/>
      <c r="L35" s="38"/>
      <c r="M35" s="38"/>
      <c r="N35" s="38"/>
      <c r="O35" s="38"/>
      <c r="P35" s="38"/>
      <c r="Q35" s="38"/>
      <c r="R35" s="38"/>
      <c r="S35" s="7">
        <f t="shared" si="3"/>
        <v>0</v>
      </c>
      <c r="T35" s="7">
        <v>100000</v>
      </c>
      <c r="U35" s="7">
        <f t="shared" si="5"/>
        <v>0</v>
      </c>
      <c r="V35" s="4"/>
      <c r="Y35" s="4"/>
      <c r="Z35" s="44" t="s">
        <v>55</v>
      </c>
    </row>
    <row r="36" spans="2:26" ht="18.75" hidden="1">
      <c r="B36" s="76"/>
      <c r="C36" s="63"/>
      <c r="D36" s="52"/>
      <c r="E36" s="60"/>
      <c r="F36" s="8">
        <v>1</v>
      </c>
      <c r="G36" s="78"/>
      <c r="H36" s="79"/>
      <c r="I36" s="35"/>
      <c r="J36" s="9" t="str">
        <f t="shared" si="2"/>
        <v/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75" hidden="1">
      <c r="B37" s="76"/>
      <c r="C37" s="63"/>
      <c r="D37" s="52"/>
      <c r="E37" s="60"/>
      <c r="F37" s="8">
        <v>8.3333333333333329E-2</v>
      </c>
      <c r="G37" s="78"/>
      <c r="H37" s="79"/>
      <c r="I37" s="35"/>
      <c r="J37" s="9" t="str">
        <f t="shared" si="2"/>
        <v/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/>
      <c r="E38" s="60"/>
      <c r="F38" s="8">
        <v>0.16666666666666666</v>
      </c>
      <c r="G38" s="78"/>
      <c r="H38" s="79"/>
      <c r="I38" s="35"/>
      <c r="J38" s="9" t="str">
        <f t="shared" si="2"/>
        <v/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/>
      <c r="E39" s="60"/>
      <c r="F39" s="8">
        <v>0.25</v>
      </c>
      <c r="G39" s="78"/>
      <c r="H39" s="79"/>
      <c r="I39" s="35"/>
      <c r="J39" s="9" t="str">
        <f t="shared" si="2"/>
        <v/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75" hidden="1">
      <c r="B40" s="77"/>
      <c r="C40" s="63"/>
      <c r="D40" s="53"/>
      <c r="E40" s="61"/>
      <c r="F40" s="12">
        <v>0.33333333333333331</v>
      </c>
      <c r="G40" s="78"/>
      <c r="H40" s="79"/>
      <c r="I40" s="36"/>
      <c r="J40" s="9" t="str">
        <f t="shared" si="2"/>
        <v/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00000000000001" hidden="1" customHeight="1">
      <c r="B41" s="76">
        <v>46084</v>
      </c>
      <c r="C41" s="62" t="s">
        <v>15</v>
      </c>
      <c r="D41" s="51"/>
      <c r="E41" s="59" t="s">
        <v>103</v>
      </c>
      <c r="F41" s="5">
        <v>0.41666666666666669</v>
      </c>
      <c r="G41" s="73"/>
      <c r="H41" s="74"/>
      <c r="I41" s="34"/>
      <c r="J41" s="6" t="str">
        <f t="shared" si="2"/>
        <v/>
      </c>
      <c r="K41" s="38"/>
      <c r="L41" s="38"/>
      <c r="M41" s="38"/>
      <c r="N41" s="38"/>
      <c r="O41" s="38"/>
      <c r="P41" s="38"/>
      <c r="Q41" s="38"/>
      <c r="R41" s="38"/>
      <c r="S41" s="7">
        <f>SUM(K41:R41)</f>
        <v>0</v>
      </c>
      <c r="T41" s="7">
        <v>100000</v>
      </c>
      <c r="U41" s="7">
        <f>T41*S41</f>
        <v>0</v>
      </c>
      <c r="V41" s="4"/>
      <c r="W41" s="4"/>
      <c r="X41" s="4"/>
      <c r="Y41" s="4"/>
      <c r="Z41" s="44" t="s">
        <v>59</v>
      </c>
    </row>
    <row r="42" spans="2:26" ht="18.75" hidden="1">
      <c r="B42" s="76"/>
      <c r="C42" s="63"/>
      <c r="D42" s="52"/>
      <c r="E42" s="60"/>
      <c r="F42" s="8">
        <v>0.5</v>
      </c>
      <c r="G42" s="78"/>
      <c r="H42" s="79"/>
      <c r="I42" s="35"/>
      <c r="J42" s="9" t="str">
        <f t="shared" si="2"/>
        <v/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18.75" hidden="1">
      <c r="B43" s="76"/>
      <c r="C43" s="63"/>
      <c r="D43" s="52"/>
      <c r="E43" s="60"/>
      <c r="F43" s="8">
        <v>0.58333333333333337</v>
      </c>
      <c r="G43" s="78"/>
      <c r="H43" s="79"/>
      <c r="I43" s="35"/>
      <c r="J43" s="9" t="str">
        <f t="shared" si="2"/>
        <v/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/>
      <c r="E44" s="60"/>
      <c r="F44" s="8">
        <v>0.66666666666666663</v>
      </c>
      <c r="G44" s="78"/>
      <c r="H44" s="79"/>
      <c r="I44" s="35"/>
      <c r="J44" s="9" t="str">
        <f t="shared" si="2"/>
        <v/>
      </c>
      <c r="K44" s="39"/>
      <c r="L44" s="39"/>
      <c r="M44" s="39"/>
      <c r="N44" s="39"/>
      <c r="O44" s="39"/>
      <c r="P44" s="39"/>
      <c r="Q44" s="39"/>
      <c r="R44" s="39"/>
      <c r="S44" s="10">
        <f t="shared" si="6"/>
        <v>0</v>
      </c>
      <c r="T44" s="10">
        <v>100000</v>
      </c>
      <c r="U44" s="10">
        <f>T44*S44</f>
        <v>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/>
      <c r="E45" s="60"/>
      <c r="F45" s="8">
        <v>0.75</v>
      </c>
      <c r="G45" s="78"/>
      <c r="H45" s="79"/>
      <c r="I45" s="35"/>
      <c r="J45" s="9" t="str">
        <f t="shared" si="2"/>
        <v/>
      </c>
      <c r="K45" s="39"/>
      <c r="L45" s="39"/>
      <c r="M45" s="39"/>
      <c r="N45" s="39"/>
      <c r="O45" s="39"/>
      <c r="P45" s="39"/>
      <c r="Q45" s="39"/>
      <c r="R45" s="39"/>
      <c r="S45" s="10">
        <f t="shared" si="6"/>
        <v>0</v>
      </c>
      <c r="T45" s="10">
        <v>100000</v>
      </c>
      <c r="U45" s="10">
        <f t="shared" ref="U45:U52" si="8">T45*S45</f>
        <v>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/>
      <c r="E46" s="61"/>
      <c r="F46" s="12">
        <v>0.83333333333333337</v>
      </c>
      <c r="G46" s="78"/>
      <c r="H46" s="79"/>
      <c r="I46" s="36"/>
      <c r="J46" s="9" t="str">
        <f t="shared" si="2"/>
        <v/>
      </c>
      <c r="K46" s="41"/>
      <c r="L46" s="41"/>
      <c r="M46" s="41"/>
      <c r="N46" s="41"/>
      <c r="O46" s="41"/>
      <c r="P46" s="41"/>
      <c r="Q46" s="41"/>
      <c r="R46" s="41"/>
      <c r="S46" s="13">
        <f t="shared" si="6"/>
        <v>0</v>
      </c>
      <c r="T46" s="13">
        <v>100000</v>
      </c>
      <c r="U46" s="13">
        <f t="shared" si="8"/>
        <v>0</v>
      </c>
      <c r="V46" s="4"/>
      <c r="Y46" s="4"/>
      <c r="Z46" s="45"/>
    </row>
    <row r="47" spans="2:26" ht="18.75" hidden="1">
      <c r="B47" s="76"/>
      <c r="C47" s="63"/>
      <c r="D47" s="51" t="s">
        <v>57</v>
      </c>
      <c r="E47" s="59" t="s">
        <v>104</v>
      </c>
      <c r="F47" s="5">
        <v>0.91666666666666663</v>
      </c>
      <c r="G47" s="73" t="s">
        <v>85</v>
      </c>
      <c r="H47" s="74"/>
      <c r="I47" s="34">
        <v>64</v>
      </c>
      <c r="J47" s="6">
        <f t="shared" si="2"/>
        <v>1.5625E-2</v>
      </c>
      <c r="K47" s="38">
        <v>1</v>
      </c>
      <c r="L47" s="38"/>
      <c r="M47" s="38"/>
      <c r="N47" s="38"/>
      <c r="O47" s="38"/>
      <c r="P47" s="38"/>
      <c r="Q47" s="38"/>
      <c r="R47" s="38"/>
      <c r="S47" s="7">
        <f t="shared" si="6"/>
        <v>1</v>
      </c>
      <c r="T47" s="7">
        <v>100000</v>
      </c>
      <c r="U47" s="7">
        <f t="shared" si="8"/>
        <v>100000</v>
      </c>
      <c r="V47" s="4"/>
      <c r="Y47" s="4"/>
      <c r="Z47" s="45"/>
    </row>
    <row r="48" spans="2:26" ht="18.75" hidden="1">
      <c r="B48" s="76"/>
      <c r="C48" s="63"/>
      <c r="D48" s="52" t="s">
        <v>57</v>
      </c>
      <c r="E48" s="60"/>
      <c r="F48" s="8">
        <v>1</v>
      </c>
      <c r="G48" s="78" t="s">
        <v>85</v>
      </c>
      <c r="H48" s="79"/>
      <c r="I48" s="35">
        <v>64</v>
      </c>
      <c r="J48" s="9">
        <f t="shared" si="2"/>
        <v>1.5625E-2</v>
      </c>
      <c r="K48" s="39"/>
      <c r="L48" s="39"/>
      <c r="M48" s="39">
        <v>1</v>
      </c>
      <c r="N48" s="39"/>
      <c r="O48" s="39"/>
      <c r="P48" s="39"/>
      <c r="Q48" s="39"/>
      <c r="R48" s="39"/>
      <c r="S48" s="10">
        <f t="shared" si="6"/>
        <v>1</v>
      </c>
      <c r="T48" s="10">
        <v>100000</v>
      </c>
      <c r="U48" s="10">
        <f t="shared" si="8"/>
        <v>100000</v>
      </c>
      <c r="V48" s="4"/>
      <c r="Y48" s="4"/>
      <c r="Z48" s="45"/>
    </row>
    <row r="49" spans="2:26" ht="18.75" hidden="1">
      <c r="B49" s="76"/>
      <c r="C49" s="63"/>
      <c r="D49" s="52" t="s">
        <v>57</v>
      </c>
      <c r="E49" s="60"/>
      <c r="F49" s="8">
        <v>8.3333333333333329E-2</v>
      </c>
      <c r="G49" s="78" t="s">
        <v>85</v>
      </c>
      <c r="H49" s="79"/>
      <c r="I49" s="35">
        <v>64</v>
      </c>
      <c r="J49" s="9">
        <f t="shared" si="2"/>
        <v>1.5625E-2</v>
      </c>
      <c r="K49" s="39"/>
      <c r="L49" s="39"/>
      <c r="M49" s="39">
        <v>1</v>
      </c>
      <c r="N49" s="39"/>
      <c r="O49" s="39"/>
      <c r="P49" s="39"/>
      <c r="Q49" s="39"/>
      <c r="R49" s="39"/>
      <c r="S49" s="10">
        <f t="shared" si="6"/>
        <v>1</v>
      </c>
      <c r="T49" s="10">
        <v>100000</v>
      </c>
      <c r="U49" s="10">
        <f t="shared" si="8"/>
        <v>100000</v>
      </c>
      <c r="V49" s="4"/>
      <c r="Y49" s="4"/>
      <c r="Z49" s="45"/>
    </row>
    <row r="50" spans="2:26" ht="18.75" hidden="1">
      <c r="B50" s="76"/>
      <c r="C50" s="63"/>
      <c r="D50" s="52" t="s">
        <v>57</v>
      </c>
      <c r="E50" s="60"/>
      <c r="F50" s="8">
        <v>0.16666666666666666</v>
      </c>
      <c r="G50" s="78" t="s">
        <v>85</v>
      </c>
      <c r="H50" s="79"/>
      <c r="I50" s="35">
        <v>64</v>
      </c>
      <c r="J50" s="9">
        <f t="shared" si="2"/>
        <v>1.5625E-2</v>
      </c>
      <c r="K50" s="39"/>
      <c r="L50" s="39"/>
      <c r="M50" s="39">
        <v>1</v>
      </c>
      <c r="N50" s="39"/>
      <c r="O50" s="39"/>
      <c r="P50" s="39"/>
      <c r="Q50" s="39"/>
      <c r="R50" s="39"/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 t="s">
        <v>57</v>
      </c>
      <c r="E51" s="60"/>
      <c r="F51" s="8">
        <v>0.25</v>
      </c>
      <c r="G51" s="78" t="s">
        <v>85</v>
      </c>
      <c r="H51" s="79"/>
      <c r="I51" s="35">
        <v>64</v>
      </c>
      <c r="J51" s="9">
        <f t="shared" si="2"/>
        <v>1.5625E-2</v>
      </c>
      <c r="K51" s="39"/>
      <c r="L51" s="39"/>
      <c r="M51" s="39">
        <v>1</v>
      </c>
      <c r="N51" s="39"/>
      <c r="O51" s="39"/>
      <c r="P51" s="39"/>
      <c r="Q51" s="39"/>
      <c r="R51" s="39"/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8.75" hidden="1">
      <c r="B52" s="76"/>
      <c r="C52" s="63"/>
      <c r="D52" s="53" t="s">
        <v>57</v>
      </c>
      <c r="E52" s="61"/>
      <c r="F52" s="12">
        <v>0.33333333333333331</v>
      </c>
      <c r="G52" s="78" t="s">
        <v>85</v>
      </c>
      <c r="H52" s="79"/>
      <c r="I52" s="36">
        <v>64</v>
      </c>
      <c r="J52" s="9">
        <f t="shared" si="2"/>
        <v>1.5625E-2</v>
      </c>
      <c r="K52" s="41">
        <v>1</v>
      </c>
      <c r="L52" s="41"/>
      <c r="M52" s="41"/>
      <c r="N52" s="41"/>
      <c r="O52" s="41"/>
      <c r="P52" s="41"/>
      <c r="Q52" s="41"/>
      <c r="R52" s="41"/>
      <c r="S52" s="13">
        <f t="shared" si="6"/>
        <v>1</v>
      </c>
      <c r="T52" s="13">
        <v>100000</v>
      </c>
      <c r="U52" s="13">
        <f t="shared" si="8"/>
        <v>100000</v>
      </c>
      <c r="V52" s="4"/>
      <c r="W52" s="4"/>
      <c r="X52" s="4"/>
      <c r="Y52" s="4"/>
      <c r="Z52" s="45"/>
    </row>
    <row r="53" spans="2:26" ht="16.5" hidden="1" customHeight="1">
      <c r="B53" s="65">
        <v>46085</v>
      </c>
      <c r="C53" s="62" t="s">
        <v>15</v>
      </c>
      <c r="D53" s="51" t="s">
        <v>57</v>
      </c>
      <c r="E53" s="59" t="s">
        <v>103</v>
      </c>
      <c r="F53" s="5">
        <v>0.41666666666666669</v>
      </c>
      <c r="G53" s="73" t="s">
        <v>77</v>
      </c>
      <c r="H53" s="74"/>
      <c r="I53" s="34">
        <v>35</v>
      </c>
      <c r="J53" s="6">
        <f t="shared" si="2"/>
        <v>0.34285714285714286</v>
      </c>
      <c r="K53" s="38"/>
      <c r="L53" s="38"/>
      <c r="M53" s="38">
        <v>7</v>
      </c>
      <c r="N53" s="38"/>
      <c r="O53" s="38"/>
      <c r="P53" s="38"/>
      <c r="Q53" s="38">
        <v>5</v>
      </c>
      <c r="R53" s="38"/>
      <c r="S53" s="7">
        <f>SUM(K53:R53)</f>
        <v>12</v>
      </c>
      <c r="T53" s="7">
        <v>100000</v>
      </c>
      <c r="U53" s="7">
        <f>T53*S53</f>
        <v>1200000</v>
      </c>
      <c r="V53" s="4"/>
      <c r="W53" s="4"/>
      <c r="X53" s="4"/>
      <c r="Y53" s="4"/>
      <c r="Z53" s="45"/>
    </row>
    <row r="54" spans="2:26" ht="18.75" hidden="1">
      <c r="B54" s="65"/>
      <c r="C54" s="63"/>
      <c r="D54" s="52" t="s">
        <v>57</v>
      </c>
      <c r="E54" s="60"/>
      <c r="F54" s="8">
        <v>0.5</v>
      </c>
      <c r="G54" s="78" t="s">
        <v>77</v>
      </c>
      <c r="H54" s="79"/>
      <c r="I54" s="35">
        <v>30</v>
      </c>
      <c r="J54" s="9">
        <f t="shared" si="2"/>
        <v>6.6666666666666666E-2</v>
      </c>
      <c r="K54" s="39"/>
      <c r="L54" s="39"/>
      <c r="M54" s="39">
        <v>2</v>
      </c>
      <c r="N54" s="39"/>
      <c r="O54" s="39"/>
      <c r="P54" s="39"/>
      <c r="Q54" s="39"/>
      <c r="R54" s="39"/>
      <c r="S54" s="10">
        <f t="shared" ref="S54:S64" si="9">SUM(K54:R54)</f>
        <v>2</v>
      </c>
      <c r="T54" s="10">
        <v>100000</v>
      </c>
      <c r="U54" s="10">
        <f t="shared" ref="U54:U55" si="10">T54*S54</f>
        <v>200000</v>
      </c>
      <c r="V54" s="4"/>
      <c r="W54" s="4"/>
      <c r="X54" s="4"/>
      <c r="Y54" s="4"/>
      <c r="Z54" s="45"/>
    </row>
    <row r="55" spans="2:26" ht="18.75" hidden="1">
      <c r="B55" s="65"/>
      <c r="C55" s="63"/>
      <c r="D55" s="52" t="s">
        <v>57</v>
      </c>
      <c r="E55" s="60"/>
      <c r="F55" s="8">
        <v>0.58333333333333337</v>
      </c>
      <c r="G55" s="78" t="s">
        <v>77</v>
      </c>
      <c r="H55" s="79"/>
      <c r="I55" s="35">
        <v>65</v>
      </c>
      <c r="J55" s="9">
        <f t="shared" si="2"/>
        <v>4.6153846153846156E-2</v>
      </c>
      <c r="K55" s="39"/>
      <c r="L55" s="39"/>
      <c r="M55" s="39"/>
      <c r="N55" s="39"/>
      <c r="O55" s="39"/>
      <c r="P55" s="39"/>
      <c r="Q55" s="39">
        <v>3</v>
      </c>
      <c r="R55" s="39"/>
      <c r="S55" s="10">
        <f t="shared" si="9"/>
        <v>3</v>
      </c>
      <c r="T55" s="10">
        <v>100000</v>
      </c>
      <c r="U55" s="10">
        <f t="shared" si="10"/>
        <v>300000</v>
      </c>
      <c r="V55" s="4"/>
      <c r="W55" s="4"/>
      <c r="X55" s="4"/>
      <c r="Y55" s="4"/>
      <c r="Z55" s="45"/>
    </row>
    <row r="56" spans="2:26" ht="18.75" hidden="1">
      <c r="B56" s="65"/>
      <c r="C56" s="63"/>
      <c r="D56" s="52" t="s">
        <v>57</v>
      </c>
      <c r="E56" s="60"/>
      <c r="F56" s="8">
        <v>0.66666666666666663</v>
      </c>
      <c r="G56" s="78" t="s">
        <v>77</v>
      </c>
      <c r="H56" s="79"/>
      <c r="I56" s="35">
        <v>60</v>
      </c>
      <c r="J56" s="9">
        <f t="shared" si="2"/>
        <v>1.6666666666666666E-2</v>
      </c>
      <c r="K56" s="39"/>
      <c r="L56" s="39"/>
      <c r="M56" s="39">
        <v>1</v>
      </c>
      <c r="N56" s="39"/>
      <c r="O56" s="39"/>
      <c r="P56" s="39"/>
      <c r="Q56" s="39"/>
      <c r="R56" s="39"/>
      <c r="S56" s="10">
        <f t="shared" si="9"/>
        <v>1</v>
      </c>
      <c r="T56" s="10">
        <v>100000</v>
      </c>
      <c r="U56" s="10">
        <f>T56*S56</f>
        <v>100000</v>
      </c>
      <c r="V56" s="4"/>
      <c r="W56" s="4"/>
      <c r="X56" s="4"/>
      <c r="Y56" s="4"/>
      <c r="Z56" s="45"/>
    </row>
    <row r="57" spans="2:26" ht="18.75" hidden="1">
      <c r="B57" s="65"/>
      <c r="C57" s="63"/>
      <c r="D57" s="52" t="s">
        <v>57</v>
      </c>
      <c r="E57" s="60"/>
      <c r="F57" s="8">
        <v>0.75</v>
      </c>
      <c r="G57" s="78" t="s">
        <v>77</v>
      </c>
      <c r="H57" s="79"/>
      <c r="I57" s="35">
        <v>40</v>
      </c>
      <c r="J57" s="9">
        <f t="shared" si="2"/>
        <v>0.05</v>
      </c>
      <c r="K57" s="39"/>
      <c r="L57" s="39"/>
      <c r="M57" s="39"/>
      <c r="N57" s="39"/>
      <c r="O57" s="39"/>
      <c r="P57" s="39"/>
      <c r="Q57" s="39">
        <v>2</v>
      </c>
      <c r="R57" s="39"/>
      <c r="S57" s="10">
        <f t="shared" si="9"/>
        <v>2</v>
      </c>
      <c r="T57" s="10">
        <v>100000</v>
      </c>
      <c r="U57" s="10">
        <f t="shared" ref="U57:U64" si="11">T57*S57</f>
        <v>200000</v>
      </c>
      <c r="V57" s="4"/>
      <c r="W57" s="4"/>
      <c r="X57" s="11"/>
      <c r="Y57" s="4"/>
      <c r="Z57" s="45"/>
    </row>
    <row r="58" spans="2:26" ht="18.75" hidden="1">
      <c r="B58" s="65"/>
      <c r="C58" s="63"/>
      <c r="D58" s="53" t="s">
        <v>57</v>
      </c>
      <c r="E58" s="61"/>
      <c r="F58" s="12">
        <v>0.83333333333333337</v>
      </c>
      <c r="G58" s="78" t="s">
        <v>77</v>
      </c>
      <c r="H58" s="79"/>
      <c r="I58" s="36">
        <v>58</v>
      </c>
      <c r="J58" s="9">
        <f t="shared" si="2"/>
        <v>3.4482758620689655E-2</v>
      </c>
      <c r="K58" s="41"/>
      <c r="L58" s="41"/>
      <c r="M58" s="41"/>
      <c r="N58" s="41"/>
      <c r="O58" s="41"/>
      <c r="P58" s="41"/>
      <c r="Q58" s="41">
        <v>2</v>
      </c>
      <c r="R58" s="41"/>
      <c r="S58" s="13">
        <f t="shared" si="9"/>
        <v>2</v>
      </c>
      <c r="T58" s="13">
        <v>100000</v>
      </c>
      <c r="U58" s="13">
        <f t="shared" si="11"/>
        <v>200000</v>
      </c>
      <c r="V58" s="4"/>
      <c r="Y58" s="4"/>
      <c r="Z58" s="45"/>
    </row>
    <row r="59" spans="2:26" ht="18.75" hidden="1">
      <c r="B59" s="65"/>
      <c r="C59" s="63"/>
      <c r="D59" s="51" t="s">
        <v>57</v>
      </c>
      <c r="E59" s="59" t="s">
        <v>104</v>
      </c>
      <c r="F59" s="5">
        <v>0.91666666666666663</v>
      </c>
      <c r="G59" s="73" t="s">
        <v>87</v>
      </c>
      <c r="H59" s="74"/>
      <c r="I59" s="34">
        <v>64</v>
      </c>
      <c r="J59" s="6">
        <f t="shared" si="2"/>
        <v>1.5625E-2</v>
      </c>
      <c r="K59" s="38"/>
      <c r="L59" s="38"/>
      <c r="M59" s="38">
        <v>1</v>
      </c>
      <c r="N59" s="38"/>
      <c r="O59" s="38"/>
      <c r="P59" s="38"/>
      <c r="Q59" s="38"/>
      <c r="R59" s="38"/>
      <c r="S59" s="7">
        <f t="shared" si="9"/>
        <v>1</v>
      </c>
      <c r="T59" s="7">
        <v>100000</v>
      </c>
      <c r="U59" s="7">
        <f t="shared" si="11"/>
        <v>100000</v>
      </c>
      <c r="V59" s="4"/>
      <c r="Y59" s="4"/>
      <c r="Z59" s="45"/>
    </row>
    <row r="60" spans="2:26" ht="18.75" hidden="1">
      <c r="B60" s="65"/>
      <c r="C60" s="63"/>
      <c r="D60" s="52" t="s">
        <v>57</v>
      </c>
      <c r="E60" s="60"/>
      <c r="F60" s="8">
        <v>1</v>
      </c>
      <c r="G60" s="78" t="s">
        <v>87</v>
      </c>
      <c r="H60" s="79"/>
      <c r="I60" s="35">
        <v>64</v>
      </c>
      <c r="J60" s="9">
        <f t="shared" si="2"/>
        <v>0</v>
      </c>
      <c r="K60" s="39"/>
      <c r="L60" s="39"/>
      <c r="M60" s="39"/>
      <c r="N60" s="39"/>
      <c r="O60" s="39"/>
      <c r="P60" s="39"/>
      <c r="Q60" s="39"/>
      <c r="R60" s="39"/>
      <c r="S60" s="10">
        <f t="shared" si="9"/>
        <v>0</v>
      </c>
      <c r="T60" s="10">
        <v>100000</v>
      </c>
      <c r="U60" s="10">
        <f t="shared" si="11"/>
        <v>0</v>
      </c>
      <c r="V60" s="4"/>
      <c r="Y60" s="4"/>
      <c r="Z60" s="45"/>
    </row>
    <row r="61" spans="2:26" ht="18.75" hidden="1">
      <c r="B61" s="65"/>
      <c r="C61" s="63"/>
      <c r="D61" s="52" t="s">
        <v>57</v>
      </c>
      <c r="E61" s="60"/>
      <c r="F61" s="8">
        <v>8.3333333333333329E-2</v>
      </c>
      <c r="G61" s="78" t="s">
        <v>87</v>
      </c>
      <c r="H61" s="79"/>
      <c r="I61" s="35">
        <v>64</v>
      </c>
      <c r="J61" s="9">
        <f t="shared" si="2"/>
        <v>0</v>
      </c>
      <c r="K61" s="39"/>
      <c r="L61" s="39"/>
      <c r="M61" s="39"/>
      <c r="N61" s="39"/>
      <c r="O61" s="39"/>
      <c r="P61" s="39"/>
      <c r="Q61" s="39"/>
      <c r="R61" s="39"/>
      <c r="S61" s="10">
        <f t="shared" si="9"/>
        <v>0</v>
      </c>
      <c r="T61" s="10">
        <v>100000</v>
      </c>
      <c r="U61" s="10">
        <f t="shared" si="11"/>
        <v>0</v>
      </c>
      <c r="V61" s="4"/>
      <c r="Y61" s="4"/>
      <c r="Z61" s="46"/>
    </row>
    <row r="62" spans="2:26" ht="18.75" hidden="1">
      <c r="B62" s="65"/>
      <c r="C62" s="63"/>
      <c r="D62" s="52" t="s">
        <v>57</v>
      </c>
      <c r="E62" s="60"/>
      <c r="F62" s="8">
        <v>0.16666666666666666</v>
      </c>
      <c r="G62" s="78" t="s">
        <v>87</v>
      </c>
      <c r="H62" s="79"/>
      <c r="I62" s="35">
        <v>64</v>
      </c>
      <c r="J62" s="9">
        <f t="shared" si="2"/>
        <v>0</v>
      </c>
      <c r="K62" s="39"/>
      <c r="L62" s="39"/>
      <c r="M62" s="39"/>
      <c r="N62" s="39"/>
      <c r="O62" s="39"/>
      <c r="P62" s="39"/>
      <c r="Q62" s="39"/>
      <c r="R62" s="39"/>
      <c r="S62" s="10">
        <f t="shared" si="9"/>
        <v>0</v>
      </c>
      <c r="T62" s="10">
        <v>100000</v>
      </c>
      <c r="U62" s="10">
        <f t="shared" si="11"/>
        <v>0</v>
      </c>
      <c r="V62" s="4"/>
      <c r="W62" s="4"/>
      <c r="X62" s="4"/>
      <c r="Y62" s="4"/>
    </row>
    <row r="63" spans="2:26" ht="18.75" hidden="1">
      <c r="B63" s="65"/>
      <c r="C63" s="63"/>
      <c r="D63" s="52" t="s">
        <v>57</v>
      </c>
      <c r="E63" s="60"/>
      <c r="F63" s="8">
        <v>0.25</v>
      </c>
      <c r="G63" s="78" t="s">
        <v>87</v>
      </c>
      <c r="H63" s="79"/>
      <c r="I63" s="35">
        <v>64</v>
      </c>
      <c r="J63" s="9">
        <f t="shared" si="2"/>
        <v>0</v>
      </c>
      <c r="K63" s="39"/>
      <c r="L63" s="39"/>
      <c r="M63" s="39"/>
      <c r="N63" s="39"/>
      <c r="O63" s="39"/>
      <c r="P63" s="39"/>
      <c r="Q63" s="39"/>
      <c r="R63" s="39"/>
      <c r="S63" s="10">
        <f t="shared" si="9"/>
        <v>0</v>
      </c>
      <c r="T63" s="10">
        <v>100000</v>
      </c>
      <c r="U63" s="10">
        <f t="shared" si="11"/>
        <v>0</v>
      </c>
      <c r="V63" s="4"/>
      <c r="Y63" s="4"/>
    </row>
    <row r="64" spans="2:26" ht="18.75" hidden="1">
      <c r="B64" s="65"/>
      <c r="C64" s="63"/>
      <c r="D64" s="53" t="s">
        <v>57</v>
      </c>
      <c r="E64" s="61"/>
      <c r="F64" s="14">
        <v>0.33333333333333331</v>
      </c>
      <c r="G64" s="78" t="s">
        <v>87</v>
      </c>
      <c r="H64" s="79"/>
      <c r="I64" s="37">
        <v>64</v>
      </c>
      <c r="J64" s="9">
        <f t="shared" si="2"/>
        <v>0</v>
      </c>
      <c r="K64" s="40"/>
      <c r="L64" s="40"/>
      <c r="M64" s="40"/>
      <c r="N64" s="40"/>
      <c r="O64" s="40"/>
      <c r="P64" s="40"/>
      <c r="Q64" s="40"/>
      <c r="R64" s="40"/>
      <c r="S64" s="16">
        <f t="shared" si="9"/>
        <v>0</v>
      </c>
      <c r="T64" s="16">
        <v>100000</v>
      </c>
      <c r="U64" s="16">
        <f t="shared" si="11"/>
        <v>0</v>
      </c>
      <c r="V64" s="4"/>
      <c r="W64" s="4"/>
      <c r="X64" s="4"/>
      <c r="Y64" s="4"/>
    </row>
    <row r="65" spans="2:25" ht="16.5" hidden="1" customHeight="1">
      <c r="B65" s="65">
        <v>46086</v>
      </c>
      <c r="C65" s="62" t="s">
        <v>15</v>
      </c>
      <c r="D65" s="51" t="s">
        <v>57</v>
      </c>
      <c r="E65" s="59" t="s">
        <v>103</v>
      </c>
      <c r="F65" s="5">
        <v>0.41666666666666669</v>
      </c>
      <c r="G65" s="73" t="s">
        <v>74</v>
      </c>
      <c r="H65" s="74"/>
      <c r="I65" s="34">
        <v>65</v>
      </c>
      <c r="J65" s="6">
        <f t="shared" si="2"/>
        <v>3.0769230769230771E-2</v>
      </c>
      <c r="K65" s="38"/>
      <c r="L65" s="38"/>
      <c r="M65" s="38"/>
      <c r="N65" s="38"/>
      <c r="O65" s="38"/>
      <c r="P65" s="38"/>
      <c r="Q65" s="38">
        <v>2</v>
      </c>
      <c r="R65" s="38"/>
      <c r="S65" s="7">
        <f>SUM(K65:R65)</f>
        <v>2</v>
      </c>
      <c r="T65" s="7">
        <v>100000</v>
      </c>
      <c r="U65" s="7">
        <f>T65*S65</f>
        <v>200000</v>
      </c>
      <c r="V65" s="4"/>
      <c r="W65" s="4"/>
      <c r="X65" s="4"/>
      <c r="Y65" s="4"/>
    </row>
    <row r="66" spans="2:25" ht="18.75" hidden="1">
      <c r="B66" s="65"/>
      <c r="C66" s="63"/>
      <c r="D66" s="52" t="s">
        <v>57</v>
      </c>
      <c r="E66" s="60"/>
      <c r="F66" s="8">
        <v>0.5</v>
      </c>
      <c r="G66" s="78" t="s">
        <v>74</v>
      </c>
      <c r="H66" s="79"/>
      <c r="I66" s="35">
        <v>30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18.75" hidden="1">
      <c r="B67" s="65"/>
      <c r="C67" s="63"/>
      <c r="D67" s="52" t="s">
        <v>57</v>
      </c>
      <c r="E67" s="60"/>
      <c r="F67" s="8">
        <v>0.58333333333333337</v>
      </c>
      <c r="G67" s="78" t="s">
        <v>74</v>
      </c>
      <c r="H67" s="79"/>
      <c r="I67" s="35">
        <v>20</v>
      </c>
      <c r="J67" s="9">
        <f t="shared" si="2"/>
        <v>0.2</v>
      </c>
      <c r="K67" s="39"/>
      <c r="L67" s="39"/>
      <c r="M67" s="39">
        <v>4</v>
      </c>
      <c r="N67" s="39"/>
      <c r="O67" s="39"/>
      <c r="P67" s="39"/>
      <c r="Q67" s="39"/>
      <c r="R67" s="39"/>
      <c r="S67" s="10">
        <f t="shared" si="12"/>
        <v>4</v>
      </c>
      <c r="T67" s="10">
        <v>100000</v>
      </c>
      <c r="U67" s="10">
        <f t="shared" si="13"/>
        <v>400000</v>
      </c>
      <c r="V67" s="4"/>
      <c r="W67" s="4"/>
      <c r="X67" s="4"/>
      <c r="Y67" s="4"/>
    </row>
    <row r="68" spans="2:25" ht="18.75" hidden="1">
      <c r="B68" s="65"/>
      <c r="C68" s="63"/>
      <c r="D68" s="52" t="s">
        <v>57</v>
      </c>
      <c r="E68" s="60"/>
      <c r="F68" s="8">
        <v>0.66666666666666663</v>
      </c>
      <c r="G68" s="78" t="s">
        <v>74</v>
      </c>
      <c r="H68" s="79"/>
      <c r="I68" s="35">
        <v>60</v>
      </c>
      <c r="J68" s="9">
        <f t="shared" si="2"/>
        <v>1.6666666666666666E-2</v>
      </c>
      <c r="K68" s="39"/>
      <c r="L68" s="39"/>
      <c r="M68" s="39">
        <v>1</v>
      </c>
      <c r="N68" s="39"/>
      <c r="O68" s="39"/>
      <c r="P68" s="39"/>
      <c r="Q68" s="39"/>
      <c r="R68" s="39"/>
      <c r="S68" s="10">
        <f t="shared" si="12"/>
        <v>1</v>
      </c>
      <c r="T68" s="10">
        <v>100000</v>
      </c>
      <c r="U68" s="10">
        <f>T68*S68</f>
        <v>100000</v>
      </c>
      <c r="V68" s="4"/>
      <c r="W68" s="4"/>
      <c r="X68" s="4"/>
      <c r="Y68" s="4"/>
    </row>
    <row r="69" spans="2:25" ht="18.75" hidden="1">
      <c r="B69" s="65"/>
      <c r="C69" s="63"/>
      <c r="D69" s="52" t="s">
        <v>57</v>
      </c>
      <c r="E69" s="60"/>
      <c r="F69" s="8">
        <v>0.75</v>
      </c>
      <c r="G69" s="78" t="s">
        <v>74</v>
      </c>
      <c r="H69" s="79"/>
      <c r="I69" s="35">
        <v>45</v>
      </c>
      <c r="J69" s="9">
        <f t="shared" si="2"/>
        <v>0</v>
      </c>
      <c r="K69" s="39"/>
      <c r="L69" s="39"/>
      <c r="M69" s="39"/>
      <c r="N69" s="39"/>
      <c r="O69" s="39"/>
      <c r="P69" s="39"/>
      <c r="Q69" s="39"/>
      <c r="R69" s="39"/>
      <c r="S69" s="10">
        <f t="shared" si="12"/>
        <v>0</v>
      </c>
      <c r="T69" s="10">
        <v>100000</v>
      </c>
      <c r="U69" s="10">
        <f t="shared" ref="U69:U76" si="14">T69*S69</f>
        <v>0</v>
      </c>
      <c r="V69" s="4"/>
      <c r="W69" s="4"/>
      <c r="X69" s="11"/>
      <c r="Y69" s="4"/>
    </row>
    <row r="70" spans="2:25" ht="18.75" hidden="1">
      <c r="B70" s="65"/>
      <c r="C70" s="63"/>
      <c r="D70" s="53" t="s">
        <v>57</v>
      </c>
      <c r="E70" s="61"/>
      <c r="F70" s="12">
        <v>0.83333333333333337</v>
      </c>
      <c r="G70" s="78" t="s">
        <v>74</v>
      </c>
      <c r="H70" s="79"/>
      <c r="I70" s="36">
        <v>68</v>
      </c>
      <c r="J70" s="9">
        <f t="shared" si="2"/>
        <v>0</v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18.75" hidden="1">
      <c r="B71" s="65"/>
      <c r="C71" s="63"/>
      <c r="D71" s="51" t="s">
        <v>57</v>
      </c>
      <c r="E71" s="59" t="s">
        <v>104</v>
      </c>
      <c r="F71" s="5">
        <v>0.91666666666666663</v>
      </c>
      <c r="G71" s="73" t="s">
        <v>85</v>
      </c>
      <c r="H71" s="74"/>
      <c r="I71" s="34">
        <v>65</v>
      </c>
      <c r="J71" s="6">
        <f t="shared" si="2"/>
        <v>3.0769230769230771E-2</v>
      </c>
      <c r="K71" s="38">
        <v>2</v>
      </c>
      <c r="L71" s="38"/>
      <c r="M71" s="38"/>
      <c r="N71" s="38"/>
      <c r="O71" s="38"/>
      <c r="P71" s="38"/>
      <c r="Q71" s="38"/>
      <c r="R71" s="38"/>
      <c r="S71" s="7">
        <f t="shared" si="12"/>
        <v>2</v>
      </c>
      <c r="T71" s="7">
        <v>100000</v>
      </c>
      <c r="U71" s="7">
        <f t="shared" si="14"/>
        <v>200000</v>
      </c>
      <c r="V71" s="4"/>
      <c r="Y71" s="4"/>
    </row>
    <row r="72" spans="2:25" ht="18.75" hidden="1">
      <c r="B72" s="65"/>
      <c r="C72" s="63"/>
      <c r="D72" s="52" t="s">
        <v>57</v>
      </c>
      <c r="E72" s="60"/>
      <c r="F72" s="8">
        <v>1</v>
      </c>
      <c r="G72" s="78" t="s">
        <v>85</v>
      </c>
      <c r="H72" s="79"/>
      <c r="I72" s="35">
        <v>30</v>
      </c>
      <c r="J72" s="9">
        <f t="shared" si="2"/>
        <v>6.6666666666666666E-2</v>
      </c>
      <c r="K72" s="39"/>
      <c r="L72" s="39"/>
      <c r="M72" s="39">
        <v>2</v>
      </c>
      <c r="N72" s="39"/>
      <c r="O72" s="39"/>
      <c r="P72" s="39"/>
      <c r="Q72" s="39"/>
      <c r="R72" s="39"/>
      <c r="S72" s="10">
        <f t="shared" si="12"/>
        <v>2</v>
      </c>
      <c r="T72" s="10">
        <v>100000</v>
      </c>
      <c r="U72" s="10">
        <f t="shared" si="14"/>
        <v>200000</v>
      </c>
      <c r="V72" s="4"/>
      <c r="Y72" s="4"/>
    </row>
    <row r="73" spans="2:25" ht="18.75" hidden="1">
      <c r="B73" s="65"/>
      <c r="C73" s="63"/>
      <c r="D73" s="52" t="s">
        <v>57</v>
      </c>
      <c r="E73" s="60"/>
      <c r="F73" s="8">
        <v>8.3333333333333329E-2</v>
      </c>
      <c r="G73" s="78" t="s">
        <v>85</v>
      </c>
      <c r="H73" s="79"/>
      <c r="I73" s="35">
        <v>65</v>
      </c>
      <c r="J73" s="9">
        <f t="shared" si="2"/>
        <v>3.0769230769230771E-2</v>
      </c>
      <c r="K73" s="39">
        <v>2</v>
      </c>
      <c r="L73" s="39"/>
      <c r="M73" s="39"/>
      <c r="N73" s="39"/>
      <c r="O73" s="39"/>
      <c r="P73" s="39"/>
      <c r="Q73" s="39"/>
      <c r="R73" s="39"/>
      <c r="S73" s="10">
        <f t="shared" si="12"/>
        <v>2</v>
      </c>
      <c r="T73" s="10">
        <v>100000</v>
      </c>
      <c r="U73" s="10">
        <f t="shared" si="14"/>
        <v>200000</v>
      </c>
      <c r="V73" s="4"/>
      <c r="Y73" s="4"/>
    </row>
    <row r="74" spans="2:25" ht="18.75" hidden="1">
      <c r="B74" s="65"/>
      <c r="C74" s="63"/>
      <c r="D74" s="52" t="s">
        <v>57</v>
      </c>
      <c r="E74" s="60"/>
      <c r="F74" s="8">
        <v>0.16666666666666666</v>
      </c>
      <c r="G74" s="78" t="s">
        <v>85</v>
      </c>
      <c r="H74" s="79"/>
      <c r="I74" s="35">
        <v>65</v>
      </c>
      <c r="J74" s="9">
        <f t="shared" si="2"/>
        <v>3.0769230769230771E-2</v>
      </c>
      <c r="K74" s="39"/>
      <c r="L74" s="39"/>
      <c r="M74" s="39">
        <v>2</v>
      </c>
      <c r="N74" s="39"/>
      <c r="O74" s="39"/>
      <c r="P74" s="39"/>
      <c r="Q74" s="39"/>
      <c r="R74" s="39"/>
      <c r="S74" s="10">
        <f t="shared" si="12"/>
        <v>2</v>
      </c>
      <c r="T74" s="10">
        <v>100000</v>
      </c>
      <c r="U74" s="10">
        <f t="shared" si="14"/>
        <v>200000</v>
      </c>
      <c r="V74" s="4"/>
      <c r="W74" s="4"/>
      <c r="X74" s="4"/>
      <c r="Y74" s="4"/>
    </row>
    <row r="75" spans="2:25" ht="18.75" hidden="1">
      <c r="B75" s="65"/>
      <c r="C75" s="63"/>
      <c r="D75" s="52" t="s">
        <v>57</v>
      </c>
      <c r="E75" s="60"/>
      <c r="F75" s="8">
        <v>0.25</v>
      </c>
      <c r="G75" s="78" t="s">
        <v>85</v>
      </c>
      <c r="H75" s="79"/>
      <c r="I75" s="35">
        <v>46</v>
      </c>
      <c r="J75" s="9">
        <f t="shared" si="2"/>
        <v>4.3478260869565216E-2</v>
      </c>
      <c r="K75" s="39">
        <v>2</v>
      </c>
      <c r="L75" s="39"/>
      <c r="M75" s="39"/>
      <c r="N75" s="39"/>
      <c r="O75" s="39"/>
      <c r="P75" s="39"/>
      <c r="Q75" s="39"/>
      <c r="R75" s="39"/>
      <c r="S75" s="10">
        <f t="shared" si="12"/>
        <v>2</v>
      </c>
      <c r="T75" s="10">
        <v>100000</v>
      </c>
      <c r="U75" s="10">
        <f t="shared" si="14"/>
        <v>200000</v>
      </c>
      <c r="V75" s="4"/>
      <c r="Y75" s="4"/>
    </row>
    <row r="76" spans="2:25" ht="18.75" hidden="1">
      <c r="B76" s="65"/>
      <c r="C76" s="63"/>
      <c r="D76" s="53" t="s">
        <v>57</v>
      </c>
      <c r="E76" s="61"/>
      <c r="F76" s="14">
        <v>0.33333333333333331</v>
      </c>
      <c r="G76" s="78" t="s">
        <v>85</v>
      </c>
      <c r="H76" s="79"/>
      <c r="I76" s="37">
        <v>65</v>
      </c>
      <c r="J76" s="9">
        <f t="shared" si="2"/>
        <v>1.5384615384615385E-2</v>
      </c>
      <c r="K76" s="40"/>
      <c r="L76" s="40"/>
      <c r="M76" s="40"/>
      <c r="N76" s="40"/>
      <c r="O76" s="40"/>
      <c r="P76" s="40"/>
      <c r="Q76" s="40"/>
      <c r="R76" s="40">
        <v>1</v>
      </c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16.5" hidden="1" customHeight="1">
      <c r="B77" s="65">
        <v>46087</v>
      </c>
      <c r="C77" s="62" t="s">
        <v>15</v>
      </c>
      <c r="D77" s="51" t="s">
        <v>57</v>
      </c>
      <c r="E77" s="59" t="s">
        <v>103</v>
      </c>
      <c r="F77" s="5">
        <v>0.41666666666666669</v>
      </c>
      <c r="G77" s="73" t="s">
        <v>74</v>
      </c>
      <c r="H77" s="74"/>
      <c r="I77" s="34">
        <v>68</v>
      </c>
      <c r="J77" s="6">
        <f t="shared" si="2"/>
        <v>7.3529411764705885E-2</v>
      </c>
      <c r="K77" s="38"/>
      <c r="L77" s="38"/>
      <c r="M77" s="38"/>
      <c r="N77" s="38"/>
      <c r="O77" s="38"/>
      <c r="P77" s="38"/>
      <c r="Q77" s="38">
        <v>5</v>
      </c>
      <c r="R77" s="38"/>
      <c r="S77" s="7">
        <f>SUM(K77:R77)</f>
        <v>5</v>
      </c>
      <c r="T77" s="7">
        <v>100000</v>
      </c>
      <c r="U77" s="7">
        <f>T77*S77</f>
        <v>500000</v>
      </c>
      <c r="V77" s="4"/>
      <c r="W77" s="4"/>
      <c r="X77" s="4"/>
      <c r="Y77" s="4"/>
    </row>
    <row r="78" spans="2:25" ht="18.75" hidden="1">
      <c r="B78" s="65"/>
      <c r="C78" s="63"/>
      <c r="D78" s="52" t="s">
        <v>57</v>
      </c>
      <c r="E78" s="60"/>
      <c r="F78" s="8">
        <v>0.5</v>
      </c>
      <c r="G78" s="78" t="s">
        <v>74</v>
      </c>
      <c r="H78" s="79"/>
      <c r="I78" s="35">
        <v>30</v>
      </c>
      <c r="J78" s="9">
        <f t="shared" si="2"/>
        <v>3.3333333333333333E-2</v>
      </c>
      <c r="K78" s="39">
        <v>1</v>
      </c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1</v>
      </c>
      <c r="T78" s="10">
        <v>100000</v>
      </c>
      <c r="U78" s="10">
        <f t="shared" ref="U78:U79" si="16">T78*S78</f>
        <v>100000</v>
      </c>
      <c r="V78" s="4"/>
      <c r="W78" s="4"/>
      <c r="X78" s="4"/>
      <c r="Y78" s="4"/>
    </row>
    <row r="79" spans="2:25" ht="18.75" hidden="1">
      <c r="B79" s="65"/>
      <c r="C79" s="63"/>
      <c r="D79" s="52" t="s">
        <v>57</v>
      </c>
      <c r="E79" s="60"/>
      <c r="F79" s="8">
        <v>0.58333333333333337</v>
      </c>
      <c r="G79" s="78" t="s">
        <v>74</v>
      </c>
      <c r="H79" s="79"/>
      <c r="I79" s="35">
        <v>65</v>
      </c>
      <c r="J79" s="9">
        <f t="shared" si="2"/>
        <v>1.5384615384615385E-2</v>
      </c>
      <c r="K79" s="39"/>
      <c r="L79" s="39"/>
      <c r="M79" s="39">
        <v>1</v>
      </c>
      <c r="N79" s="39"/>
      <c r="O79" s="39"/>
      <c r="P79" s="39"/>
      <c r="Q79" s="39"/>
      <c r="R79" s="39"/>
      <c r="S79" s="10">
        <f t="shared" si="15"/>
        <v>1</v>
      </c>
      <c r="T79" s="10">
        <v>100000</v>
      </c>
      <c r="U79" s="10">
        <f t="shared" si="16"/>
        <v>100000</v>
      </c>
      <c r="V79" s="4"/>
      <c r="W79" s="4"/>
      <c r="X79" s="4"/>
      <c r="Y79" s="4"/>
    </row>
    <row r="80" spans="2:25" ht="18.75" hidden="1">
      <c r="B80" s="65"/>
      <c r="C80" s="63"/>
      <c r="D80" s="52" t="s">
        <v>57</v>
      </c>
      <c r="E80" s="60"/>
      <c r="F80" s="8">
        <v>0.66666666666666663</v>
      </c>
      <c r="G80" s="78" t="s">
        <v>74</v>
      </c>
      <c r="H80" s="79"/>
      <c r="I80" s="35">
        <v>60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8.75" hidden="1">
      <c r="B81" s="65"/>
      <c r="C81" s="63"/>
      <c r="D81" s="52" t="s">
        <v>57</v>
      </c>
      <c r="E81" s="60"/>
      <c r="F81" s="8">
        <v>0.75</v>
      </c>
      <c r="G81" s="78" t="s">
        <v>74</v>
      </c>
      <c r="H81" s="79"/>
      <c r="I81" s="35">
        <v>17</v>
      </c>
      <c r="J81" s="9">
        <f t="shared" si="2"/>
        <v>0</v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18.75" hidden="1">
      <c r="B82" s="65"/>
      <c r="C82" s="63"/>
      <c r="D82" s="53" t="s">
        <v>57</v>
      </c>
      <c r="E82" s="61"/>
      <c r="F82" s="12">
        <v>0.83333333333333337</v>
      </c>
      <c r="G82" s="78" t="s">
        <v>74</v>
      </c>
      <c r="H82" s="79"/>
      <c r="I82" s="36"/>
      <c r="J82" s="9" t="str">
        <f t="shared" si="2"/>
        <v/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8.75" hidden="1">
      <c r="B83" s="65"/>
      <c r="C83" s="63"/>
      <c r="D83" s="51" t="s">
        <v>57</v>
      </c>
      <c r="E83" s="59" t="s">
        <v>104</v>
      </c>
      <c r="F83" s="5">
        <v>0.91666666666666663</v>
      </c>
      <c r="G83" s="73" t="s">
        <v>85</v>
      </c>
      <c r="H83" s="74"/>
      <c r="I83" s="34">
        <v>60</v>
      </c>
      <c r="J83" s="6">
        <f t="shared" ref="J83:J136" si="18">IFERROR(S83/I83,"")</f>
        <v>6.6666666666666666E-2</v>
      </c>
      <c r="K83" s="38">
        <v>2</v>
      </c>
      <c r="L83" s="38"/>
      <c r="M83" s="38"/>
      <c r="N83" s="38"/>
      <c r="O83" s="38"/>
      <c r="P83" s="38"/>
      <c r="Q83" s="38">
        <v>2</v>
      </c>
      <c r="R83" s="38"/>
      <c r="S83" s="7">
        <f t="shared" si="15"/>
        <v>4</v>
      </c>
      <c r="T83" s="7">
        <v>100000</v>
      </c>
      <c r="U83" s="7">
        <f t="shared" si="17"/>
        <v>400000</v>
      </c>
      <c r="V83" s="4"/>
      <c r="Y83" s="4"/>
    </row>
    <row r="84" spans="2:25" ht="18.75" hidden="1">
      <c r="B84" s="65"/>
      <c r="C84" s="63"/>
      <c r="D84" s="52" t="s">
        <v>57</v>
      </c>
      <c r="E84" s="60"/>
      <c r="F84" s="8">
        <v>1</v>
      </c>
      <c r="G84" s="78" t="s">
        <v>85</v>
      </c>
      <c r="H84" s="79"/>
      <c r="I84" s="35">
        <v>28</v>
      </c>
      <c r="J84" s="9">
        <f t="shared" si="18"/>
        <v>7.1428571428571425E-2</v>
      </c>
      <c r="K84" s="39"/>
      <c r="L84" s="39"/>
      <c r="M84" s="39">
        <v>2</v>
      </c>
      <c r="N84" s="39"/>
      <c r="O84" s="39"/>
      <c r="P84" s="39"/>
      <c r="Q84" s="39"/>
      <c r="R84" s="39"/>
      <c r="S84" s="10">
        <f t="shared" si="15"/>
        <v>2</v>
      </c>
      <c r="T84" s="10">
        <v>100000</v>
      </c>
      <c r="U84" s="10">
        <f t="shared" si="17"/>
        <v>200000</v>
      </c>
      <c r="V84" s="4"/>
      <c r="Y84" s="4"/>
    </row>
    <row r="85" spans="2:25" ht="18.75" hidden="1">
      <c r="B85" s="65"/>
      <c r="C85" s="63"/>
      <c r="D85" s="52" t="s">
        <v>57</v>
      </c>
      <c r="E85" s="60"/>
      <c r="F85" s="8">
        <v>8.3333333333333329E-2</v>
      </c>
      <c r="G85" s="78" t="s">
        <v>85</v>
      </c>
      <c r="H85" s="79"/>
      <c r="I85" s="35">
        <v>60</v>
      </c>
      <c r="J85" s="9">
        <f t="shared" si="18"/>
        <v>3.3333333333333333E-2</v>
      </c>
      <c r="K85" s="39"/>
      <c r="L85" s="39"/>
      <c r="M85" s="39">
        <v>2</v>
      </c>
      <c r="N85" s="39"/>
      <c r="O85" s="39"/>
      <c r="P85" s="39"/>
      <c r="Q85" s="39"/>
      <c r="R85" s="39"/>
      <c r="S85" s="10">
        <f t="shared" si="15"/>
        <v>2</v>
      </c>
      <c r="T85" s="10">
        <v>100000</v>
      </c>
      <c r="U85" s="10">
        <f t="shared" si="17"/>
        <v>200000</v>
      </c>
      <c r="V85" s="4"/>
      <c r="Y85" s="4"/>
    </row>
    <row r="86" spans="2:25" ht="18.75" hidden="1">
      <c r="B86" s="65"/>
      <c r="C86" s="63"/>
      <c r="D86" s="52" t="s">
        <v>57</v>
      </c>
      <c r="E86" s="60"/>
      <c r="F86" s="8">
        <v>0.16666666666666666</v>
      </c>
      <c r="G86" s="78" t="s">
        <v>85</v>
      </c>
      <c r="H86" s="79"/>
      <c r="I86" s="35">
        <v>60</v>
      </c>
      <c r="J86" s="9">
        <f t="shared" si="18"/>
        <v>3.3333333333333333E-2</v>
      </c>
      <c r="K86" s="39"/>
      <c r="L86" s="39"/>
      <c r="M86" s="39">
        <v>2</v>
      </c>
      <c r="N86" s="39"/>
      <c r="O86" s="39"/>
      <c r="P86" s="39"/>
      <c r="Q86" s="39"/>
      <c r="R86" s="39"/>
      <c r="S86" s="10">
        <f t="shared" si="15"/>
        <v>2</v>
      </c>
      <c r="T86" s="10">
        <v>100000</v>
      </c>
      <c r="U86" s="10">
        <f t="shared" si="17"/>
        <v>200000</v>
      </c>
      <c r="V86" s="4"/>
      <c r="W86" s="4"/>
      <c r="X86" s="4"/>
      <c r="Y86" s="4"/>
    </row>
    <row r="87" spans="2:25" ht="18.75" hidden="1">
      <c r="B87" s="65"/>
      <c r="C87" s="63"/>
      <c r="D87" s="52" t="s">
        <v>57</v>
      </c>
      <c r="E87" s="60"/>
      <c r="F87" s="8">
        <v>0.25</v>
      </c>
      <c r="G87" s="78" t="s">
        <v>85</v>
      </c>
      <c r="H87" s="79"/>
      <c r="I87" s="35">
        <v>40</v>
      </c>
      <c r="J87" s="9">
        <f t="shared" si="18"/>
        <v>2.5000000000000001E-2</v>
      </c>
      <c r="K87" s="39"/>
      <c r="L87" s="39"/>
      <c r="M87" s="39">
        <v>1</v>
      </c>
      <c r="N87" s="39"/>
      <c r="O87" s="39"/>
      <c r="P87" s="39"/>
      <c r="Q87" s="39"/>
      <c r="R87" s="39"/>
      <c r="S87" s="10">
        <f t="shared" si="15"/>
        <v>1</v>
      </c>
      <c r="T87" s="10">
        <v>100000</v>
      </c>
      <c r="U87" s="10">
        <f t="shared" si="17"/>
        <v>100000</v>
      </c>
      <c r="V87" s="4"/>
      <c r="Y87" s="4"/>
    </row>
    <row r="88" spans="2:25" ht="18.75" hidden="1">
      <c r="B88" s="65"/>
      <c r="C88" s="63"/>
      <c r="D88" s="53" t="s">
        <v>57</v>
      </c>
      <c r="E88" s="61"/>
      <c r="F88" s="14">
        <v>0.33333333333333331</v>
      </c>
      <c r="G88" s="78" t="s">
        <v>85</v>
      </c>
      <c r="H88" s="79"/>
      <c r="I88" s="37">
        <v>40</v>
      </c>
      <c r="J88" s="9">
        <f t="shared" si="18"/>
        <v>0</v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customHeight="1">
      <c r="B89" s="65">
        <v>46088</v>
      </c>
      <c r="C89" s="62" t="s">
        <v>15</v>
      </c>
      <c r="D89" s="51" t="s">
        <v>58</v>
      </c>
      <c r="E89" s="59" t="s">
        <v>103</v>
      </c>
      <c r="F89" s="5">
        <v>0.41666666666666669</v>
      </c>
      <c r="G89" s="73" t="s">
        <v>77</v>
      </c>
      <c r="H89" s="74"/>
      <c r="I89" s="34">
        <v>30</v>
      </c>
      <c r="J89" s="6">
        <f t="shared" si="18"/>
        <v>0.23333333333333334</v>
      </c>
      <c r="K89" s="38"/>
      <c r="L89" s="38"/>
      <c r="M89" s="38"/>
      <c r="N89" s="38"/>
      <c r="O89" s="38"/>
      <c r="P89" s="38"/>
      <c r="Q89" s="38">
        <v>7</v>
      </c>
      <c r="R89" s="38"/>
      <c r="S89" s="7">
        <f>SUM(K89:R89)</f>
        <v>7</v>
      </c>
      <c r="T89" s="7">
        <v>100000</v>
      </c>
      <c r="U89" s="7">
        <f>T89*S89</f>
        <v>700000</v>
      </c>
      <c r="V89" s="4"/>
      <c r="W89" s="4"/>
      <c r="X89" s="4"/>
      <c r="Y89" s="4"/>
    </row>
    <row r="90" spans="2:25" ht="18.75">
      <c r="B90" s="65"/>
      <c r="C90" s="63"/>
      <c r="D90" s="52" t="s">
        <v>58</v>
      </c>
      <c r="E90" s="60"/>
      <c r="F90" s="8">
        <v>0.5</v>
      </c>
      <c r="G90" s="78" t="s">
        <v>77</v>
      </c>
      <c r="H90" s="79"/>
      <c r="I90" s="35">
        <v>35</v>
      </c>
      <c r="J90" s="9">
        <f t="shared" si="18"/>
        <v>0</v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18.75">
      <c r="B91" s="65"/>
      <c r="C91" s="63"/>
      <c r="D91" s="52" t="s">
        <v>58</v>
      </c>
      <c r="E91" s="60"/>
      <c r="F91" s="8">
        <v>0.58333333333333337</v>
      </c>
      <c r="G91" s="78" t="s">
        <v>77</v>
      </c>
      <c r="H91" s="79"/>
      <c r="I91" s="35">
        <v>72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8.75">
      <c r="B92" s="65"/>
      <c r="C92" s="63"/>
      <c r="D92" s="52" t="s">
        <v>58</v>
      </c>
      <c r="E92" s="60"/>
      <c r="F92" s="8">
        <v>0.66666666666666663</v>
      </c>
      <c r="G92" s="78" t="s">
        <v>77</v>
      </c>
      <c r="H92" s="79"/>
      <c r="I92" s="35">
        <v>50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8.75">
      <c r="B93" s="65"/>
      <c r="C93" s="63"/>
      <c r="D93" s="52" t="s">
        <v>58</v>
      </c>
      <c r="E93" s="60"/>
      <c r="F93" s="8">
        <v>0.75</v>
      </c>
      <c r="G93" s="78" t="s">
        <v>77</v>
      </c>
      <c r="H93" s="79"/>
      <c r="I93" s="35">
        <v>65</v>
      </c>
      <c r="J93" s="9">
        <f t="shared" si="18"/>
        <v>0</v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18.75">
      <c r="B94" s="65"/>
      <c r="C94" s="63"/>
      <c r="D94" s="53" t="s">
        <v>58</v>
      </c>
      <c r="E94" s="61"/>
      <c r="F94" s="12">
        <v>0.83333333333333337</v>
      </c>
      <c r="G94" s="78" t="s">
        <v>77</v>
      </c>
      <c r="H94" s="79"/>
      <c r="I94" s="36"/>
      <c r="J94" s="9" t="str">
        <f t="shared" si="18"/>
        <v/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8.75">
      <c r="B95" s="65"/>
      <c r="C95" s="63"/>
      <c r="D95" s="51" t="s">
        <v>58</v>
      </c>
      <c r="E95" s="59" t="s">
        <v>104</v>
      </c>
      <c r="F95" s="5">
        <v>0.91666666666666663</v>
      </c>
      <c r="G95" s="73" t="s">
        <v>85</v>
      </c>
      <c r="H95" s="74"/>
      <c r="I95" s="34">
        <v>30</v>
      </c>
      <c r="J95" s="6">
        <f t="shared" si="18"/>
        <v>0.2</v>
      </c>
      <c r="K95" s="38"/>
      <c r="L95" s="38"/>
      <c r="M95" s="38"/>
      <c r="N95" s="38"/>
      <c r="O95" s="38"/>
      <c r="P95" s="38"/>
      <c r="Q95" s="38">
        <v>6</v>
      </c>
      <c r="R95" s="38"/>
      <c r="S95" s="7">
        <f t="shared" si="19"/>
        <v>6</v>
      </c>
      <c r="T95" s="7">
        <v>100000</v>
      </c>
      <c r="U95" s="7">
        <f t="shared" si="21"/>
        <v>600000</v>
      </c>
      <c r="V95" s="4"/>
      <c r="Y95" s="4"/>
    </row>
    <row r="96" spans="2:25" ht="18.75">
      <c r="B96" s="65"/>
      <c r="C96" s="63"/>
      <c r="D96" s="52" t="s">
        <v>58</v>
      </c>
      <c r="E96" s="60"/>
      <c r="F96" s="8">
        <v>1</v>
      </c>
      <c r="G96" s="78" t="s">
        <v>85</v>
      </c>
      <c r="H96" s="79"/>
      <c r="I96" s="35">
        <v>54</v>
      </c>
      <c r="J96" s="9">
        <f t="shared" si="18"/>
        <v>5.5555555555555552E-2</v>
      </c>
      <c r="K96" s="39"/>
      <c r="L96" s="39"/>
      <c r="M96" s="39"/>
      <c r="N96" s="39"/>
      <c r="O96" s="39"/>
      <c r="P96" s="39"/>
      <c r="Q96" s="39"/>
      <c r="R96" s="39">
        <v>3</v>
      </c>
      <c r="S96" s="10">
        <f t="shared" si="19"/>
        <v>3</v>
      </c>
      <c r="T96" s="10">
        <v>100000</v>
      </c>
      <c r="U96" s="10">
        <f t="shared" si="21"/>
        <v>300000</v>
      </c>
      <c r="V96" s="4"/>
      <c r="Y96" s="4"/>
    </row>
    <row r="97" spans="2:25" ht="18.75">
      <c r="B97" s="65"/>
      <c r="C97" s="63"/>
      <c r="D97" s="52" t="s">
        <v>58</v>
      </c>
      <c r="E97" s="60"/>
      <c r="F97" s="8">
        <v>8.3333333333333329E-2</v>
      </c>
      <c r="G97" s="78" t="s">
        <v>85</v>
      </c>
      <c r="H97" s="79"/>
      <c r="I97" s="35">
        <v>57</v>
      </c>
      <c r="J97" s="9">
        <f t="shared" si="18"/>
        <v>0</v>
      </c>
      <c r="K97" s="39"/>
      <c r="L97" s="39"/>
      <c r="M97" s="39"/>
      <c r="N97" s="39"/>
      <c r="O97" s="39"/>
      <c r="P97" s="39"/>
      <c r="Q97" s="39"/>
      <c r="R97" s="39"/>
      <c r="S97" s="10">
        <f t="shared" si="19"/>
        <v>0</v>
      </c>
      <c r="T97" s="10">
        <v>100000</v>
      </c>
      <c r="U97" s="10">
        <f t="shared" si="21"/>
        <v>0</v>
      </c>
      <c r="V97" s="4"/>
      <c r="Y97" s="4"/>
    </row>
    <row r="98" spans="2:25" ht="18.75">
      <c r="B98" s="65"/>
      <c r="C98" s="63"/>
      <c r="D98" s="52" t="s">
        <v>58</v>
      </c>
      <c r="E98" s="60"/>
      <c r="F98" s="8">
        <v>0.16666666666666666</v>
      </c>
      <c r="G98" s="78" t="s">
        <v>85</v>
      </c>
      <c r="H98" s="79"/>
      <c r="I98" s="35">
        <v>57</v>
      </c>
      <c r="J98" s="9">
        <f t="shared" si="18"/>
        <v>0</v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18.75">
      <c r="B99" s="65"/>
      <c r="C99" s="63"/>
      <c r="D99" s="52" t="s">
        <v>58</v>
      </c>
      <c r="E99" s="60"/>
      <c r="F99" s="8">
        <v>0.25</v>
      </c>
      <c r="G99" s="78" t="s">
        <v>85</v>
      </c>
      <c r="H99" s="79"/>
      <c r="I99" s="35">
        <v>57</v>
      </c>
      <c r="J99" s="9">
        <f t="shared" si="18"/>
        <v>0</v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8.75">
      <c r="B100" s="65"/>
      <c r="C100" s="63"/>
      <c r="D100" s="53" t="s">
        <v>58</v>
      </c>
      <c r="E100" s="61"/>
      <c r="F100" s="14">
        <v>0.33333333333333331</v>
      </c>
      <c r="G100" s="78" t="s">
        <v>85</v>
      </c>
      <c r="H100" s="79"/>
      <c r="I100" s="37">
        <v>57</v>
      </c>
      <c r="J100" s="9">
        <f t="shared" si="18"/>
        <v>0</v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5">
        <v>46089</v>
      </c>
      <c r="C101" s="62" t="s">
        <v>15</v>
      </c>
      <c r="D101" s="51"/>
      <c r="E101" s="59" t="s">
        <v>103</v>
      </c>
      <c r="F101" s="5">
        <v>0.41666666666666669</v>
      </c>
      <c r="G101" s="73"/>
      <c r="H101" s="74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8.75">
      <c r="B102" s="65"/>
      <c r="C102" s="63"/>
      <c r="D102" s="52"/>
      <c r="E102" s="60"/>
      <c r="F102" s="8">
        <v>0.5</v>
      </c>
      <c r="G102" s="78"/>
      <c r="H102" s="79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8.75">
      <c r="B103" s="65"/>
      <c r="C103" s="63"/>
      <c r="D103" s="52"/>
      <c r="E103" s="60"/>
      <c r="F103" s="8">
        <v>0.58333333333333337</v>
      </c>
      <c r="G103" s="78"/>
      <c r="H103" s="79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8.75">
      <c r="B104" s="65"/>
      <c r="C104" s="63"/>
      <c r="D104" s="52"/>
      <c r="E104" s="60"/>
      <c r="F104" s="8">
        <v>0.66666666666666663</v>
      </c>
      <c r="G104" s="78"/>
      <c r="H104" s="79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8.75">
      <c r="B105" s="65"/>
      <c r="C105" s="63"/>
      <c r="D105" s="52"/>
      <c r="E105" s="60"/>
      <c r="F105" s="8">
        <v>0.75</v>
      </c>
      <c r="G105" s="78"/>
      <c r="H105" s="79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8.75">
      <c r="B106" s="65"/>
      <c r="C106" s="63"/>
      <c r="D106" s="53"/>
      <c r="E106" s="61"/>
      <c r="F106" s="12">
        <v>0.83333333333333337</v>
      </c>
      <c r="G106" s="78"/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8.75">
      <c r="B107" s="65"/>
      <c r="C107" s="63"/>
      <c r="D107" s="51"/>
      <c r="E107" s="59" t="s">
        <v>104</v>
      </c>
      <c r="F107" s="5">
        <v>0.91666666666666663</v>
      </c>
      <c r="G107" s="73"/>
      <c r="H107" s="74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8.75">
      <c r="B108" s="65"/>
      <c r="C108" s="63"/>
      <c r="D108" s="52"/>
      <c r="E108" s="60"/>
      <c r="F108" s="8">
        <v>1</v>
      </c>
      <c r="G108" s="78"/>
      <c r="H108" s="79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8.75">
      <c r="B109" s="65"/>
      <c r="C109" s="63"/>
      <c r="D109" s="52"/>
      <c r="E109" s="60"/>
      <c r="F109" s="8">
        <v>8.3333333333333329E-2</v>
      </c>
      <c r="G109" s="78"/>
      <c r="H109" s="79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8.75">
      <c r="B110" s="65"/>
      <c r="C110" s="63"/>
      <c r="D110" s="52"/>
      <c r="E110" s="60"/>
      <c r="F110" s="8">
        <v>0.16666666666666666</v>
      </c>
      <c r="G110" s="78"/>
      <c r="H110" s="79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8.75">
      <c r="B111" s="65"/>
      <c r="C111" s="63"/>
      <c r="D111" s="52"/>
      <c r="E111" s="60"/>
      <c r="F111" s="8">
        <v>0.25</v>
      </c>
      <c r="G111" s="78"/>
      <c r="H111" s="79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8.75">
      <c r="B112" s="65"/>
      <c r="C112" s="63"/>
      <c r="D112" s="53"/>
      <c r="E112" s="61"/>
      <c r="F112" s="14">
        <v>0.33333333333333331</v>
      </c>
      <c r="G112" s="78"/>
      <c r="H112" s="79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5">
        <v>46090</v>
      </c>
      <c r="C113" s="62" t="s">
        <v>15</v>
      </c>
      <c r="D113" s="51"/>
      <c r="E113" s="59" t="s">
        <v>103</v>
      </c>
      <c r="F113" s="5">
        <v>0.41666666666666669</v>
      </c>
      <c r="G113" s="73"/>
      <c r="H113" s="74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18.75">
      <c r="B114" s="65"/>
      <c r="C114" s="63"/>
      <c r="D114" s="52"/>
      <c r="E114" s="60"/>
      <c r="F114" s="8">
        <v>0.5</v>
      </c>
      <c r="G114" s="78"/>
      <c r="H114" s="79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8.75">
      <c r="B115" s="65"/>
      <c r="C115" s="63"/>
      <c r="D115" s="52"/>
      <c r="E115" s="60"/>
      <c r="F115" s="8">
        <v>0.58333333333333337</v>
      </c>
      <c r="G115" s="78"/>
      <c r="H115" s="79"/>
      <c r="I115" s="35"/>
      <c r="J115" s="9" t="str">
        <f t="shared" si="18"/>
        <v/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8.75">
      <c r="B116" s="65"/>
      <c r="C116" s="63"/>
      <c r="D116" s="52"/>
      <c r="E116" s="60"/>
      <c r="F116" s="8">
        <v>0.66666666666666663</v>
      </c>
      <c r="G116" s="78"/>
      <c r="H116" s="79"/>
      <c r="I116" s="35"/>
      <c r="J116" s="9" t="str">
        <f t="shared" si="18"/>
        <v/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18.75">
      <c r="B117" s="65"/>
      <c r="C117" s="63"/>
      <c r="D117" s="52"/>
      <c r="E117" s="60"/>
      <c r="F117" s="8">
        <v>0.75</v>
      </c>
      <c r="G117" s="78"/>
      <c r="H117" s="79"/>
      <c r="I117" s="35"/>
      <c r="J117" s="9" t="str">
        <f t="shared" si="18"/>
        <v/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8.75">
      <c r="B118" s="65"/>
      <c r="C118" s="63"/>
      <c r="D118" s="53"/>
      <c r="E118" s="61"/>
      <c r="F118" s="12">
        <v>0.83333333333333337</v>
      </c>
      <c r="G118" s="78"/>
      <c r="H118" s="79"/>
      <c r="I118" s="36"/>
      <c r="J118" s="9" t="str">
        <f t="shared" si="18"/>
        <v/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8.75">
      <c r="B119" s="65"/>
      <c r="C119" s="63"/>
      <c r="D119" s="51"/>
      <c r="E119" s="59" t="s">
        <v>104</v>
      </c>
      <c r="F119" s="5">
        <v>0.91666666666666663</v>
      </c>
      <c r="G119" s="73"/>
      <c r="H119" s="74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8.75">
      <c r="B120" s="65"/>
      <c r="C120" s="63"/>
      <c r="D120" s="52"/>
      <c r="E120" s="60"/>
      <c r="F120" s="8">
        <v>1</v>
      </c>
      <c r="G120" s="78"/>
      <c r="H120" s="79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8.75">
      <c r="B121" s="65"/>
      <c r="C121" s="63"/>
      <c r="D121" s="52"/>
      <c r="E121" s="60"/>
      <c r="F121" s="8">
        <v>8.3333333333333329E-2</v>
      </c>
      <c r="G121" s="78"/>
      <c r="H121" s="79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8.75">
      <c r="B122" s="65"/>
      <c r="C122" s="63"/>
      <c r="D122" s="52"/>
      <c r="E122" s="60"/>
      <c r="F122" s="8">
        <v>0.16666666666666666</v>
      </c>
      <c r="G122" s="78"/>
      <c r="H122" s="79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8.75">
      <c r="B123" s="65"/>
      <c r="C123" s="63"/>
      <c r="D123" s="52"/>
      <c r="E123" s="60"/>
      <c r="F123" s="8">
        <v>0.25</v>
      </c>
      <c r="G123" s="78"/>
      <c r="H123" s="79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8.75">
      <c r="B124" s="65"/>
      <c r="C124" s="63"/>
      <c r="D124" s="53"/>
      <c r="E124" s="61"/>
      <c r="F124" s="14">
        <v>0.33333333333333331</v>
      </c>
      <c r="G124" s="78"/>
      <c r="H124" s="79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16.5" customHeight="1">
      <c r="B125" s="65">
        <v>46091</v>
      </c>
      <c r="C125" s="62" t="s">
        <v>15</v>
      </c>
      <c r="D125" s="51"/>
      <c r="E125" s="59" t="s">
        <v>103</v>
      </c>
      <c r="F125" s="5">
        <v>0.41666666666666669</v>
      </c>
      <c r="G125" s="73"/>
      <c r="H125" s="74"/>
      <c r="I125" s="34"/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18.75">
      <c r="B126" s="65"/>
      <c r="C126" s="63"/>
      <c r="D126" s="52"/>
      <c r="E126" s="60"/>
      <c r="F126" s="8">
        <v>0.5</v>
      </c>
      <c r="G126" s="78"/>
      <c r="H126" s="79"/>
      <c r="I126" s="35"/>
      <c r="J126" s="9" t="str">
        <f t="shared" si="18"/>
        <v/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8.75">
      <c r="B127" s="65"/>
      <c r="C127" s="63"/>
      <c r="D127" s="52"/>
      <c r="E127" s="60"/>
      <c r="F127" s="8">
        <v>0.58333333333333337</v>
      </c>
      <c r="G127" s="78"/>
      <c r="H127" s="79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8.75">
      <c r="B128" s="65"/>
      <c r="C128" s="63"/>
      <c r="D128" s="52"/>
      <c r="E128" s="60"/>
      <c r="F128" s="8">
        <v>0.66666666666666663</v>
      </c>
      <c r="G128" s="78"/>
      <c r="H128" s="79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8.75">
      <c r="B129" s="65"/>
      <c r="C129" s="63"/>
      <c r="D129" s="52"/>
      <c r="E129" s="60"/>
      <c r="F129" s="8">
        <v>0.75</v>
      </c>
      <c r="G129" s="78"/>
      <c r="H129" s="79"/>
      <c r="I129" s="35"/>
      <c r="J129" s="9" t="str">
        <f t="shared" si="18"/>
        <v/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18.75">
      <c r="B130" s="65"/>
      <c r="C130" s="63"/>
      <c r="D130" s="53"/>
      <c r="E130" s="61"/>
      <c r="F130" s="12">
        <v>0.83333333333333337</v>
      </c>
      <c r="G130" s="78"/>
      <c r="H130" s="79"/>
      <c r="I130" s="36"/>
      <c r="J130" s="9" t="str">
        <f t="shared" si="18"/>
        <v/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8.75">
      <c r="B131" s="65"/>
      <c r="C131" s="63"/>
      <c r="D131" s="51"/>
      <c r="E131" s="59" t="s">
        <v>104</v>
      </c>
      <c r="F131" s="5">
        <v>0.91666666666666663</v>
      </c>
      <c r="G131" s="73"/>
      <c r="H131" s="74"/>
      <c r="I131" s="34"/>
      <c r="J131" s="6" t="str">
        <f t="shared" si="18"/>
        <v/>
      </c>
      <c r="K131" s="38"/>
      <c r="L131" s="38"/>
      <c r="M131" s="38"/>
      <c r="N131" s="38"/>
      <c r="O131" s="38"/>
      <c r="P131" s="38"/>
      <c r="Q131" s="38"/>
      <c r="R131" s="38"/>
      <c r="S131" s="7">
        <f t="shared" si="28"/>
        <v>0</v>
      </c>
      <c r="T131" s="7">
        <v>100000</v>
      </c>
      <c r="U131" s="7">
        <f t="shared" si="30"/>
        <v>0</v>
      </c>
      <c r="V131" s="4"/>
      <c r="Y131" s="4"/>
    </row>
    <row r="132" spans="2:25" ht="18.75">
      <c r="B132" s="65"/>
      <c r="C132" s="63"/>
      <c r="D132" s="52"/>
      <c r="E132" s="60"/>
      <c r="F132" s="8">
        <v>1</v>
      </c>
      <c r="G132" s="78"/>
      <c r="H132" s="79"/>
      <c r="I132" s="35"/>
      <c r="J132" s="9" t="str">
        <f t="shared" si="18"/>
        <v/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18.75">
      <c r="B133" s="65"/>
      <c r="C133" s="63"/>
      <c r="D133" s="52"/>
      <c r="E133" s="60"/>
      <c r="F133" s="8">
        <v>8.3333333333333329E-2</v>
      </c>
      <c r="G133" s="78"/>
      <c r="H133" s="79"/>
      <c r="I133" s="35"/>
      <c r="J133" s="9" t="str">
        <f t="shared" si="18"/>
        <v/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18.75">
      <c r="B134" s="65"/>
      <c r="C134" s="63"/>
      <c r="D134" s="52"/>
      <c r="E134" s="60"/>
      <c r="F134" s="8">
        <v>0.16666666666666666</v>
      </c>
      <c r="G134" s="78"/>
      <c r="H134" s="79"/>
      <c r="I134" s="35"/>
      <c r="J134" s="9" t="str">
        <f t="shared" si="18"/>
        <v/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18.75">
      <c r="B135" s="65"/>
      <c r="C135" s="63"/>
      <c r="D135" s="52"/>
      <c r="E135" s="60"/>
      <c r="F135" s="8">
        <v>0.25</v>
      </c>
      <c r="G135" s="78"/>
      <c r="H135" s="79"/>
      <c r="I135" s="35"/>
      <c r="J135" s="9" t="str">
        <f t="shared" si="18"/>
        <v/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18.75">
      <c r="B136" s="65"/>
      <c r="C136" s="64"/>
      <c r="D136" s="53"/>
      <c r="E136" s="61"/>
      <c r="F136" s="14">
        <v>0.33333333333333331</v>
      </c>
      <c r="G136" s="78"/>
      <c r="H136" s="79"/>
      <c r="I136" s="37"/>
      <c r="J136" s="15" t="str">
        <f t="shared" si="18"/>
        <v/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5">
        <v>46092</v>
      </c>
      <c r="C137" s="62" t="s">
        <v>15</v>
      </c>
      <c r="D137" s="51"/>
      <c r="E137" s="59" t="s">
        <v>103</v>
      </c>
      <c r="F137" s="5">
        <v>0.41666666666666669</v>
      </c>
      <c r="G137" s="73"/>
      <c r="H137" s="74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8.75">
      <c r="B138" s="65"/>
      <c r="C138" s="63"/>
      <c r="D138" s="52"/>
      <c r="E138" s="60"/>
      <c r="F138" s="8">
        <v>0.5</v>
      </c>
      <c r="G138" s="78"/>
      <c r="H138" s="79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8.75">
      <c r="B139" s="65"/>
      <c r="C139" s="63"/>
      <c r="D139" s="52"/>
      <c r="E139" s="60"/>
      <c r="F139" s="8">
        <v>0.58333333333333337</v>
      </c>
      <c r="G139" s="78"/>
      <c r="H139" s="79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8.75">
      <c r="B140" s="65"/>
      <c r="C140" s="63"/>
      <c r="D140" s="52"/>
      <c r="E140" s="60"/>
      <c r="F140" s="8">
        <v>0.66666666666666663</v>
      </c>
      <c r="G140" s="78"/>
      <c r="H140" s="79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/>
      <c r="E141" s="60"/>
      <c r="F141" s="8">
        <v>0.75</v>
      </c>
      <c r="G141" s="78"/>
      <c r="H141" s="79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/>
      <c r="E142" s="61"/>
      <c r="F142" s="12">
        <v>0.83333333333333337</v>
      </c>
      <c r="G142" s="78"/>
      <c r="H142" s="79"/>
      <c r="I142" s="36"/>
      <c r="J142" s="9" t="str">
        <f t="shared" si="31"/>
        <v/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8.75">
      <c r="B143" s="65"/>
      <c r="C143" s="63"/>
      <c r="D143" s="51"/>
      <c r="E143" s="59" t="s">
        <v>104</v>
      </c>
      <c r="F143" s="5">
        <v>0.91666666666666663</v>
      </c>
      <c r="G143" s="73"/>
      <c r="H143" s="74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8.75">
      <c r="B144" s="65"/>
      <c r="C144" s="63"/>
      <c r="D144" s="52"/>
      <c r="E144" s="60"/>
      <c r="F144" s="8">
        <v>1</v>
      </c>
      <c r="G144" s="78"/>
      <c r="H144" s="79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8.75">
      <c r="B145" s="65"/>
      <c r="C145" s="63"/>
      <c r="D145" s="52"/>
      <c r="E145" s="60"/>
      <c r="F145" s="8">
        <v>8.3333333333333329E-2</v>
      </c>
      <c r="G145" s="78"/>
      <c r="H145" s="79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8.75">
      <c r="B146" s="65"/>
      <c r="C146" s="63"/>
      <c r="D146" s="52"/>
      <c r="E146" s="60"/>
      <c r="F146" s="8">
        <v>0.16666666666666666</v>
      </c>
      <c r="G146" s="78"/>
      <c r="H146" s="79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8.75">
      <c r="B147" s="65"/>
      <c r="C147" s="63"/>
      <c r="D147" s="52"/>
      <c r="E147" s="60"/>
      <c r="F147" s="8">
        <v>0.25</v>
      </c>
      <c r="G147" s="78"/>
      <c r="H147" s="79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8.75">
      <c r="B148" s="65"/>
      <c r="C148" s="64"/>
      <c r="D148" s="53"/>
      <c r="E148" s="91"/>
      <c r="F148" s="14">
        <v>0.33333333333333331</v>
      </c>
      <c r="G148" s="78"/>
      <c r="H148" s="79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 ht="16.5" customHeight="1">
      <c r="B149" s="65">
        <v>46093</v>
      </c>
      <c r="C149" s="62" t="s">
        <v>15</v>
      </c>
      <c r="D149" s="51"/>
      <c r="E149" s="59" t="s">
        <v>103</v>
      </c>
      <c r="F149" s="5">
        <v>0.41666666666666669</v>
      </c>
      <c r="G149" s="73"/>
      <c r="H149" s="74"/>
      <c r="I149" s="34"/>
      <c r="J149" s="6" t="str">
        <f t="shared" ref="J149:J160" si="35">IFERROR(S149/I149,"")</f>
        <v/>
      </c>
      <c r="K149" s="38"/>
      <c r="L149" s="38"/>
      <c r="M149" s="38"/>
      <c r="N149" s="38"/>
      <c r="O149" s="38"/>
      <c r="P149" s="38"/>
      <c r="Q149" s="38"/>
      <c r="R149" s="38"/>
      <c r="S149" s="7">
        <f>SUM(K149:R149)</f>
        <v>0</v>
      </c>
      <c r="T149" s="7">
        <v>100000</v>
      </c>
      <c r="U149" s="7">
        <f>T149*S149</f>
        <v>0</v>
      </c>
      <c r="V149" s="4"/>
      <c r="W149" s="4"/>
      <c r="X149" s="4"/>
      <c r="Y149" s="4"/>
    </row>
    <row r="150" spans="2:25" ht="18.75">
      <c r="B150" s="65"/>
      <c r="C150" s="63"/>
      <c r="D150" s="52"/>
      <c r="E150" s="60"/>
      <c r="F150" s="8">
        <v>0.5</v>
      </c>
      <c r="G150" s="78"/>
      <c r="H150" s="79"/>
      <c r="I150" s="35"/>
      <c r="J150" s="9" t="str">
        <f t="shared" si="35"/>
        <v/>
      </c>
      <c r="K150" s="39"/>
      <c r="L150" s="39"/>
      <c r="M150" s="39"/>
      <c r="N150" s="39"/>
      <c r="O150" s="39"/>
      <c r="P150" s="39"/>
      <c r="Q150" s="39"/>
      <c r="R150" s="39"/>
      <c r="S150" s="10">
        <f t="shared" ref="S150:S160" si="36">SUM(K150:R150)</f>
        <v>0</v>
      </c>
      <c r="T150" s="10">
        <v>100000</v>
      </c>
      <c r="U150" s="10">
        <f t="shared" ref="U150:U151" si="37">T150*S150</f>
        <v>0</v>
      </c>
      <c r="V150" s="4"/>
      <c r="W150" s="4"/>
      <c r="X150" s="4"/>
      <c r="Y150" s="4"/>
    </row>
    <row r="151" spans="2:25" ht="18.75">
      <c r="B151" s="65"/>
      <c r="C151" s="63"/>
      <c r="D151" s="52"/>
      <c r="E151" s="60"/>
      <c r="F151" s="8">
        <v>0.58333333333333337</v>
      </c>
      <c r="G151" s="78"/>
      <c r="H151" s="79"/>
      <c r="I151" s="35"/>
      <c r="J151" s="9" t="str">
        <f t="shared" si="35"/>
        <v/>
      </c>
      <c r="K151" s="39"/>
      <c r="L151" s="39"/>
      <c r="M151" s="39"/>
      <c r="N151" s="39"/>
      <c r="O151" s="39"/>
      <c r="P151" s="39"/>
      <c r="Q151" s="39"/>
      <c r="R151" s="39"/>
      <c r="S151" s="10">
        <f t="shared" si="36"/>
        <v>0</v>
      </c>
      <c r="T151" s="10">
        <v>100000</v>
      </c>
      <c r="U151" s="10">
        <f t="shared" si="37"/>
        <v>0</v>
      </c>
      <c r="V151" s="4"/>
      <c r="W151" s="4"/>
      <c r="X151" s="4"/>
      <c r="Y151" s="4"/>
    </row>
    <row r="152" spans="2:25" ht="18.75">
      <c r="B152" s="65"/>
      <c r="C152" s="63"/>
      <c r="D152" s="52"/>
      <c r="E152" s="60"/>
      <c r="F152" s="8">
        <v>0.66666666666666663</v>
      </c>
      <c r="G152" s="78"/>
      <c r="H152" s="79"/>
      <c r="I152" s="35"/>
      <c r="J152" s="9" t="str">
        <f t="shared" si="35"/>
        <v/>
      </c>
      <c r="K152" s="39"/>
      <c r="L152" s="39"/>
      <c r="M152" s="39"/>
      <c r="N152" s="39"/>
      <c r="O152" s="39"/>
      <c r="P152" s="39"/>
      <c r="Q152" s="39"/>
      <c r="R152" s="39"/>
      <c r="S152" s="10">
        <f t="shared" si="36"/>
        <v>0</v>
      </c>
      <c r="T152" s="10">
        <v>100000</v>
      </c>
      <c r="U152" s="10">
        <f>T152*S152</f>
        <v>0</v>
      </c>
      <c r="V152" s="4"/>
      <c r="W152" s="4"/>
      <c r="X152" s="4"/>
      <c r="Y152" s="4"/>
    </row>
    <row r="153" spans="2:25" ht="18.75">
      <c r="B153" s="65"/>
      <c r="C153" s="63"/>
      <c r="D153" s="52"/>
      <c r="E153" s="60"/>
      <c r="F153" s="8">
        <v>0.75</v>
      </c>
      <c r="G153" s="78"/>
      <c r="H153" s="79"/>
      <c r="I153" s="35"/>
      <c r="J153" s="9" t="str">
        <f t="shared" si="35"/>
        <v/>
      </c>
      <c r="K153" s="39"/>
      <c r="L153" s="39"/>
      <c r="M153" s="39"/>
      <c r="N153" s="39"/>
      <c r="O153" s="39"/>
      <c r="P153" s="39"/>
      <c r="Q153" s="39"/>
      <c r="R153" s="39"/>
      <c r="S153" s="10">
        <f t="shared" si="36"/>
        <v>0</v>
      </c>
      <c r="T153" s="10">
        <v>100000</v>
      </c>
      <c r="U153" s="10">
        <f t="shared" ref="U153:U160" si="38">T153*S153</f>
        <v>0</v>
      </c>
      <c r="V153" s="4"/>
      <c r="W153" s="4"/>
      <c r="X153" s="11"/>
      <c r="Y153" s="4"/>
    </row>
    <row r="154" spans="2:25" ht="18.75">
      <c r="B154" s="65"/>
      <c r="C154" s="63"/>
      <c r="D154" s="53"/>
      <c r="E154" s="61"/>
      <c r="F154" s="12">
        <v>0.83333333333333337</v>
      </c>
      <c r="G154" s="78"/>
      <c r="H154" s="79"/>
      <c r="I154" s="36"/>
      <c r="J154" s="9" t="str">
        <f t="shared" si="35"/>
        <v/>
      </c>
      <c r="K154" s="41"/>
      <c r="L154" s="41"/>
      <c r="M154" s="41"/>
      <c r="N154" s="41"/>
      <c r="O154" s="41"/>
      <c r="P154" s="41"/>
      <c r="Q154" s="41"/>
      <c r="R154" s="41"/>
      <c r="S154" s="13">
        <f t="shared" si="36"/>
        <v>0</v>
      </c>
      <c r="T154" s="13">
        <v>100000</v>
      </c>
      <c r="U154" s="13">
        <f t="shared" si="38"/>
        <v>0</v>
      </c>
      <c r="V154" s="4"/>
      <c r="Y154" s="4"/>
    </row>
    <row r="155" spans="2:25" ht="18.75">
      <c r="B155" s="65"/>
      <c r="C155" s="63"/>
      <c r="D155" s="51"/>
      <c r="E155" s="59" t="s">
        <v>104</v>
      </c>
      <c r="F155" s="5">
        <v>0.91666666666666663</v>
      </c>
      <c r="G155" s="73"/>
      <c r="H155" s="74"/>
      <c r="I155" s="34"/>
      <c r="J155" s="6" t="str">
        <f t="shared" si="35"/>
        <v/>
      </c>
      <c r="K155" s="38"/>
      <c r="L155" s="38"/>
      <c r="M155" s="38"/>
      <c r="N155" s="38"/>
      <c r="O155" s="38"/>
      <c r="P155" s="38"/>
      <c r="Q155" s="38"/>
      <c r="R155" s="38"/>
      <c r="S155" s="7">
        <f t="shared" si="36"/>
        <v>0</v>
      </c>
      <c r="T155" s="7">
        <v>100000</v>
      </c>
      <c r="U155" s="7">
        <f t="shared" si="38"/>
        <v>0</v>
      </c>
      <c r="V155" s="4"/>
      <c r="Y155" s="4"/>
    </row>
    <row r="156" spans="2:25" ht="18.75">
      <c r="B156" s="65"/>
      <c r="C156" s="63"/>
      <c r="D156" s="52"/>
      <c r="E156" s="60"/>
      <c r="F156" s="8">
        <v>1</v>
      </c>
      <c r="G156" s="78"/>
      <c r="H156" s="79"/>
      <c r="I156" s="35"/>
      <c r="J156" s="9" t="str">
        <f t="shared" si="35"/>
        <v/>
      </c>
      <c r="K156" s="39"/>
      <c r="L156" s="39"/>
      <c r="M156" s="39"/>
      <c r="N156" s="39"/>
      <c r="O156" s="39"/>
      <c r="P156" s="39"/>
      <c r="Q156" s="39"/>
      <c r="R156" s="39"/>
      <c r="S156" s="10">
        <f t="shared" si="36"/>
        <v>0</v>
      </c>
      <c r="T156" s="10">
        <v>100000</v>
      </c>
      <c r="U156" s="10">
        <f t="shared" si="38"/>
        <v>0</v>
      </c>
      <c r="V156" s="4"/>
      <c r="Y156" s="4"/>
    </row>
    <row r="157" spans="2:25" ht="18.75">
      <c r="B157" s="65"/>
      <c r="C157" s="63"/>
      <c r="D157" s="52"/>
      <c r="E157" s="60"/>
      <c r="F157" s="8">
        <v>8.3333333333333329E-2</v>
      </c>
      <c r="G157" s="78"/>
      <c r="H157" s="79"/>
      <c r="I157" s="35"/>
      <c r="J157" s="9" t="str">
        <f t="shared" si="35"/>
        <v/>
      </c>
      <c r="K157" s="39"/>
      <c r="L157" s="39"/>
      <c r="M157" s="39"/>
      <c r="N157" s="39"/>
      <c r="O157" s="39"/>
      <c r="P157" s="39"/>
      <c r="Q157" s="39"/>
      <c r="R157" s="39"/>
      <c r="S157" s="10">
        <f t="shared" si="36"/>
        <v>0</v>
      </c>
      <c r="T157" s="10">
        <v>100000</v>
      </c>
      <c r="U157" s="10">
        <f t="shared" si="38"/>
        <v>0</v>
      </c>
      <c r="V157" s="4"/>
      <c r="Y157" s="4"/>
    </row>
    <row r="158" spans="2:25" ht="18.75">
      <c r="B158" s="65"/>
      <c r="C158" s="63"/>
      <c r="D158" s="52"/>
      <c r="E158" s="60"/>
      <c r="F158" s="8">
        <v>0.16666666666666666</v>
      </c>
      <c r="G158" s="78"/>
      <c r="H158" s="79"/>
      <c r="I158" s="35"/>
      <c r="J158" s="9" t="str">
        <f t="shared" si="35"/>
        <v/>
      </c>
      <c r="K158" s="39"/>
      <c r="L158" s="39"/>
      <c r="M158" s="39"/>
      <c r="N158" s="39"/>
      <c r="O158" s="39"/>
      <c r="P158" s="39"/>
      <c r="Q158" s="39"/>
      <c r="R158" s="39"/>
      <c r="S158" s="10">
        <f t="shared" si="36"/>
        <v>0</v>
      </c>
      <c r="T158" s="10">
        <v>100000</v>
      </c>
      <c r="U158" s="10">
        <f t="shared" si="38"/>
        <v>0</v>
      </c>
      <c r="V158" s="4"/>
      <c r="W158" s="4"/>
      <c r="X158" s="4"/>
      <c r="Y158" s="4"/>
    </row>
    <row r="159" spans="2:25" ht="18.75">
      <c r="B159" s="65"/>
      <c r="C159" s="63"/>
      <c r="D159" s="52"/>
      <c r="E159" s="60"/>
      <c r="F159" s="8">
        <v>0.25</v>
      </c>
      <c r="G159" s="78"/>
      <c r="H159" s="79"/>
      <c r="I159" s="35"/>
      <c r="J159" s="9" t="str">
        <f t="shared" si="35"/>
        <v/>
      </c>
      <c r="K159" s="39"/>
      <c r="L159" s="39"/>
      <c r="M159" s="39"/>
      <c r="N159" s="39"/>
      <c r="O159" s="39"/>
      <c r="P159" s="39"/>
      <c r="Q159" s="39"/>
      <c r="R159" s="39"/>
      <c r="S159" s="10">
        <f t="shared" si="36"/>
        <v>0</v>
      </c>
      <c r="T159" s="10">
        <v>100000</v>
      </c>
      <c r="U159" s="10">
        <f t="shared" si="38"/>
        <v>0</v>
      </c>
      <c r="V159" s="4"/>
      <c r="Y159" s="4"/>
    </row>
    <row r="160" spans="2:25" ht="18.75">
      <c r="B160" s="65"/>
      <c r="C160" s="64"/>
      <c r="D160" s="53"/>
      <c r="E160" s="91"/>
      <c r="F160" s="14">
        <v>0.33333333333333331</v>
      </c>
      <c r="G160" s="78"/>
      <c r="H160" s="79"/>
      <c r="I160" s="37"/>
      <c r="J160" s="15" t="str">
        <f t="shared" si="35"/>
        <v/>
      </c>
      <c r="K160" s="40"/>
      <c r="L160" s="40"/>
      <c r="M160" s="40"/>
      <c r="N160" s="40"/>
      <c r="O160" s="40"/>
      <c r="P160" s="40"/>
      <c r="Q160" s="40"/>
      <c r="R160" s="40"/>
      <c r="S160" s="16">
        <f t="shared" si="36"/>
        <v>0</v>
      </c>
      <c r="T160" s="16">
        <v>100000</v>
      </c>
      <c r="U160" s="16">
        <f t="shared" si="38"/>
        <v>0</v>
      </c>
      <c r="V160" s="4"/>
      <c r="W160" s="4"/>
      <c r="X160" s="4"/>
      <c r="Y160" s="4"/>
    </row>
  </sheetData>
  <mergeCells count="210"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dataValidations count="6">
    <dataValidation type="list" allowBlank="1" showInputMessage="1" showErrorMessage="1" sqref="G17:G22 G29:G34 G41:G46 G53:G58 G65:G70 G137:G142 G77:G82 G101:G106 G113:G118 G125:G130 G89:G94 G149:G154" xr:uid="{12AFEA37-DE9D-4331-8D26-58A87B462F74}">
      <formula1>$C$11:$S$11</formula1>
    </dataValidation>
    <dataValidation type="list" allowBlank="1" showInputMessage="1" showErrorMessage="1" sqref="C125 C17 C29 C41 C53 C65 C77 C89 C101 C113 C137 C149" xr:uid="{34E88085-362B-4A10-BF54-835362F6EE09}">
      <formula1>$X$17:$X$21</formula1>
    </dataValidation>
    <dataValidation type="list" allowBlank="1" showInputMessage="1" showErrorMessage="1" sqref="E17 E23 E29 E41 E53 E65 E77 E89 E101 E113 E125 E137 E35 E47 E59 E71 E83 E95 E107 E119 E131 E143 E149 E155" xr:uid="{217D092B-4D1C-4387-AF95-F593535398E8}">
      <formula1>$X$22:$X$23</formula1>
    </dataValidation>
    <dataValidation type="list" allowBlank="1" showInputMessage="1" showErrorMessage="1" sqref="D17:D160" xr:uid="{0E1E66B1-9B0F-460C-928B-E32F49E51B4F}">
      <formula1>$Z$21:$Z$61</formula1>
    </dataValidation>
    <dataValidation type="list" allowBlank="1" showInputMessage="1" showErrorMessage="1" sqref="G23:H28 G35:H40 G143:H148 G59:H64 G71:H76 G47:H52 G83:H88 G107:H112 G119:H124 G131:H136 G95:H100 G155:H160" xr:uid="{BBCD1210-CEA0-4BC9-94EF-37762961F608}">
      <formula1>$C$12:$S$12</formula1>
    </dataValidation>
    <dataValidation type="list" allowBlank="1" showInputMessage="1" showErrorMessage="1" sqref="C6" xr:uid="{02C5D8BD-F18A-4262-BE87-765D29D27F95}">
      <formula1>$X$2:$X$6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96DA7-E256-4F0F-A2D9-7B8F0AC97C99}">
  <dimension ref="B1:AU160"/>
  <sheetViews>
    <sheetView zoomScale="70" zoomScaleNormal="70" workbookViewId="0">
      <pane ySplit="16" topLeftCell="A128" activePane="bottomLeft" state="frozenSplit"/>
      <selection pane="bottomLeft" activeCell="L131" sqref="L131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8.140625" style="1" customWidth="1"/>
    <col min="22" max="22" width="62.710937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bestFit="1" customWidth="1"/>
    <col min="27" max="47" width="14.5703125" style="1" customWidth="1"/>
    <col min="48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94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11</v>
      </c>
      <c r="C6" s="42" t="s">
        <v>13</v>
      </c>
      <c r="D6" s="89" t="s">
        <v>93</v>
      </c>
      <c r="E6" s="87"/>
      <c r="F6" s="87"/>
      <c r="G6" s="87"/>
      <c r="H6" s="87"/>
      <c r="I6" s="87"/>
      <c r="J6" s="87"/>
      <c r="K6" s="47"/>
      <c r="L6" s="48" t="s">
        <v>98</v>
      </c>
      <c r="M6" s="86" t="s">
        <v>91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96</v>
      </c>
      <c r="E7" s="88"/>
      <c r="F7" s="88"/>
      <c r="G7" s="88"/>
      <c r="H7" s="88"/>
      <c r="I7" s="88"/>
      <c r="J7" s="88"/>
      <c r="K7" s="88"/>
      <c r="L7" s="3"/>
      <c r="M7" s="88" t="s">
        <v>92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95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99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6.5" hidden="1" customHeight="1">
      <c r="B17" s="75">
        <v>46082</v>
      </c>
      <c r="C17" s="62" t="s">
        <v>16</v>
      </c>
      <c r="D17" s="51"/>
      <c r="E17" s="59" t="s">
        <v>103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8.75" hidden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8.75" hidden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8.75" hidden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75" hidden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27" hidden="1">
      <c r="B22" s="76"/>
      <c r="C22" s="63"/>
      <c r="D22" s="53"/>
      <c r="E22" s="61"/>
      <c r="F22" s="12">
        <v>0.83333333333333337</v>
      </c>
      <c r="G22" s="78"/>
      <c r="H22" s="79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103</v>
      </c>
      <c r="Z22" s="44" t="s">
        <v>46</v>
      </c>
    </row>
    <row r="23" spans="2:26" ht="27" hidden="1">
      <c r="B23" s="76"/>
      <c r="C23" s="63"/>
      <c r="D23" s="51"/>
      <c r="E23" s="59" t="s">
        <v>104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104</v>
      </c>
      <c r="Z23" s="44" t="s">
        <v>45</v>
      </c>
    </row>
    <row r="24" spans="2:26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00000000000001" hidden="1" customHeight="1">
      <c r="B29" s="75">
        <v>46083</v>
      </c>
      <c r="C29" s="62" t="s">
        <v>16</v>
      </c>
      <c r="D29" s="51" t="s">
        <v>56</v>
      </c>
      <c r="E29" s="59" t="s">
        <v>103</v>
      </c>
      <c r="F29" s="5">
        <v>0.41666666666666669</v>
      </c>
      <c r="G29" s="73" t="s">
        <v>78</v>
      </c>
      <c r="H29" s="74"/>
      <c r="I29" s="34">
        <v>20</v>
      </c>
      <c r="J29" s="6">
        <f t="shared" si="2"/>
        <v>1</v>
      </c>
      <c r="K29" s="38"/>
      <c r="L29" s="38"/>
      <c r="M29" s="38">
        <v>5</v>
      </c>
      <c r="N29" s="38"/>
      <c r="O29" s="38"/>
      <c r="P29" s="38"/>
      <c r="Q29" s="38">
        <v>15</v>
      </c>
      <c r="R29" s="38"/>
      <c r="S29" s="7">
        <f>SUM(K29:R29)</f>
        <v>20</v>
      </c>
      <c r="T29" s="7">
        <v>100000</v>
      </c>
      <c r="U29" s="7">
        <f>T29*S29</f>
        <v>2000000</v>
      </c>
      <c r="V29" s="4"/>
      <c r="W29" s="4"/>
      <c r="X29" s="4"/>
      <c r="Y29" s="4"/>
      <c r="Z29" s="44" t="s">
        <v>51</v>
      </c>
    </row>
    <row r="30" spans="2:26" ht="18.75" hidden="1">
      <c r="B30" s="76"/>
      <c r="C30" s="63"/>
      <c r="D30" s="52" t="s">
        <v>56</v>
      </c>
      <c r="E30" s="60"/>
      <c r="F30" s="8">
        <v>0.5</v>
      </c>
      <c r="G30" s="78" t="s">
        <v>78</v>
      </c>
      <c r="H30" s="79"/>
      <c r="I30" s="35">
        <v>20</v>
      </c>
      <c r="J30" s="9">
        <f t="shared" si="2"/>
        <v>0.2</v>
      </c>
      <c r="K30" s="39"/>
      <c r="L30" s="39"/>
      <c r="M30" s="39"/>
      <c r="N30" s="39"/>
      <c r="O30" s="39"/>
      <c r="P30" s="39"/>
      <c r="Q30" s="39"/>
      <c r="R30" s="39">
        <v>4</v>
      </c>
      <c r="S30" s="10">
        <f t="shared" ref="S30:S40" si="3">SUM(K30:R30)</f>
        <v>4</v>
      </c>
      <c r="T30" s="10">
        <v>100000</v>
      </c>
      <c r="U30" s="10">
        <f t="shared" ref="U30:U31" si="4">T30*S30</f>
        <v>400000</v>
      </c>
      <c r="V30" s="4"/>
      <c r="W30" s="4"/>
      <c r="X30" s="4"/>
      <c r="Y30" s="4"/>
      <c r="Z30" s="44" t="s">
        <v>52</v>
      </c>
    </row>
    <row r="31" spans="2:26" ht="18.75" hidden="1">
      <c r="B31" s="76"/>
      <c r="C31" s="63"/>
      <c r="D31" s="52" t="s">
        <v>56</v>
      </c>
      <c r="E31" s="60"/>
      <c r="F31" s="8">
        <v>0.58333333333333337</v>
      </c>
      <c r="G31" s="78" t="s">
        <v>78</v>
      </c>
      <c r="H31" s="79"/>
      <c r="I31" s="35">
        <v>40</v>
      </c>
      <c r="J31" s="9">
        <f t="shared" si="2"/>
        <v>7.4999999999999997E-2</v>
      </c>
      <c r="K31" s="39"/>
      <c r="L31" s="39"/>
      <c r="M31" s="39"/>
      <c r="N31" s="39"/>
      <c r="O31" s="39"/>
      <c r="P31" s="39"/>
      <c r="Q31" s="39"/>
      <c r="R31" s="39">
        <v>3</v>
      </c>
      <c r="S31" s="10">
        <f t="shared" si="3"/>
        <v>3</v>
      </c>
      <c r="T31" s="10">
        <v>100000</v>
      </c>
      <c r="U31" s="10">
        <f t="shared" si="4"/>
        <v>300000</v>
      </c>
      <c r="V31" s="4"/>
      <c r="W31" s="4"/>
      <c r="X31" s="4"/>
      <c r="Y31" s="4"/>
      <c r="Z31" s="44" t="s">
        <v>53</v>
      </c>
    </row>
    <row r="32" spans="2:26" ht="18.75" hidden="1">
      <c r="B32" s="76"/>
      <c r="C32" s="63"/>
      <c r="D32" s="52" t="s">
        <v>56</v>
      </c>
      <c r="E32" s="60"/>
      <c r="F32" s="8">
        <v>0.66666666666666663</v>
      </c>
      <c r="G32" s="78" t="s">
        <v>78</v>
      </c>
      <c r="H32" s="79"/>
      <c r="I32" s="35">
        <v>45</v>
      </c>
      <c r="J32" s="9">
        <f t="shared" si="2"/>
        <v>4.4444444444444446E-2</v>
      </c>
      <c r="K32" s="39"/>
      <c r="L32" s="39"/>
      <c r="M32" s="39">
        <v>2</v>
      </c>
      <c r="N32" s="39"/>
      <c r="O32" s="39"/>
      <c r="P32" s="39"/>
      <c r="Q32" s="39"/>
      <c r="R32" s="39"/>
      <c r="S32" s="10">
        <f t="shared" si="3"/>
        <v>2</v>
      </c>
      <c r="T32" s="10">
        <v>100000</v>
      </c>
      <c r="U32" s="10">
        <f>T32*S32</f>
        <v>200000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 t="s">
        <v>56</v>
      </c>
      <c r="E33" s="60"/>
      <c r="F33" s="8">
        <v>0.75</v>
      </c>
      <c r="G33" s="78" t="s">
        <v>78</v>
      </c>
      <c r="H33" s="79"/>
      <c r="I33" s="35">
        <v>35</v>
      </c>
      <c r="J33" s="9">
        <f t="shared" si="2"/>
        <v>5.7142857142857141E-2</v>
      </c>
      <c r="K33" s="39"/>
      <c r="L33" s="39"/>
      <c r="M33" s="39">
        <v>2</v>
      </c>
      <c r="N33" s="39"/>
      <c r="O33" s="39"/>
      <c r="P33" s="39"/>
      <c r="Q33" s="39"/>
      <c r="R33" s="39"/>
      <c r="S33" s="10">
        <f t="shared" si="3"/>
        <v>2</v>
      </c>
      <c r="T33" s="10">
        <v>100000</v>
      </c>
      <c r="U33" s="10">
        <f t="shared" ref="U33:U40" si="5">T33*S33</f>
        <v>200000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 t="s">
        <v>56</v>
      </c>
      <c r="E34" s="61"/>
      <c r="F34" s="12">
        <v>0.83333333333333337</v>
      </c>
      <c r="G34" s="78" t="s">
        <v>78</v>
      </c>
      <c r="H34" s="79"/>
      <c r="I34" s="36">
        <v>50</v>
      </c>
      <c r="J34" s="9">
        <f t="shared" si="2"/>
        <v>0</v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 t="s">
        <v>56</v>
      </c>
      <c r="E35" s="59" t="s">
        <v>104</v>
      </c>
      <c r="F35" s="5">
        <v>0.91666666666666663</v>
      </c>
      <c r="G35" s="73" t="s">
        <v>88</v>
      </c>
      <c r="H35" s="74"/>
      <c r="I35" s="34">
        <v>50</v>
      </c>
      <c r="J35" s="6">
        <f t="shared" si="2"/>
        <v>0.08</v>
      </c>
      <c r="K35" s="38"/>
      <c r="L35" s="38"/>
      <c r="M35" s="38">
        <v>4</v>
      </c>
      <c r="N35" s="38"/>
      <c r="O35" s="38"/>
      <c r="P35" s="38"/>
      <c r="Q35" s="38"/>
      <c r="R35" s="38"/>
      <c r="S35" s="7">
        <f t="shared" si="3"/>
        <v>4</v>
      </c>
      <c r="T35" s="7">
        <v>100000</v>
      </c>
      <c r="U35" s="7">
        <f t="shared" si="5"/>
        <v>400000</v>
      </c>
      <c r="V35" s="4"/>
      <c r="Y35" s="4"/>
      <c r="Z35" s="44" t="s">
        <v>55</v>
      </c>
    </row>
    <row r="36" spans="2:26" ht="18.75" hidden="1">
      <c r="B36" s="76"/>
      <c r="C36" s="63"/>
      <c r="D36" s="52" t="s">
        <v>56</v>
      </c>
      <c r="E36" s="60"/>
      <c r="F36" s="8">
        <v>1</v>
      </c>
      <c r="G36" s="78" t="s">
        <v>88</v>
      </c>
      <c r="H36" s="79"/>
      <c r="I36" s="35">
        <v>52</v>
      </c>
      <c r="J36" s="9">
        <f t="shared" si="2"/>
        <v>3.8461538461538464E-2</v>
      </c>
      <c r="K36" s="39"/>
      <c r="L36" s="39"/>
      <c r="M36" s="39"/>
      <c r="N36" s="39"/>
      <c r="O36" s="39"/>
      <c r="P36" s="39"/>
      <c r="Q36" s="39"/>
      <c r="R36" s="39">
        <v>2</v>
      </c>
      <c r="S36" s="10">
        <f t="shared" si="3"/>
        <v>2</v>
      </c>
      <c r="T36" s="10">
        <v>100000</v>
      </c>
      <c r="U36" s="10">
        <f t="shared" si="5"/>
        <v>200000</v>
      </c>
      <c r="V36" s="4"/>
      <c r="Y36" s="4"/>
      <c r="Z36" s="44" t="s">
        <v>56</v>
      </c>
    </row>
    <row r="37" spans="2:26" ht="18.75" hidden="1">
      <c r="B37" s="76"/>
      <c r="C37" s="63"/>
      <c r="D37" s="52" t="s">
        <v>56</v>
      </c>
      <c r="E37" s="60"/>
      <c r="F37" s="8">
        <v>8.3333333333333329E-2</v>
      </c>
      <c r="G37" s="78" t="s">
        <v>88</v>
      </c>
      <c r="H37" s="79"/>
      <c r="I37" s="35">
        <v>52</v>
      </c>
      <c r="J37" s="9">
        <f t="shared" si="2"/>
        <v>0</v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 t="s">
        <v>56</v>
      </c>
      <c r="E38" s="60"/>
      <c r="F38" s="8">
        <v>0.16666666666666666</v>
      </c>
      <c r="G38" s="78" t="s">
        <v>88</v>
      </c>
      <c r="H38" s="79"/>
      <c r="I38" s="35">
        <v>52</v>
      </c>
      <c r="J38" s="9">
        <f t="shared" si="2"/>
        <v>0</v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 t="s">
        <v>56</v>
      </c>
      <c r="E39" s="60"/>
      <c r="F39" s="8">
        <v>0.25</v>
      </c>
      <c r="G39" s="78" t="s">
        <v>88</v>
      </c>
      <c r="H39" s="79"/>
      <c r="I39" s="35">
        <v>52</v>
      </c>
      <c r="J39" s="9">
        <f t="shared" si="2"/>
        <v>3.8461538461538464E-2</v>
      </c>
      <c r="K39" s="39"/>
      <c r="L39" s="39"/>
      <c r="M39" s="39"/>
      <c r="N39" s="39"/>
      <c r="O39" s="39"/>
      <c r="P39" s="39"/>
      <c r="Q39" s="39"/>
      <c r="R39" s="39">
        <v>2</v>
      </c>
      <c r="S39" s="10">
        <f t="shared" si="3"/>
        <v>2</v>
      </c>
      <c r="T39" s="10">
        <v>100000</v>
      </c>
      <c r="U39" s="10">
        <f t="shared" si="5"/>
        <v>200000</v>
      </c>
      <c r="V39" s="4"/>
      <c r="Y39" s="4"/>
      <c r="Z39" s="44" t="s">
        <v>57</v>
      </c>
    </row>
    <row r="40" spans="2:26" ht="18.75" hidden="1">
      <c r="B40" s="77"/>
      <c r="C40" s="63"/>
      <c r="D40" s="53" t="s">
        <v>56</v>
      </c>
      <c r="E40" s="61"/>
      <c r="F40" s="12">
        <v>0.33333333333333331</v>
      </c>
      <c r="G40" s="78" t="s">
        <v>88</v>
      </c>
      <c r="H40" s="79"/>
      <c r="I40" s="36">
        <v>52</v>
      </c>
      <c r="J40" s="9">
        <f t="shared" si="2"/>
        <v>0</v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00000000000001" hidden="1" customHeight="1">
      <c r="B41" s="76">
        <v>46084</v>
      </c>
      <c r="C41" s="62" t="s">
        <v>16</v>
      </c>
      <c r="D41" s="51" t="s">
        <v>60</v>
      </c>
      <c r="E41" s="59" t="s">
        <v>103</v>
      </c>
      <c r="F41" s="5">
        <v>0.41666666666666669</v>
      </c>
      <c r="G41" s="73" t="s">
        <v>74</v>
      </c>
      <c r="H41" s="74"/>
      <c r="I41" s="34">
        <v>0</v>
      </c>
      <c r="J41" s="6" t="str">
        <f t="shared" si="2"/>
        <v/>
      </c>
      <c r="K41" s="38"/>
      <c r="L41" s="38"/>
      <c r="M41" s="38"/>
      <c r="N41" s="38"/>
      <c r="O41" s="38"/>
      <c r="P41" s="38"/>
      <c r="Q41" s="38">
        <v>10</v>
      </c>
      <c r="R41" s="38"/>
      <c r="S41" s="7">
        <f>SUM(K41:R41)</f>
        <v>10</v>
      </c>
      <c r="T41" s="7">
        <v>100000</v>
      </c>
      <c r="U41" s="7">
        <f>T41*S41</f>
        <v>1000000</v>
      </c>
      <c r="V41" s="4"/>
      <c r="W41" s="4"/>
      <c r="X41" s="4"/>
      <c r="Y41" s="4"/>
      <c r="Z41" s="44" t="s">
        <v>59</v>
      </c>
    </row>
    <row r="42" spans="2:26" ht="18.75" hidden="1">
      <c r="B42" s="76"/>
      <c r="C42" s="63"/>
      <c r="D42" s="52" t="s">
        <v>60</v>
      </c>
      <c r="E42" s="60"/>
      <c r="F42" s="8">
        <v>0.5</v>
      </c>
      <c r="G42" s="78" t="s">
        <v>74</v>
      </c>
      <c r="H42" s="79"/>
      <c r="I42" s="35">
        <v>0</v>
      </c>
      <c r="J42" s="9" t="str">
        <f t="shared" si="2"/>
        <v/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18.75" hidden="1">
      <c r="B43" s="76"/>
      <c r="C43" s="63"/>
      <c r="D43" s="52" t="s">
        <v>60</v>
      </c>
      <c r="E43" s="60"/>
      <c r="F43" s="8">
        <v>0.58333333333333337</v>
      </c>
      <c r="G43" s="78" t="s">
        <v>74</v>
      </c>
      <c r="H43" s="79"/>
      <c r="I43" s="35">
        <v>0</v>
      </c>
      <c r="J43" s="9" t="str">
        <f t="shared" si="2"/>
        <v/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 t="s">
        <v>60</v>
      </c>
      <c r="E44" s="60"/>
      <c r="F44" s="8">
        <v>0.66666666666666663</v>
      </c>
      <c r="G44" s="78" t="s">
        <v>74</v>
      </c>
      <c r="H44" s="79"/>
      <c r="I44" s="35">
        <v>30</v>
      </c>
      <c r="J44" s="9">
        <f t="shared" si="2"/>
        <v>0.23333333333333334</v>
      </c>
      <c r="K44" s="39"/>
      <c r="L44" s="39"/>
      <c r="M44" s="39"/>
      <c r="N44" s="39"/>
      <c r="O44" s="39"/>
      <c r="P44" s="39"/>
      <c r="Q44" s="39"/>
      <c r="R44" s="39">
        <v>7</v>
      </c>
      <c r="S44" s="10">
        <f t="shared" si="6"/>
        <v>7</v>
      </c>
      <c r="T44" s="10">
        <v>100000</v>
      </c>
      <c r="U44" s="10">
        <f>T44*S44</f>
        <v>700000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 t="s">
        <v>60</v>
      </c>
      <c r="E45" s="60"/>
      <c r="F45" s="8">
        <v>0.75</v>
      </c>
      <c r="G45" s="78" t="s">
        <v>74</v>
      </c>
      <c r="H45" s="79"/>
      <c r="I45" s="35">
        <v>40</v>
      </c>
      <c r="J45" s="9">
        <f t="shared" si="2"/>
        <v>0.1</v>
      </c>
      <c r="K45" s="39"/>
      <c r="L45" s="39"/>
      <c r="M45" s="39">
        <v>4</v>
      </c>
      <c r="N45" s="39"/>
      <c r="O45" s="39"/>
      <c r="P45" s="39"/>
      <c r="Q45" s="39"/>
      <c r="R45" s="39"/>
      <c r="S45" s="10">
        <f t="shared" si="6"/>
        <v>4</v>
      </c>
      <c r="T45" s="10">
        <v>100000</v>
      </c>
      <c r="U45" s="10">
        <f t="shared" ref="U45:U52" si="8">T45*S45</f>
        <v>400000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 t="s">
        <v>60</v>
      </c>
      <c r="E46" s="61"/>
      <c r="F46" s="12">
        <v>0.83333333333333337</v>
      </c>
      <c r="G46" s="78" t="s">
        <v>74</v>
      </c>
      <c r="H46" s="79"/>
      <c r="I46" s="36">
        <v>50</v>
      </c>
      <c r="J46" s="9">
        <f t="shared" si="2"/>
        <v>0.1</v>
      </c>
      <c r="K46" s="41"/>
      <c r="L46" s="41"/>
      <c r="M46" s="41"/>
      <c r="N46" s="41"/>
      <c r="O46" s="41"/>
      <c r="P46" s="41"/>
      <c r="Q46" s="41"/>
      <c r="R46" s="41">
        <v>5</v>
      </c>
      <c r="S46" s="13">
        <f t="shared" si="6"/>
        <v>5</v>
      </c>
      <c r="T46" s="13">
        <v>100000</v>
      </c>
      <c r="U46" s="13">
        <f t="shared" si="8"/>
        <v>500000</v>
      </c>
      <c r="V46" s="4"/>
      <c r="Y46" s="4"/>
      <c r="Z46" s="45"/>
    </row>
    <row r="47" spans="2:26" ht="18.75" hidden="1">
      <c r="B47" s="76"/>
      <c r="C47" s="63"/>
      <c r="D47" s="51" t="s">
        <v>60</v>
      </c>
      <c r="E47" s="59" t="s">
        <v>104</v>
      </c>
      <c r="F47" s="5">
        <v>0.91666666666666663</v>
      </c>
      <c r="G47" s="73" t="s">
        <v>84</v>
      </c>
      <c r="H47" s="74"/>
      <c r="I47" s="34">
        <v>60</v>
      </c>
      <c r="J47" s="6">
        <f t="shared" si="2"/>
        <v>1.6666666666666666E-2</v>
      </c>
      <c r="K47" s="38">
        <v>1</v>
      </c>
      <c r="L47" s="38"/>
      <c r="M47" s="38"/>
      <c r="N47" s="38"/>
      <c r="O47" s="38"/>
      <c r="P47" s="38"/>
      <c r="Q47" s="38"/>
      <c r="R47" s="38"/>
      <c r="S47" s="7">
        <f t="shared" si="6"/>
        <v>1</v>
      </c>
      <c r="T47" s="7">
        <v>100000</v>
      </c>
      <c r="U47" s="7">
        <f t="shared" si="8"/>
        <v>100000</v>
      </c>
      <c r="V47" s="4"/>
      <c r="Y47" s="4"/>
      <c r="Z47" s="45"/>
    </row>
    <row r="48" spans="2:26" ht="18.75" hidden="1">
      <c r="B48" s="76"/>
      <c r="C48" s="63"/>
      <c r="D48" s="52" t="s">
        <v>60</v>
      </c>
      <c r="E48" s="60"/>
      <c r="F48" s="8">
        <v>1</v>
      </c>
      <c r="G48" s="78" t="s">
        <v>84</v>
      </c>
      <c r="H48" s="79"/>
      <c r="I48" s="35">
        <v>20</v>
      </c>
      <c r="J48" s="9">
        <f t="shared" si="2"/>
        <v>0.05</v>
      </c>
      <c r="K48" s="39">
        <v>1</v>
      </c>
      <c r="L48" s="39"/>
      <c r="M48" s="39"/>
      <c r="N48" s="39"/>
      <c r="O48" s="39"/>
      <c r="P48" s="39"/>
      <c r="Q48" s="39"/>
      <c r="R48" s="39"/>
      <c r="S48" s="10">
        <f t="shared" si="6"/>
        <v>1</v>
      </c>
      <c r="T48" s="10">
        <v>100000</v>
      </c>
      <c r="U48" s="10">
        <f t="shared" si="8"/>
        <v>100000</v>
      </c>
      <c r="V48" s="4"/>
      <c r="Y48" s="4"/>
      <c r="Z48" s="45"/>
    </row>
    <row r="49" spans="2:26" ht="18.75" hidden="1">
      <c r="B49" s="76"/>
      <c r="C49" s="63"/>
      <c r="D49" s="52" t="s">
        <v>59</v>
      </c>
      <c r="E49" s="60"/>
      <c r="F49" s="8">
        <v>8.3333333333333329E-2</v>
      </c>
      <c r="G49" s="78" t="s">
        <v>84</v>
      </c>
      <c r="H49" s="79"/>
      <c r="I49" s="35">
        <v>30</v>
      </c>
      <c r="J49" s="9">
        <f t="shared" si="2"/>
        <v>0.23333333333333334</v>
      </c>
      <c r="K49" s="39">
        <v>1</v>
      </c>
      <c r="L49" s="39"/>
      <c r="M49" s="39"/>
      <c r="N49" s="39"/>
      <c r="O49" s="39"/>
      <c r="P49" s="39"/>
      <c r="Q49" s="39">
        <v>6</v>
      </c>
      <c r="R49" s="39"/>
      <c r="S49" s="10">
        <f t="shared" si="6"/>
        <v>7</v>
      </c>
      <c r="T49" s="10">
        <v>100000</v>
      </c>
      <c r="U49" s="10">
        <f t="shared" si="8"/>
        <v>700000</v>
      </c>
      <c r="V49" s="4"/>
      <c r="Y49" s="4"/>
      <c r="Z49" s="45"/>
    </row>
    <row r="50" spans="2:26" ht="18.75" hidden="1">
      <c r="B50" s="76"/>
      <c r="C50" s="63"/>
      <c r="D50" s="52" t="s">
        <v>59</v>
      </c>
      <c r="E50" s="60"/>
      <c r="F50" s="8">
        <v>0.16666666666666666</v>
      </c>
      <c r="G50" s="78" t="s">
        <v>84</v>
      </c>
      <c r="H50" s="79"/>
      <c r="I50" s="35">
        <v>50</v>
      </c>
      <c r="J50" s="9">
        <f t="shared" si="2"/>
        <v>0.02</v>
      </c>
      <c r="K50" s="39"/>
      <c r="L50" s="39"/>
      <c r="M50" s="39"/>
      <c r="N50" s="39"/>
      <c r="O50" s="39"/>
      <c r="P50" s="39"/>
      <c r="Q50" s="39"/>
      <c r="R50" s="39">
        <v>1</v>
      </c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 t="s">
        <v>59</v>
      </c>
      <c r="E51" s="60"/>
      <c r="F51" s="8">
        <v>0.25</v>
      </c>
      <c r="G51" s="78" t="s">
        <v>84</v>
      </c>
      <c r="H51" s="79"/>
      <c r="I51" s="35">
        <v>30</v>
      </c>
      <c r="J51" s="9">
        <f t="shared" si="2"/>
        <v>3.3333333333333333E-2</v>
      </c>
      <c r="K51" s="39"/>
      <c r="L51" s="39"/>
      <c r="M51" s="39"/>
      <c r="N51" s="39"/>
      <c r="O51" s="39"/>
      <c r="P51" s="39"/>
      <c r="Q51" s="39"/>
      <c r="R51" s="39">
        <v>1</v>
      </c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8.75" hidden="1">
      <c r="B52" s="76"/>
      <c r="C52" s="63"/>
      <c r="D52" s="53" t="s">
        <v>59</v>
      </c>
      <c r="E52" s="61"/>
      <c r="F52" s="12">
        <v>0.33333333333333331</v>
      </c>
      <c r="G52" s="78" t="s">
        <v>84</v>
      </c>
      <c r="H52" s="79"/>
      <c r="I52" s="36">
        <v>50</v>
      </c>
      <c r="J52" s="9">
        <f t="shared" si="2"/>
        <v>0.04</v>
      </c>
      <c r="K52" s="41"/>
      <c r="L52" s="41"/>
      <c r="M52" s="41"/>
      <c r="N52" s="41"/>
      <c r="O52" s="41"/>
      <c r="P52" s="41"/>
      <c r="Q52" s="41"/>
      <c r="R52" s="41">
        <v>2</v>
      </c>
      <c r="S52" s="13">
        <f t="shared" si="6"/>
        <v>2</v>
      </c>
      <c r="T52" s="13">
        <v>100000</v>
      </c>
      <c r="U52" s="13">
        <f t="shared" si="8"/>
        <v>200000</v>
      </c>
      <c r="V52" s="4"/>
      <c r="W52" s="4"/>
      <c r="X52" s="4"/>
      <c r="Y52" s="4"/>
      <c r="Z52" s="45"/>
    </row>
    <row r="53" spans="2:26" ht="16.5" hidden="1" customHeight="1">
      <c r="B53" s="65">
        <v>46085</v>
      </c>
      <c r="C53" s="62" t="s">
        <v>16</v>
      </c>
      <c r="D53" s="51" t="s">
        <v>59</v>
      </c>
      <c r="E53" s="59" t="s">
        <v>103</v>
      </c>
      <c r="F53" s="5">
        <v>0.41666666666666669</v>
      </c>
      <c r="G53" s="73" t="s">
        <v>76</v>
      </c>
      <c r="H53" s="74"/>
      <c r="I53" s="34">
        <v>40</v>
      </c>
      <c r="J53" s="6">
        <f t="shared" si="2"/>
        <v>0.125</v>
      </c>
      <c r="K53" s="38"/>
      <c r="L53" s="38"/>
      <c r="M53" s="38"/>
      <c r="N53" s="38"/>
      <c r="O53" s="38"/>
      <c r="P53" s="38"/>
      <c r="Q53" s="38"/>
      <c r="R53" s="38">
        <v>5</v>
      </c>
      <c r="S53" s="7">
        <f>SUM(K53:R53)</f>
        <v>5</v>
      </c>
      <c r="T53" s="7">
        <v>100000</v>
      </c>
      <c r="U53" s="7">
        <f>T53*S53</f>
        <v>500000</v>
      </c>
      <c r="V53" s="4"/>
      <c r="W53" s="4"/>
      <c r="X53" s="4"/>
      <c r="Y53" s="4"/>
      <c r="Z53" s="45"/>
    </row>
    <row r="54" spans="2:26" ht="18.75" hidden="1">
      <c r="B54" s="65"/>
      <c r="C54" s="63"/>
      <c r="D54" s="52" t="s">
        <v>59</v>
      </c>
      <c r="E54" s="60"/>
      <c r="F54" s="8">
        <v>0.5</v>
      </c>
      <c r="G54" s="78" t="s">
        <v>76</v>
      </c>
      <c r="H54" s="79"/>
      <c r="I54" s="35">
        <v>0</v>
      </c>
      <c r="J54" s="9" t="str">
        <f t="shared" si="2"/>
        <v/>
      </c>
      <c r="K54" s="39"/>
      <c r="L54" s="39"/>
      <c r="M54" s="39"/>
      <c r="N54" s="39"/>
      <c r="O54" s="39"/>
      <c r="P54" s="39"/>
      <c r="Q54" s="39"/>
      <c r="R54" s="39"/>
      <c r="S54" s="10">
        <f t="shared" ref="S54:S64" si="9">SUM(K54:R54)</f>
        <v>0</v>
      </c>
      <c r="T54" s="10">
        <v>100000</v>
      </c>
      <c r="U54" s="10">
        <f t="shared" ref="U54:U55" si="10">T54*S54</f>
        <v>0</v>
      </c>
      <c r="V54" s="4"/>
      <c r="W54" s="4"/>
      <c r="X54" s="4"/>
      <c r="Y54" s="4"/>
      <c r="Z54" s="45"/>
    </row>
    <row r="55" spans="2:26" ht="18.75" hidden="1">
      <c r="B55" s="65"/>
      <c r="C55" s="63"/>
      <c r="D55" s="52" t="s">
        <v>59</v>
      </c>
      <c r="E55" s="60"/>
      <c r="F55" s="8">
        <v>0.58333333333333337</v>
      </c>
      <c r="G55" s="78" t="s">
        <v>76</v>
      </c>
      <c r="H55" s="79"/>
      <c r="I55" s="35">
        <v>0</v>
      </c>
      <c r="J55" s="9" t="str">
        <f t="shared" si="2"/>
        <v/>
      </c>
      <c r="K55" s="39"/>
      <c r="L55" s="39"/>
      <c r="M55" s="39"/>
      <c r="N55" s="39"/>
      <c r="O55" s="39"/>
      <c r="P55" s="39"/>
      <c r="Q55" s="39"/>
      <c r="R55" s="39"/>
      <c r="S55" s="10">
        <f t="shared" si="9"/>
        <v>0</v>
      </c>
      <c r="T55" s="10">
        <v>100000</v>
      </c>
      <c r="U55" s="10">
        <f t="shared" si="10"/>
        <v>0</v>
      </c>
      <c r="V55" s="4"/>
      <c r="W55" s="4"/>
      <c r="X55" s="4"/>
      <c r="Y55" s="4"/>
      <c r="Z55" s="45"/>
    </row>
    <row r="56" spans="2:26" ht="37.5" hidden="1">
      <c r="B56" s="65"/>
      <c r="C56" s="63"/>
      <c r="D56" s="52" t="s">
        <v>52</v>
      </c>
      <c r="E56" s="60"/>
      <c r="F56" s="8">
        <v>0.66666666666666663</v>
      </c>
      <c r="G56" s="78" t="s">
        <v>76</v>
      </c>
      <c r="H56" s="79"/>
      <c r="I56" s="35">
        <v>40</v>
      </c>
      <c r="J56" s="9">
        <f t="shared" si="2"/>
        <v>0.4</v>
      </c>
      <c r="K56" s="39"/>
      <c r="L56" s="39"/>
      <c r="M56" s="39"/>
      <c r="N56" s="39"/>
      <c r="O56" s="39"/>
      <c r="P56" s="39"/>
      <c r="Q56" s="39">
        <v>10</v>
      </c>
      <c r="R56" s="39">
        <v>6</v>
      </c>
      <c r="S56" s="10">
        <f t="shared" si="9"/>
        <v>16</v>
      </c>
      <c r="T56" s="10">
        <v>100000</v>
      </c>
      <c r="U56" s="10">
        <f>T56*S56</f>
        <v>1600000</v>
      </c>
      <c r="V56" s="4"/>
      <c r="W56" s="4"/>
      <c r="X56" s="4"/>
      <c r="Y56" s="4"/>
      <c r="Z56" s="45"/>
    </row>
    <row r="57" spans="2:26" ht="37.5" hidden="1">
      <c r="B57" s="65"/>
      <c r="C57" s="63"/>
      <c r="D57" s="52" t="s">
        <v>52</v>
      </c>
      <c r="E57" s="60"/>
      <c r="F57" s="8">
        <v>0.75</v>
      </c>
      <c r="G57" s="78" t="s">
        <v>76</v>
      </c>
      <c r="H57" s="79"/>
      <c r="I57" s="35">
        <v>30</v>
      </c>
      <c r="J57" s="9">
        <f t="shared" si="2"/>
        <v>0.23333333333333334</v>
      </c>
      <c r="K57" s="39"/>
      <c r="L57" s="39"/>
      <c r="M57" s="39"/>
      <c r="N57" s="39"/>
      <c r="O57" s="39"/>
      <c r="P57" s="39"/>
      <c r="Q57" s="39"/>
      <c r="R57" s="39">
        <v>7</v>
      </c>
      <c r="S57" s="10">
        <f t="shared" si="9"/>
        <v>7</v>
      </c>
      <c r="T57" s="10">
        <v>100000</v>
      </c>
      <c r="U57" s="10">
        <f t="shared" ref="U57:U64" si="11">T57*S57</f>
        <v>700000</v>
      </c>
      <c r="V57" s="4"/>
      <c r="W57" s="4"/>
      <c r="X57" s="11"/>
      <c r="Y57" s="4"/>
      <c r="Z57" s="45"/>
    </row>
    <row r="58" spans="2:26" ht="37.5" hidden="1">
      <c r="B58" s="65"/>
      <c r="C58" s="63"/>
      <c r="D58" s="53" t="s">
        <v>52</v>
      </c>
      <c r="E58" s="61"/>
      <c r="F58" s="12">
        <v>0.83333333333333337</v>
      </c>
      <c r="G58" s="78" t="s">
        <v>76</v>
      </c>
      <c r="H58" s="79"/>
      <c r="I58" s="36">
        <v>30</v>
      </c>
      <c r="J58" s="9">
        <f t="shared" si="2"/>
        <v>0</v>
      </c>
      <c r="K58" s="41"/>
      <c r="L58" s="41"/>
      <c r="M58" s="41"/>
      <c r="N58" s="41"/>
      <c r="O58" s="41"/>
      <c r="P58" s="41"/>
      <c r="Q58" s="41"/>
      <c r="R58" s="41"/>
      <c r="S58" s="13">
        <f t="shared" si="9"/>
        <v>0</v>
      </c>
      <c r="T58" s="13">
        <v>100000</v>
      </c>
      <c r="U58" s="13">
        <f t="shared" si="11"/>
        <v>0</v>
      </c>
      <c r="V58" s="4"/>
      <c r="Y58" s="4"/>
      <c r="Z58" s="45"/>
    </row>
    <row r="59" spans="2:26" ht="37.5" hidden="1">
      <c r="B59" s="65"/>
      <c r="C59" s="63"/>
      <c r="D59" s="51" t="s">
        <v>47</v>
      </c>
      <c r="E59" s="59" t="s">
        <v>104</v>
      </c>
      <c r="F59" s="5">
        <v>0.91666666666666663</v>
      </c>
      <c r="G59" s="73" t="s">
        <v>89</v>
      </c>
      <c r="H59" s="74"/>
      <c r="I59" s="34">
        <v>10</v>
      </c>
      <c r="J59" s="6">
        <f t="shared" si="2"/>
        <v>0.7</v>
      </c>
      <c r="K59" s="38"/>
      <c r="L59" s="38"/>
      <c r="M59" s="38"/>
      <c r="N59" s="38"/>
      <c r="O59" s="38"/>
      <c r="P59" s="38"/>
      <c r="Q59" s="38">
        <v>6</v>
      </c>
      <c r="R59" s="38">
        <v>1</v>
      </c>
      <c r="S59" s="7">
        <f t="shared" si="9"/>
        <v>7</v>
      </c>
      <c r="T59" s="7">
        <v>100000</v>
      </c>
      <c r="U59" s="7">
        <f t="shared" si="11"/>
        <v>700000</v>
      </c>
      <c r="V59" s="4"/>
      <c r="Y59" s="4"/>
      <c r="Z59" s="45"/>
    </row>
    <row r="60" spans="2:26" ht="37.5" hidden="1">
      <c r="B60" s="65"/>
      <c r="C60" s="63"/>
      <c r="D60" s="52" t="s">
        <v>47</v>
      </c>
      <c r="E60" s="60"/>
      <c r="F60" s="8">
        <v>1</v>
      </c>
      <c r="G60" s="78" t="s">
        <v>89</v>
      </c>
      <c r="H60" s="79"/>
      <c r="I60" s="35">
        <v>78</v>
      </c>
      <c r="J60" s="9">
        <f t="shared" si="2"/>
        <v>1.282051282051282E-2</v>
      </c>
      <c r="K60" s="39"/>
      <c r="L60" s="39"/>
      <c r="M60" s="39"/>
      <c r="N60" s="39"/>
      <c r="O60" s="39"/>
      <c r="P60" s="39"/>
      <c r="Q60" s="39"/>
      <c r="R60" s="39">
        <v>1</v>
      </c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37.5" hidden="1">
      <c r="B61" s="65"/>
      <c r="C61" s="63"/>
      <c r="D61" s="52" t="s">
        <v>47</v>
      </c>
      <c r="E61" s="60"/>
      <c r="F61" s="8">
        <v>8.3333333333333329E-2</v>
      </c>
      <c r="G61" s="78" t="s">
        <v>89</v>
      </c>
      <c r="H61" s="79"/>
      <c r="I61" s="35">
        <v>78</v>
      </c>
      <c r="J61" s="9">
        <f t="shared" si="2"/>
        <v>1.282051282051282E-2</v>
      </c>
      <c r="K61" s="39"/>
      <c r="L61" s="39"/>
      <c r="M61" s="39"/>
      <c r="N61" s="39"/>
      <c r="O61" s="39"/>
      <c r="P61" s="39"/>
      <c r="Q61" s="39"/>
      <c r="R61" s="39">
        <v>1</v>
      </c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37.5" hidden="1">
      <c r="B62" s="65"/>
      <c r="C62" s="63"/>
      <c r="D62" s="52" t="s">
        <v>47</v>
      </c>
      <c r="E62" s="60"/>
      <c r="F62" s="8">
        <v>0.16666666666666666</v>
      </c>
      <c r="G62" s="78" t="s">
        <v>89</v>
      </c>
      <c r="H62" s="79"/>
      <c r="I62" s="35">
        <v>78</v>
      </c>
      <c r="J62" s="9">
        <f t="shared" si="2"/>
        <v>0</v>
      </c>
      <c r="K62" s="39"/>
      <c r="L62" s="39"/>
      <c r="M62" s="39"/>
      <c r="N62" s="39"/>
      <c r="O62" s="39"/>
      <c r="P62" s="39"/>
      <c r="Q62" s="39"/>
      <c r="R62" s="39"/>
      <c r="S62" s="10">
        <f t="shared" si="9"/>
        <v>0</v>
      </c>
      <c r="T62" s="10">
        <v>100000</v>
      </c>
      <c r="U62" s="10">
        <f t="shared" si="11"/>
        <v>0</v>
      </c>
      <c r="V62" s="4"/>
      <c r="W62" s="4"/>
      <c r="X62" s="4"/>
      <c r="Y62" s="4"/>
    </row>
    <row r="63" spans="2:26" ht="37.5" hidden="1">
      <c r="B63" s="65"/>
      <c r="C63" s="63"/>
      <c r="D63" s="52" t="s">
        <v>47</v>
      </c>
      <c r="E63" s="60"/>
      <c r="F63" s="8">
        <v>0.25</v>
      </c>
      <c r="G63" s="78" t="s">
        <v>89</v>
      </c>
      <c r="H63" s="79"/>
      <c r="I63" s="35">
        <v>78</v>
      </c>
      <c r="J63" s="9">
        <f t="shared" si="2"/>
        <v>0</v>
      </c>
      <c r="K63" s="39"/>
      <c r="L63" s="39"/>
      <c r="M63" s="39"/>
      <c r="N63" s="39"/>
      <c r="O63" s="39"/>
      <c r="P63" s="39"/>
      <c r="Q63" s="39"/>
      <c r="R63" s="39"/>
      <c r="S63" s="10">
        <f t="shared" si="9"/>
        <v>0</v>
      </c>
      <c r="T63" s="10">
        <v>100000</v>
      </c>
      <c r="U63" s="10">
        <f t="shared" si="11"/>
        <v>0</v>
      </c>
      <c r="V63" s="4"/>
      <c r="Y63" s="4"/>
    </row>
    <row r="64" spans="2:26" ht="37.5" hidden="1">
      <c r="B64" s="65"/>
      <c r="C64" s="63"/>
      <c r="D64" s="53" t="s">
        <v>47</v>
      </c>
      <c r="E64" s="61"/>
      <c r="F64" s="14">
        <v>0.33333333333333331</v>
      </c>
      <c r="G64" s="78" t="s">
        <v>89</v>
      </c>
      <c r="H64" s="79"/>
      <c r="I64" s="37">
        <v>78</v>
      </c>
      <c r="J64" s="9">
        <f t="shared" si="2"/>
        <v>0</v>
      </c>
      <c r="K64" s="40"/>
      <c r="L64" s="40"/>
      <c r="M64" s="40"/>
      <c r="N64" s="40"/>
      <c r="O64" s="40"/>
      <c r="P64" s="40"/>
      <c r="Q64" s="40"/>
      <c r="R64" s="40"/>
      <c r="S64" s="16">
        <f t="shared" si="9"/>
        <v>0</v>
      </c>
      <c r="T64" s="16">
        <v>100000</v>
      </c>
      <c r="U64" s="16">
        <f t="shared" si="11"/>
        <v>0</v>
      </c>
      <c r="V64" s="4"/>
      <c r="W64" s="4"/>
      <c r="X64" s="4"/>
      <c r="Y64" s="4"/>
    </row>
    <row r="65" spans="2:25" ht="33.75" hidden="1" customHeight="1">
      <c r="B65" s="65">
        <v>46086</v>
      </c>
      <c r="C65" s="62" t="s">
        <v>16</v>
      </c>
      <c r="D65" s="51" t="s">
        <v>47</v>
      </c>
      <c r="E65" s="59" t="s">
        <v>103</v>
      </c>
      <c r="F65" s="5">
        <v>0.41666666666666669</v>
      </c>
      <c r="G65" s="73" t="s">
        <v>78</v>
      </c>
      <c r="H65" s="74"/>
      <c r="I65" s="34">
        <v>80</v>
      </c>
      <c r="J65" s="6">
        <f t="shared" si="2"/>
        <v>2.5000000000000001E-2</v>
      </c>
      <c r="K65" s="38"/>
      <c r="L65" s="38"/>
      <c r="M65" s="38"/>
      <c r="N65" s="38"/>
      <c r="O65" s="38"/>
      <c r="P65" s="38"/>
      <c r="Q65" s="38"/>
      <c r="R65" s="38">
        <v>2</v>
      </c>
      <c r="S65" s="7">
        <f>SUM(K65:R65)</f>
        <v>2</v>
      </c>
      <c r="T65" s="7">
        <v>100000</v>
      </c>
      <c r="U65" s="7">
        <f>T65*S65</f>
        <v>200000</v>
      </c>
      <c r="V65" s="4"/>
      <c r="W65" s="4"/>
      <c r="X65" s="4"/>
      <c r="Y65" s="4"/>
    </row>
    <row r="66" spans="2:25" ht="37.5" hidden="1">
      <c r="B66" s="65"/>
      <c r="C66" s="63"/>
      <c r="D66" s="52" t="s">
        <v>47</v>
      </c>
      <c r="E66" s="60"/>
      <c r="F66" s="8">
        <v>0.5</v>
      </c>
      <c r="G66" s="78" t="s">
        <v>78</v>
      </c>
      <c r="H66" s="79"/>
      <c r="I66" s="35">
        <v>75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37.5" hidden="1">
      <c r="B67" s="65"/>
      <c r="C67" s="63"/>
      <c r="D67" s="52" t="s">
        <v>47</v>
      </c>
      <c r="E67" s="60"/>
      <c r="F67" s="8">
        <v>0.58333333333333337</v>
      </c>
      <c r="G67" s="78" t="s">
        <v>78</v>
      </c>
      <c r="H67" s="79"/>
      <c r="I67" s="35">
        <v>84</v>
      </c>
      <c r="J67" s="9">
        <f t="shared" si="2"/>
        <v>5.9523809523809521E-2</v>
      </c>
      <c r="K67" s="39"/>
      <c r="L67" s="39"/>
      <c r="M67" s="39"/>
      <c r="N67" s="39"/>
      <c r="O67" s="39"/>
      <c r="P67" s="39"/>
      <c r="Q67" s="39"/>
      <c r="R67" s="39">
        <v>5</v>
      </c>
      <c r="S67" s="10">
        <f t="shared" si="12"/>
        <v>5</v>
      </c>
      <c r="T67" s="10">
        <v>100000</v>
      </c>
      <c r="U67" s="10">
        <f t="shared" si="13"/>
        <v>500000</v>
      </c>
      <c r="V67" s="4"/>
      <c r="W67" s="4"/>
      <c r="X67" s="4"/>
      <c r="Y67" s="4"/>
    </row>
    <row r="68" spans="2:25" ht="37.5" hidden="1">
      <c r="B68" s="65"/>
      <c r="C68" s="63"/>
      <c r="D68" s="52" t="s">
        <v>47</v>
      </c>
      <c r="E68" s="60"/>
      <c r="F68" s="8">
        <v>0.66666666666666663</v>
      </c>
      <c r="G68" s="78" t="s">
        <v>78</v>
      </c>
      <c r="H68" s="79"/>
      <c r="I68" s="35">
        <v>75</v>
      </c>
      <c r="J68" s="9">
        <f t="shared" si="2"/>
        <v>0</v>
      </c>
      <c r="K68" s="39"/>
      <c r="L68" s="39"/>
      <c r="M68" s="39"/>
      <c r="N68" s="39"/>
      <c r="O68" s="39"/>
      <c r="P68" s="39"/>
      <c r="Q68" s="39"/>
      <c r="R68" s="39"/>
      <c r="S68" s="10">
        <f t="shared" si="12"/>
        <v>0</v>
      </c>
      <c r="T68" s="10">
        <v>100000</v>
      </c>
      <c r="U68" s="10">
        <f>T68*S68</f>
        <v>0</v>
      </c>
      <c r="V68" s="4"/>
      <c r="W68" s="4"/>
      <c r="X68" s="4"/>
      <c r="Y68" s="4"/>
    </row>
    <row r="69" spans="2:25" ht="37.5" hidden="1">
      <c r="B69" s="65"/>
      <c r="C69" s="63"/>
      <c r="D69" s="52" t="s">
        <v>47</v>
      </c>
      <c r="E69" s="60"/>
      <c r="F69" s="8">
        <v>0.75</v>
      </c>
      <c r="G69" s="78" t="s">
        <v>78</v>
      </c>
      <c r="H69" s="79"/>
      <c r="I69" s="35">
        <v>6</v>
      </c>
      <c r="J69" s="9">
        <f t="shared" si="2"/>
        <v>0</v>
      </c>
      <c r="K69" s="39"/>
      <c r="L69" s="39"/>
      <c r="M69" s="39"/>
      <c r="N69" s="39"/>
      <c r="O69" s="39"/>
      <c r="P69" s="39"/>
      <c r="Q69" s="39"/>
      <c r="R69" s="39"/>
      <c r="S69" s="10">
        <f t="shared" si="12"/>
        <v>0</v>
      </c>
      <c r="T69" s="10">
        <v>100000</v>
      </c>
      <c r="U69" s="10">
        <f t="shared" ref="U69:U76" si="14">T69*S69</f>
        <v>0</v>
      </c>
      <c r="V69" s="4"/>
      <c r="W69" s="4"/>
      <c r="X69" s="11"/>
      <c r="Y69" s="4"/>
    </row>
    <row r="70" spans="2:25" ht="37.5" hidden="1">
      <c r="B70" s="65"/>
      <c r="C70" s="63"/>
      <c r="D70" s="53" t="s">
        <v>47</v>
      </c>
      <c r="E70" s="61"/>
      <c r="F70" s="12">
        <v>0.83333333333333337</v>
      </c>
      <c r="G70" s="78" t="s">
        <v>78</v>
      </c>
      <c r="H70" s="79"/>
      <c r="I70" s="36"/>
      <c r="J70" s="9" t="str">
        <f t="shared" si="2"/>
        <v/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37.5" hidden="1">
      <c r="B71" s="65"/>
      <c r="C71" s="63"/>
      <c r="D71" s="51" t="s">
        <v>47</v>
      </c>
      <c r="E71" s="59" t="s">
        <v>104</v>
      </c>
      <c r="F71" s="5">
        <v>0.91666666666666663</v>
      </c>
      <c r="G71" s="73" t="s">
        <v>88</v>
      </c>
      <c r="H71" s="74"/>
      <c r="I71" s="34"/>
      <c r="J71" s="6" t="str">
        <f t="shared" si="2"/>
        <v/>
      </c>
      <c r="K71" s="38"/>
      <c r="L71" s="38"/>
      <c r="M71" s="38"/>
      <c r="N71" s="38"/>
      <c r="O71" s="38"/>
      <c r="P71" s="38"/>
      <c r="Q71" s="38">
        <v>2</v>
      </c>
      <c r="R71" s="38"/>
      <c r="S71" s="7">
        <f t="shared" si="12"/>
        <v>2</v>
      </c>
      <c r="T71" s="7">
        <v>100000</v>
      </c>
      <c r="U71" s="7">
        <f t="shared" si="14"/>
        <v>200000</v>
      </c>
      <c r="V71" s="4"/>
      <c r="Y71" s="4"/>
    </row>
    <row r="72" spans="2:25" ht="37.5" hidden="1">
      <c r="B72" s="65"/>
      <c r="C72" s="63"/>
      <c r="D72" s="52" t="s">
        <v>47</v>
      </c>
      <c r="E72" s="60"/>
      <c r="F72" s="8">
        <v>1</v>
      </c>
      <c r="G72" s="78" t="s">
        <v>88</v>
      </c>
      <c r="H72" s="79"/>
      <c r="I72" s="35"/>
      <c r="J72" s="9" t="str">
        <f t="shared" si="2"/>
        <v/>
      </c>
      <c r="K72" s="39"/>
      <c r="L72" s="39"/>
      <c r="M72" s="39"/>
      <c r="N72" s="39"/>
      <c r="O72" s="39"/>
      <c r="P72" s="39"/>
      <c r="Q72" s="39"/>
      <c r="R72" s="39"/>
      <c r="S72" s="10">
        <f t="shared" si="12"/>
        <v>0</v>
      </c>
      <c r="T72" s="10">
        <v>100000</v>
      </c>
      <c r="U72" s="10">
        <f t="shared" si="14"/>
        <v>0</v>
      </c>
      <c r="V72" s="4"/>
      <c r="Y72" s="4"/>
    </row>
    <row r="73" spans="2:25" ht="37.5" hidden="1">
      <c r="B73" s="65"/>
      <c r="C73" s="63"/>
      <c r="D73" s="52" t="s">
        <v>47</v>
      </c>
      <c r="E73" s="60"/>
      <c r="F73" s="8">
        <v>8.3333333333333329E-2</v>
      </c>
      <c r="G73" s="78" t="s">
        <v>88</v>
      </c>
      <c r="H73" s="79"/>
      <c r="I73" s="35">
        <v>40</v>
      </c>
      <c r="J73" s="9">
        <f t="shared" si="2"/>
        <v>2.5000000000000001E-2</v>
      </c>
      <c r="K73" s="39">
        <v>1</v>
      </c>
      <c r="L73" s="39"/>
      <c r="M73" s="39"/>
      <c r="N73" s="39"/>
      <c r="O73" s="39"/>
      <c r="P73" s="39"/>
      <c r="Q73" s="39"/>
      <c r="R73" s="39"/>
      <c r="S73" s="10">
        <f t="shared" si="12"/>
        <v>1</v>
      </c>
      <c r="T73" s="10">
        <v>100000</v>
      </c>
      <c r="U73" s="10">
        <f t="shared" si="14"/>
        <v>100000</v>
      </c>
      <c r="V73" s="4"/>
      <c r="Y73" s="4"/>
    </row>
    <row r="74" spans="2:25" ht="37.5" hidden="1">
      <c r="B74" s="65"/>
      <c r="C74" s="63"/>
      <c r="D74" s="52" t="s">
        <v>47</v>
      </c>
      <c r="E74" s="60"/>
      <c r="F74" s="8">
        <v>0.16666666666666666</v>
      </c>
      <c r="G74" s="78" t="s">
        <v>88</v>
      </c>
      <c r="H74" s="79"/>
      <c r="I74" s="35">
        <v>80</v>
      </c>
      <c r="J74" s="9">
        <f t="shared" si="2"/>
        <v>1.2500000000000001E-2</v>
      </c>
      <c r="K74" s="39">
        <v>1</v>
      </c>
      <c r="L74" s="39"/>
      <c r="M74" s="39"/>
      <c r="N74" s="39"/>
      <c r="O74" s="39"/>
      <c r="P74" s="39"/>
      <c r="Q74" s="39"/>
      <c r="R74" s="39"/>
      <c r="S74" s="10">
        <f t="shared" si="12"/>
        <v>1</v>
      </c>
      <c r="T74" s="10">
        <v>100000</v>
      </c>
      <c r="U74" s="10">
        <f t="shared" si="14"/>
        <v>100000</v>
      </c>
      <c r="V74" s="4"/>
      <c r="W74" s="4"/>
      <c r="X74" s="4"/>
      <c r="Y74" s="4"/>
    </row>
    <row r="75" spans="2:25" ht="37.5" hidden="1">
      <c r="B75" s="65"/>
      <c r="C75" s="63"/>
      <c r="D75" s="52" t="s">
        <v>47</v>
      </c>
      <c r="E75" s="60"/>
      <c r="F75" s="8">
        <v>0.25</v>
      </c>
      <c r="G75" s="78" t="s">
        <v>88</v>
      </c>
      <c r="H75" s="79"/>
      <c r="I75" s="35">
        <v>60</v>
      </c>
      <c r="J75" s="9">
        <f t="shared" si="2"/>
        <v>1.6666666666666666E-2</v>
      </c>
      <c r="K75" s="39">
        <v>1</v>
      </c>
      <c r="L75" s="39"/>
      <c r="M75" s="39"/>
      <c r="N75" s="39"/>
      <c r="O75" s="39"/>
      <c r="P75" s="39"/>
      <c r="Q75" s="39"/>
      <c r="R75" s="39"/>
      <c r="S75" s="10">
        <f t="shared" si="12"/>
        <v>1</v>
      </c>
      <c r="T75" s="10">
        <v>100000</v>
      </c>
      <c r="U75" s="10">
        <f t="shared" si="14"/>
        <v>100000</v>
      </c>
      <c r="V75" s="4"/>
      <c r="Y75" s="4"/>
    </row>
    <row r="76" spans="2:25" ht="37.5" hidden="1">
      <c r="B76" s="65"/>
      <c r="C76" s="63"/>
      <c r="D76" s="53" t="s">
        <v>47</v>
      </c>
      <c r="E76" s="61"/>
      <c r="F76" s="14">
        <v>0.33333333333333331</v>
      </c>
      <c r="G76" s="78" t="s">
        <v>88</v>
      </c>
      <c r="H76" s="79"/>
      <c r="I76" s="37">
        <v>60</v>
      </c>
      <c r="J76" s="9">
        <f t="shared" si="2"/>
        <v>1.6666666666666666E-2</v>
      </c>
      <c r="K76" s="40">
        <v>1</v>
      </c>
      <c r="L76" s="40"/>
      <c r="M76" s="40"/>
      <c r="N76" s="40"/>
      <c r="O76" s="40"/>
      <c r="P76" s="40"/>
      <c r="Q76" s="40"/>
      <c r="R76" s="40"/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31.5" hidden="1" customHeight="1">
      <c r="B77" s="65">
        <v>46087</v>
      </c>
      <c r="C77" s="62" t="s">
        <v>16</v>
      </c>
      <c r="D77" s="51" t="s">
        <v>47</v>
      </c>
      <c r="E77" s="59" t="s">
        <v>103</v>
      </c>
      <c r="F77" s="5">
        <v>0.41666666666666669</v>
      </c>
      <c r="G77" s="73" t="s">
        <v>79</v>
      </c>
      <c r="H77" s="74"/>
      <c r="I77" s="34">
        <v>82</v>
      </c>
      <c r="J77" s="6">
        <f t="shared" si="2"/>
        <v>2.4390243902439025E-2</v>
      </c>
      <c r="K77" s="38"/>
      <c r="L77" s="38"/>
      <c r="M77" s="38"/>
      <c r="N77" s="38"/>
      <c r="O77" s="38"/>
      <c r="P77" s="38"/>
      <c r="Q77" s="38"/>
      <c r="R77" s="38">
        <v>2</v>
      </c>
      <c r="S77" s="7">
        <f>SUM(K77:R77)</f>
        <v>2</v>
      </c>
      <c r="T77" s="7">
        <v>100000</v>
      </c>
      <c r="U77" s="7">
        <f>T77*S77</f>
        <v>200000</v>
      </c>
      <c r="V77" s="4"/>
      <c r="W77" s="4"/>
      <c r="X77" s="4"/>
      <c r="Y77" s="4"/>
    </row>
    <row r="78" spans="2:25" ht="37.5" hidden="1">
      <c r="B78" s="65"/>
      <c r="C78" s="63"/>
      <c r="D78" s="52" t="s">
        <v>47</v>
      </c>
      <c r="E78" s="60"/>
      <c r="F78" s="8">
        <v>0.5</v>
      </c>
      <c r="G78" s="78" t="s">
        <v>79</v>
      </c>
      <c r="H78" s="79"/>
      <c r="I78" s="35">
        <v>84</v>
      </c>
      <c r="J78" s="9">
        <f t="shared" si="2"/>
        <v>0</v>
      </c>
      <c r="K78" s="39"/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0</v>
      </c>
      <c r="T78" s="10">
        <v>100000</v>
      </c>
      <c r="U78" s="10">
        <f t="shared" ref="U78:U79" si="16">T78*S78</f>
        <v>0</v>
      </c>
      <c r="V78" s="4"/>
      <c r="W78" s="4"/>
      <c r="X78" s="4"/>
      <c r="Y78" s="4"/>
    </row>
    <row r="79" spans="2:25" ht="37.5" hidden="1">
      <c r="B79" s="65"/>
      <c r="C79" s="63"/>
      <c r="D79" s="52" t="s">
        <v>47</v>
      </c>
      <c r="E79" s="60"/>
      <c r="F79" s="8">
        <v>0.58333333333333337</v>
      </c>
      <c r="G79" s="78" t="s">
        <v>79</v>
      </c>
      <c r="H79" s="79"/>
      <c r="I79" s="35">
        <v>84</v>
      </c>
      <c r="J79" s="9">
        <f t="shared" si="2"/>
        <v>0</v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37.5" hidden="1">
      <c r="B80" s="65"/>
      <c r="C80" s="63"/>
      <c r="D80" s="52" t="s">
        <v>47</v>
      </c>
      <c r="E80" s="60"/>
      <c r="F80" s="8">
        <v>0.66666666666666663</v>
      </c>
      <c r="G80" s="78" t="s">
        <v>79</v>
      </c>
      <c r="H80" s="79"/>
      <c r="I80" s="35">
        <v>84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37.5" hidden="1">
      <c r="B81" s="65"/>
      <c r="C81" s="63"/>
      <c r="D81" s="52" t="s">
        <v>47</v>
      </c>
      <c r="E81" s="60"/>
      <c r="F81" s="8">
        <v>0.75</v>
      </c>
      <c r="G81" s="78" t="s">
        <v>79</v>
      </c>
      <c r="H81" s="79"/>
      <c r="I81" s="35">
        <v>84</v>
      </c>
      <c r="J81" s="9">
        <f t="shared" si="2"/>
        <v>2.3809523809523808E-2</v>
      </c>
      <c r="K81" s="39">
        <v>2</v>
      </c>
      <c r="L81" s="39"/>
      <c r="M81" s="39"/>
      <c r="N81" s="39"/>
      <c r="O81" s="39"/>
      <c r="P81" s="39"/>
      <c r="Q81" s="39"/>
      <c r="R81" s="39"/>
      <c r="S81" s="10">
        <f t="shared" si="15"/>
        <v>2</v>
      </c>
      <c r="T81" s="10">
        <v>100000</v>
      </c>
      <c r="U81" s="10">
        <f t="shared" ref="U81:U88" si="17">T81*S81</f>
        <v>200000</v>
      </c>
      <c r="V81" s="4"/>
      <c r="W81" s="4"/>
      <c r="X81" s="11"/>
      <c r="Y81" s="4"/>
    </row>
    <row r="82" spans="2:25" ht="37.5" hidden="1">
      <c r="B82" s="65"/>
      <c r="C82" s="63"/>
      <c r="D82" s="53" t="s">
        <v>47</v>
      </c>
      <c r="E82" s="61"/>
      <c r="F82" s="12">
        <v>0.83333333333333337</v>
      </c>
      <c r="G82" s="78" t="s">
        <v>79</v>
      </c>
      <c r="H82" s="79"/>
      <c r="I82" s="36">
        <v>82</v>
      </c>
      <c r="J82" s="9">
        <f t="shared" si="2"/>
        <v>0</v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37.5" hidden="1">
      <c r="B83" s="65"/>
      <c r="C83" s="63"/>
      <c r="D83" s="51" t="s">
        <v>47</v>
      </c>
      <c r="E83" s="59" t="s">
        <v>104</v>
      </c>
      <c r="F83" s="5">
        <v>0.91666666666666663</v>
      </c>
      <c r="G83" s="73" t="s">
        <v>86</v>
      </c>
      <c r="H83" s="74"/>
      <c r="I83" s="34">
        <v>82</v>
      </c>
      <c r="J83" s="6">
        <f t="shared" ref="J83:J136" si="18">IFERROR(S83/I83,"")</f>
        <v>4.878048780487805E-2</v>
      </c>
      <c r="K83" s="38"/>
      <c r="L83" s="38"/>
      <c r="M83" s="38"/>
      <c r="N83" s="38"/>
      <c r="O83" s="38"/>
      <c r="P83" s="38"/>
      <c r="Q83" s="38">
        <v>3</v>
      </c>
      <c r="R83" s="38">
        <v>1</v>
      </c>
      <c r="S83" s="7">
        <f t="shared" si="15"/>
        <v>4</v>
      </c>
      <c r="T83" s="7">
        <v>100000</v>
      </c>
      <c r="U83" s="7">
        <f t="shared" si="17"/>
        <v>400000</v>
      </c>
      <c r="V83" s="4"/>
      <c r="Y83" s="4"/>
    </row>
    <row r="84" spans="2:25" ht="37.5" hidden="1">
      <c r="B84" s="65"/>
      <c r="C84" s="63"/>
      <c r="D84" s="52" t="s">
        <v>47</v>
      </c>
      <c r="E84" s="60"/>
      <c r="F84" s="8">
        <v>1</v>
      </c>
      <c r="G84" s="78" t="s">
        <v>86</v>
      </c>
      <c r="H84" s="79"/>
      <c r="I84" s="35">
        <v>46</v>
      </c>
      <c r="J84" s="9">
        <f t="shared" si="18"/>
        <v>2.1739130434782608E-2</v>
      </c>
      <c r="K84" s="39"/>
      <c r="L84" s="39"/>
      <c r="M84" s="39"/>
      <c r="N84" s="39"/>
      <c r="O84" s="39"/>
      <c r="P84" s="39"/>
      <c r="Q84" s="39"/>
      <c r="R84" s="39">
        <v>1</v>
      </c>
      <c r="S84" s="10">
        <f t="shared" si="15"/>
        <v>1</v>
      </c>
      <c r="T84" s="10">
        <v>100000</v>
      </c>
      <c r="U84" s="10">
        <f t="shared" si="17"/>
        <v>100000</v>
      </c>
      <c r="V84" s="4"/>
      <c r="Y84" s="4"/>
    </row>
    <row r="85" spans="2:25" ht="37.5" hidden="1">
      <c r="B85" s="65"/>
      <c r="C85" s="63"/>
      <c r="D85" s="52" t="s">
        <v>47</v>
      </c>
      <c r="E85" s="60"/>
      <c r="F85" s="8">
        <v>8.3333333333333329E-2</v>
      </c>
      <c r="G85" s="78" t="s">
        <v>86</v>
      </c>
      <c r="H85" s="79"/>
      <c r="I85" s="35">
        <v>40</v>
      </c>
      <c r="J85" s="9">
        <f t="shared" si="18"/>
        <v>0</v>
      </c>
      <c r="K85" s="39"/>
      <c r="L85" s="39"/>
      <c r="M85" s="39"/>
      <c r="N85" s="39"/>
      <c r="O85" s="39"/>
      <c r="P85" s="39"/>
      <c r="Q85" s="39"/>
      <c r="R85" s="39"/>
      <c r="S85" s="10">
        <f t="shared" si="15"/>
        <v>0</v>
      </c>
      <c r="T85" s="10">
        <v>100000</v>
      </c>
      <c r="U85" s="10">
        <f t="shared" si="17"/>
        <v>0</v>
      </c>
      <c r="V85" s="4"/>
      <c r="Y85" s="4"/>
    </row>
    <row r="86" spans="2:25" ht="37.5" hidden="1">
      <c r="B86" s="65"/>
      <c r="C86" s="63"/>
      <c r="D86" s="52" t="s">
        <v>47</v>
      </c>
      <c r="E86" s="60"/>
      <c r="F86" s="8">
        <v>0.16666666666666666</v>
      </c>
      <c r="G86" s="78" t="s">
        <v>86</v>
      </c>
      <c r="H86" s="79"/>
      <c r="I86" s="35">
        <v>82</v>
      </c>
      <c r="J86" s="9">
        <f t="shared" si="18"/>
        <v>0</v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37.5" hidden="1">
      <c r="B87" s="65"/>
      <c r="C87" s="63"/>
      <c r="D87" s="52" t="s">
        <v>47</v>
      </c>
      <c r="E87" s="60"/>
      <c r="F87" s="8">
        <v>0.25</v>
      </c>
      <c r="G87" s="78" t="s">
        <v>86</v>
      </c>
      <c r="H87" s="79"/>
      <c r="I87" s="35">
        <v>30</v>
      </c>
      <c r="J87" s="9">
        <f t="shared" si="18"/>
        <v>0</v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37.5" hidden="1">
      <c r="B88" s="65"/>
      <c r="C88" s="63"/>
      <c r="D88" s="53" t="s">
        <v>47</v>
      </c>
      <c r="E88" s="61"/>
      <c r="F88" s="14">
        <v>0.33333333333333331</v>
      </c>
      <c r="G88" s="78" t="s">
        <v>86</v>
      </c>
      <c r="H88" s="79"/>
      <c r="I88" s="37"/>
      <c r="J88" s="9" t="str">
        <f t="shared" si="18"/>
        <v/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45.75" hidden="1" customHeight="1">
      <c r="B89" s="65">
        <v>46088</v>
      </c>
      <c r="C89" s="62" t="s">
        <v>16</v>
      </c>
      <c r="D89" s="51" t="s">
        <v>54</v>
      </c>
      <c r="E89" s="59" t="s">
        <v>103</v>
      </c>
      <c r="F89" s="5">
        <v>0.41666666666666669</v>
      </c>
      <c r="G89" s="73" t="s">
        <v>76</v>
      </c>
      <c r="H89" s="74"/>
      <c r="I89" s="34"/>
      <c r="J89" s="6" t="str">
        <f t="shared" si="18"/>
        <v/>
      </c>
      <c r="K89" s="38"/>
      <c r="L89" s="38"/>
      <c r="M89" s="38"/>
      <c r="N89" s="38"/>
      <c r="O89" s="38"/>
      <c r="P89" s="38"/>
      <c r="Q89" s="38">
        <v>7</v>
      </c>
      <c r="R89" s="38"/>
      <c r="S89" s="7">
        <f>SUM(K89:R89)</f>
        <v>7</v>
      </c>
      <c r="T89" s="7">
        <v>100000</v>
      </c>
      <c r="U89" s="7">
        <f>T89*S89</f>
        <v>700000</v>
      </c>
      <c r="V89" s="4"/>
      <c r="W89" s="4"/>
      <c r="X89" s="4"/>
      <c r="Y89" s="4"/>
    </row>
    <row r="90" spans="2:25" ht="37.5" hidden="1">
      <c r="B90" s="65"/>
      <c r="C90" s="63"/>
      <c r="D90" s="52" t="s">
        <v>54</v>
      </c>
      <c r="E90" s="60"/>
      <c r="F90" s="8">
        <v>0.5</v>
      </c>
      <c r="G90" s="78" t="s">
        <v>76</v>
      </c>
      <c r="H90" s="79"/>
      <c r="I90" s="35"/>
      <c r="J90" s="9" t="str">
        <f t="shared" si="18"/>
        <v/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37.5" hidden="1">
      <c r="B91" s="65"/>
      <c r="C91" s="63"/>
      <c r="D91" s="52" t="s">
        <v>54</v>
      </c>
      <c r="E91" s="60"/>
      <c r="F91" s="8">
        <v>0.58333333333333337</v>
      </c>
      <c r="G91" s="78" t="s">
        <v>76</v>
      </c>
      <c r="H91" s="79"/>
      <c r="I91" s="35">
        <v>25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37.5" hidden="1">
      <c r="B92" s="65"/>
      <c r="C92" s="63"/>
      <c r="D92" s="52" t="s">
        <v>54</v>
      </c>
      <c r="E92" s="60"/>
      <c r="F92" s="8">
        <v>0.66666666666666663</v>
      </c>
      <c r="G92" s="78" t="s">
        <v>76</v>
      </c>
      <c r="H92" s="79"/>
      <c r="I92" s="35">
        <v>50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37.5" hidden="1">
      <c r="B93" s="65"/>
      <c r="C93" s="63"/>
      <c r="D93" s="52" t="s">
        <v>54</v>
      </c>
      <c r="E93" s="60"/>
      <c r="F93" s="8">
        <v>0.75</v>
      </c>
      <c r="G93" s="78" t="s">
        <v>76</v>
      </c>
      <c r="H93" s="79"/>
      <c r="I93" s="35">
        <v>45</v>
      </c>
      <c r="J93" s="9">
        <f t="shared" si="18"/>
        <v>0</v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37.5" hidden="1">
      <c r="B94" s="65"/>
      <c r="C94" s="63"/>
      <c r="D94" s="53" t="s">
        <v>54</v>
      </c>
      <c r="E94" s="61"/>
      <c r="F94" s="12">
        <v>0.83333333333333337</v>
      </c>
      <c r="G94" s="78" t="s">
        <v>76</v>
      </c>
      <c r="H94" s="79"/>
      <c r="I94" s="36">
        <v>60</v>
      </c>
      <c r="J94" s="9">
        <f t="shared" si="18"/>
        <v>0</v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37.5" hidden="1">
      <c r="B95" s="65"/>
      <c r="C95" s="63"/>
      <c r="D95" s="51" t="s">
        <v>54</v>
      </c>
      <c r="E95" s="59" t="s">
        <v>104</v>
      </c>
      <c r="F95" s="5">
        <v>0.91666666666666663</v>
      </c>
      <c r="G95" s="73" t="s">
        <v>89</v>
      </c>
      <c r="H95" s="74"/>
      <c r="I95" s="34">
        <v>40</v>
      </c>
      <c r="J95" s="6">
        <f t="shared" si="18"/>
        <v>0.25</v>
      </c>
      <c r="K95" s="38"/>
      <c r="L95" s="38"/>
      <c r="M95" s="38"/>
      <c r="N95" s="38"/>
      <c r="O95" s="38"/>
      <c r="P95" s="38"/>
      <c r="Q95" s="38">
        <v>10</v>
      </c>
      <c r="R95" s="38"/>
      <c r="S95" s="7">
        <f t="shared" si="19"/>
        <v>10</v>
      </c>
      <c r="T95" s="7">
        <v>100000</v>
      </c>
      <c r="U95" s="7">
        <f t="shared" si="21"/>
        <v>1000000</v>
      </c>
      <c r="V95" s="4"/>
      <c r="Y95" s="4"/>
    </row>
    <row r="96" spans="2:25" ht="37.5" hidden="1">
      <c r="B96" s="65"/>
      <c r="C96" s="63"/>
      <c r="D96" s="52" t="s">
        <v>54</v>
      </c>
      <c r="E96" s="60"/>
      <c r="F96" s="8">
        <v>1</v>
      </c>
      <c r="G96" s="78" t="s">
        <v>89</v>
      </c>
      <c r="H96" s="79"/>
      <c r="I96" s="35">
        <v>50</v>
      </c>
      <c r="J96" s="9">
        <f t="shared" si="18"/>
        <v>0.04</v>
      </c>
      <c r="K96" s="39"/>
      <c r="L96" s="39"/>
      <c r="M96" s="39">
        <v>2</v>
      </c>
      <c r="N96" s="39"/>
      <c r="O96" s="39"/>
      <c r="P96" s="39"/>
      <c r="Q96" s="39"/>
      <c r="R96" s="39"/>
      <c r="S96" s="10">
        <f t="shared" si="19"/>
        <v>2</v>
      </c>
      <c r="T96" s="10">
        <v>100000</v>
      </c>
      <c r="U96" s="10">
        <f t="shared" si="21"/>
        <v>200000</v>
      </c>
      <c r="V96" s="4"/>
      <c r="Y96" s="4"/>
    </row>
    <row r="97" spans="2:25" ht="37.5" hidden="1">
      <c r="B97" s="65"/>
      <c r="C97" s="63"/>
      <c r="D97" s="52" t="s">
        <v>54</v>
      </c>
      <c r="E97" s="60"/>
      <c r="F97" s="8">
        <v>8.3333333333333329E-2</v>
      </c>
      <c r="G97" s="78" t="s">
        <v>89</v>
      </c>
      <c r="H97" s="79"/>
      <c r="I97" s="35">
        <v>50</v>
      </c>
      <c r="J97" s="9">
        <f t="shared" si="18"/>
        <v>0.04</v>
      </c>
      <c r="K97" s="39"/>
      <c r="L97" s="39"/>
      <c r="M97" s="39">
        <v>2</v>
      </c>
      <c r="N97" s="39"/>
      <c r="O97" s="39"/>
      <c r="P97" s="39"/>
      <c r="Q97" s="39"/>
      <c r="R97" s="39"/>
      <c r="S97" s="10">
        <f t="shared" si="19"/>
        <v>2</v>
      </c>
      <c r="T97" s="10">
        <v>100000</v>
      </c>
      <c r="U97" s="10">
        <f t="shared" si="21"/>
        <v>200000</v>
      </c>
      <c r="V97" s="4"/>
      <c r="Y97" s="4"/>
    </row>
    <row r="98" spans="2:25" ht="37.5" hidden="1">
      <c r="B98" s="65"/>
      <c r="C98" s="63"/>
      <c r="D98" s="52" t="s">
        <v>54</v>
      </c>
      <c r="E98" s="60"/>
      <c r="F98" s="8">
        <v>0.16666666666666666</v>
      </c>
      <c r="G98" s="78" t="s">
        <v>89</v>
      </c>
      <c r="H98" s="79"/>
      <c r="I98" s="35">
        <v>50</v>
      </c>
      <c r="J98" s="9">
        <f t="shared" si="18"/>
        <v>0</v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37.5" hidden="1">
      <c r="B99" s="65"/>
      <c r="C99" s="63"/>
      <c r="D99" s="52" t="s">
        <v>54</v>
      </c>
      <c r="E99" s="60"/>
      <c r="F99" s="8">
        <v>0.25</v>
      </c>
      <c r="G99" s="78" t="s">
        <v>89</v>
      </c>
      <c r="H99" s="79"/>
      <c r="I99" s="35">
        <v>50</v>
      </c>
      <c r="J99" s="9">
        <f t="shared" si="18"/>
        <v>0</v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37.5" hidden="1">
      <c r="B100" s="65"/>
      <c r="C100" s="63"/>
      <c r="D100" s="53" t="s">
        <v>54</v>
      </c>
      <c r="E100" s="61"/>
      <c r="F100" s="14">
        <v>0.33333333333333331</v>
      </c>
      <c r="G100" s="78" t="s">
        <v>89</v>
      </c>
      <c r="H100" s="79"/>
      <c r="I100" s="37"/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5">
        <v>46089</v>
      </c>
      <c r="C101" s="62" t="s">
        <v>16</v>
      </c>
      <c r="D101" s="51"/>
      <c r="E101" s="59" t="s">
        <v>103</v>
      </c>
      <c r="F101" s="5">
        <v>0.41666666666666669</v>
      </c>
      <c r="G101" s="73"/>
      <c r="H101" s="74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8.75">
      <c r="B102" s="65"/>
      <c r="C102" s="63"/>
      <c r="D102" s="52"/>
      <c r="E102" s="60"/>
      <c r="F102" s="8">
        <v>0.5</v>
      </c>
      <c r="G102" s="78"/>
      <c r="H102" s="79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8.75">
      <c r="B103" s="65"/>
      <c r="C103" s="63"/>
      <c r="D103" s="52"/>
      <c r="E103" s="60"/>
      <c r="F103" s="8">
        <v>0.58333333333333337</v>
      </c>
      <c r="G103" s="78"/>
      <c r="H103" s="79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8.75">
      <c r="B104" s="65"/>
      <c r="C104" s="63"/>
      <c r="D104" s="52"/>
      <c r="E104" s="60"/>
      <c r="F104" s="8">
        <v>0.66666666666666663</v>
      </c>
      <c r="G104" s="78"/>
      <c r="H104" s="79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8.75">
      <c r="B105" s="65"/>
      <c r="C105" s="63"/>
      <c r="D105" s="52"/>
      <c r="E105" s="60"/>
      <c r="F105" s="8">
        <v>0.75</v>
      </c>
      <c r="G105" s="78"/>
      <c r="H105" s="79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8.75">
      <c r="B106" s="65"/>
      <c r="C106" s="63"/>
      <c r="D106" s="53"/>
      <c r="E106" s="61"/>
      <c r="F106" s="12">
        <v>0.83333333333333337</v>
      </c>
      <c r="G106" s="78"/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8.75">
      <c r="B107" s="65"/>
      <c r="C107" s="63"/>
      <c r="D107" s="51"/>
      <c r="E107" s="59" t="s">
        <v>104</v>
      </c>
      <c r="F107" s="5">
        <v>0.91666666666666663</v>
      </c>
      <c r="G107" s="73"/>
      <c r="H107" s="74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8.75">
      <c r="B108" s="65"/>
      <c r="C108" s="63"/>
      <c r="D108" s="52"/>
      <c r="E108" s="60"/>
      <c r="F108" s="8">
        <v>1</v>
      </c>
      <c r="G108" s="78"/>
      <c r="H108" s="79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8.75">
      <c r="B109" s="65"/>
      <c r="C109" s="63"/>
      <c r="D109" s="52"/>
      <c r="E109" s="60"/>
      <c r="F109" s="8">
        <v>8.3333333333333329E-2</v>
      </c>
      <c r="G109" s="78"/>
      <c r="H109" s="79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8.75">
      <c r="B110" s="65"/>
      <c r="C110" s="63"/>
      <c r="D110" s="52"/>
      <c r="E110" s="60"/>
      <c r="F110" s="8">
        <v>0.16666666666666666</v>
      </c>
      <c r="G110" s="78"/>
      <c r="H110" s="79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8.75">
      <c r="B111" s="65"/>
      <c r="C111" s="63"/>
      <c r="D111" s="52"/>
      <c r="E111" s="60"/>
      <c r="F111" s="8">
        <v>0.25</v>
      </c>
      <c r="G111" s="78"/>
      <c r="H111" s="79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8.75">
      <c r="B112" s="65"/>
      <c r="C112" s="63"/>
      <c r="D112" s="53"/>
      <c r="E112" s="61"/>
      <c r="F112" s="14">
        <v>0.33333333333333331</v>
      </c>
      <c r="G112" s="78"/>
      <c r="H112" s="79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39.75" customHeight="1">
      <c r="B113" s="65">
        <v>46090</v>
      </c>
      <c r="C113" s="62" t="s">
        <v>16</v>
      </c>
      <c r="D113" s="51" t="s">
        <v>54</v>
      </c>
      <c r="E113" s="59" t="s">
        <v>103</v>
      </c>
      <c r="F113" s="5">
        <v>0.41666666666666669</v>
      </c>
      <c r="G113" s="73" t="s">
        <v>74</v>
      </c>
      <c r="H113" s="74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37.5">
      <c r="B114" s="65"/>
      <c r="C114" s="63"/>
      <c r="D114" s="52" t="s">
        <v>54</v>
      </c>
      <c r="E114" s="60"/>
      <c r="F114" s="8">
        <v>0.5</v>
      </c>
      <c r="G114" s="78" t="s">
        <v>74</v>
      </c>
      <c r="H114" s="79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37.5">
      <c r="B115" s="65"/>
      <c r="C115" s="63"/>
      <c r="D115" s="52" t="s">
        <v>54</v>
      </c>
      <c r="E115" s="60"/>
      <c r="F115" s="8">
        <v>0.58333333333333337</v>
      </c>
      <c r="G115" s="78" t="s">
        <v>74</v>
      </c>
      <c r="H115" s="79"/>
      <c r="I115" s="35">
        <v>10</v>
      </c>
      <c r="J115" s="9">
        <f t="shared" si="18"/>
        <v>0.5</v>
      </c>
      <c r="K115" s="39"/>
      <c r="L115" s="39"/>
      <c r="M115" s="39"/>
      <c r="N115" s="39"/>
      <c r="O115" s="39"/>
      <c r="P115" s="39"/>
      <c r="Q115" s="39">
        <v>5</v>
      </c>
      <c r="R115" s="39"/>
      <c r="S115" s="10">
        <f t="shared" si="25"/>
        <v>5</v>
      </c>
      <c r="T115" s="10">
        <v>100000</v>
      </c>
      <c r="U115" s="10">
        <f t="shared" si="26"/>
        <v>500000</v>
      </c>
      <c r="V115" s="4"/>
      <c r="W115" s="4"/>
      <c r="X115" s="4"/>
      <c r="Y115" s="4"/>
    </row>
    <row r="116" spans="2:25" ht="37.5">
      <c r="B116" s="65"/>
      <c r="C116" s="63"/>
      <c r="D116" s="52" t="s">
        <v>54</v>
      </c>
      <c r="E116" s="60"/>
      <c r="F116" s="8">
        <v>0.66666666666666663</v>
      </c>
      <c r="G116" s="78" t="s">
        <v>74</v>
      </c>
      <c r="H116" s="79"/>
      <c r="I116" s="35">
        <v>50</v>
      </c>
      <c r="J116" s="9">
        <f t="shared" si="18"/>
        <v>0</v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37.5">
      <c r="B117" s="65"/>
      <c r="C117" s="63"/>
      <c r="D117" s="52" t="s">
        <v>54</v>
      </c>
      <c r="E117" s="60"/>
      <c r="F117" s="8">
        <v>0.75</v>
      </c>
      <c r="G117" s="78" t="s">
        <v>74</v>
      </c>
      <c r="H117" s="79"/>
      <c r="I117" s="35">
        <v>60</v>
      </c>
      <c r="J117" s="9">
        <f t="shared" si="18"/>
        <v>0</v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37.5">
      <c r="B118" s="65"/>
      <c r="C118" s="63"/>
      <c r="D118" s="53" t="s">
        <v>54</v>
      </c>
      <c r="E118" s="61"/>
      <c r="F118" s="12">
        <v>0.83333333333333337</v>
      </c>
      <c r="G118" s="78" t="s">
        <v>74</v>
      </c>
      <c r="H118" s="79"/>
      <c r="I118" s="36">
        <v>60</v>
      </c>
      <c r="J118" s="9">
        <f t="shared" si="18"/>
        <v>0</v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8.75">
      <c r="B119" s="65"/>
      <c r="C119" s="63"/>
      <c r="D119" s="51"/>
      <c r="E119" s="59" t="s">
        <v>104</v>
      </c>
      <c r="F119" s="5">
        <v>0.91666666666666663</v>
      </c>
      <c r="G119" s="73"/>
      <c r="H119" s="74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8.75">
      <c r="B120" s="65"/>
      <c r="C120" s="63"/>
      <c r="D120" s="52"/>
      <c r="E120" s="60"/>
      <c r="F120" s="8">
        <v>1</v>
      </c>
      <c r="G120" s="78"/>
      <c r="H120" s="79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8.75">
      <c r="B121" s="65"/>
      <c r="C121" s="63"/>
      <c r="D121" s="52"/>
      <c r="E121" s="60"/>
      <c r="F121" s="8">
        <v>8.3333333333333329E-2</v>
      </c>
      <c r="G121" s="78"/>
      <c r="H121" s="79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8.75">
      <c r="B122" s="65"/>
      <c r="C122" s="63"/>
      <c r="D122" s="52"/>
      <c r="E122" s="60"/>
      <c r="F122" s="8">
        <v>0.16666666666666666</v>
      </c>
      <c r="G122" s="78"/>
      <c r="H122" s="79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8.75">
      <c r="B123" s="65"/>
      <c r="C123" s="63"/>
      <c r="D123" s="52"/>
      <c r="E123" s="60"/>
      <c r="F123" s="8">
        <v>0.25</v>
      </c>
      <c r="G123" s="78"/>
      <c r="H123" s="79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8.75">
      <c r="B124" s="65"/>
      <c r="C124" s="63"/>
      <c r="D124" s="53"/>
      <c r="E124" s="61"/>
      <c r="F124" s="14">
        <v>0.33333333333333331</v>
      </c>
      <c r="G124" s="78"/>
      <c r="H124" s="79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33.75" customHeight="1">
      <c r="B125" s="65">
        <v>46091</v>
      </c>
      <c r="C125" s="62" t="s">
        <v>16</v>
      </c>
      <c r="D125" s="51" t="s">
        <v>53</v>
      </c>
      <c r="E125" s="59" t="s">
        <v>103</v>
      </c>
      <c r="F125" s="5">
        <v>0.41666666666666669</v>
      </c>
      <c r="G125" s="73" t="s">
        <v>79</v>
      </c>
      <c r="H125" s="74"/>
      <c r="I125" s="34">
        <v>0</v>
      </c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37.5">
      <c r="B126" s="65"/>
      <c r="C126" s="63"/>
      <c r="D126" s="52" t="s">
        <v>53</v>
      </c>
      <c r="E126" s="60"/>
      <c r="F126" s="8">
        <v>0.5</v>
      </c>
      <c r="G126" s="78" t="s">
        <v>79</v>
      </c>
      <c r="H126" s="79"/>
      <c r="I126" s="35">
        <v>60</v>
      </c>
      <c r="J126" s="9">
        <f t="shared" si="18"/>
        <v>0.15</v>
      </c>
      <c r="K126" s="39"/>
      <c r="L126" s="39"/>
      <c r="M126" s="39">
        <v>1</v>
      </c>
      <c r="N126" s="39"/>
      <c r="O126" s="39"/>
      <c r="P126" s="39"/>
      <c r="Q126" s="39">
        <v>8</v>
      </c>
      <c r="R126" s="39"/>
      <c r="S126" s="10">
        <f t="shared" ref="S126:S136" si="28">SUM(K126:R126)</f>
        <v>9</v>
      </c>
      <c r="T126" s="10">
        <v>100000</v>
      </c>
      <c r="U126" s="10">
        <f t="shared" ref="U126:U127" si="29">T126*S126</f>
        <v>900000</v>
      </c>
      <c r="V126" s="4"/>
      <c r="W126" s="4"/>
      <c r="X126" s="4"/>
      <c r="Y126" s="4"/>
    </row>
    <row r="127" spans="2:25" ht="37.5">
      <c r="B127" s="65"/>
      <c r="C127" s="63"/>
      <c r="D127" s="52" t="s">
        <v>53</v>
      </c>
      <c r="E127" s="60"/>
      <c r="F127" s="8">
        <v>0.58333333333333337</v>
      </c>
      <c r="G127" s="78" t="s">
        <v>79</v>
      </c>
      <c r="H127" s="79"/>
      <c r="I127" s="35">
        <v>65</v>
      </c>
      <c r="J127" s="9">
        <f t="shared" si="18"/>
        <v>0</v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37.5">
      <c r="B128" s="65"/>
      <c r="C128" s="63"/>
      <c r="D128" s="52" t="s">
        <v>53</v>
      </c>
      <c r="E128" s="60"/>
      <c r="F128" s="8">
        <v>0.66666666666666663</v>
      </c>
      <c r="G128" s="78" t="s">
        <v>79</v>
      </c>
      <c r="H128" s="79"/>
      <c r="I128" s="35">
        <v>65</v>
      </c>
      <c r="J128" s="9">
        <f t="shared" si="18"/>
        <v>0</v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37.5">
      <c r="B129" s="65"/>
      <c r="C129" s="63"/>
      <c r="D129" s="52" t="s">
        <v>53</v>
      </c>
      <c r="E129" s="60"/>
      <c r="F129" s="8">
        <v>0.75</v>
      </c>
      <c r="G129" s="78" t="s">
        <v>79</v>
      </c>
      <c r="H129" s="79"/>
      <c r="I129" s="35">
        <v>65</v>
      </c>
      <c r="J129" s="9">
        <f t="shared" si="18"/>
        <v>0</v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37.5">
      <c r="B130" s="65"/>
      <c r="C130" s="63"/>
      <c r="D130" s="53" t="s">
        <v>53</v>
      </c>
      <c r="E130" s="61"/>
      <c r="F130" s="12">
        <v>0.83333333333333337</v>
      </c>
      <c r="G130" s="78" t="s">
        <v>79</v>
      </c>
      <c r="H130" s="79"/>
      <c r="I130" s="36">
        <v>65</v>
      </c>
      <c r="J130" s="9">
        <f t="shared" si="18"/>
        <v>0</v>
      </c>
      <c r="K130" s="41"/>
      <c r="L130" s="41"/>
      <c r="M130" s="39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37.5">
      <c r="B131" s="65"/>
      <c r="C131" s="63"/>
      <c r="D131" s="51" t="s">
        <v>53</v>
      </c>
      <c r="E131" s="59" t="s">
        <v>104</v>
      </c>
      <c r="F131" s="5">
        <v>0.91666666666666663</v>
      </c>
      <c r="G131" s="73" t="s">
        <v>85</v>
      </c>
      <c r="H131" s="74"/>
      <c r="I131" s="34">
        <v>60</v>
      </c>
      <c r="J131" s="6">
        <f t="shared" si="18"/>
        <v>1.6666666666666666E-2</v>
      </c>
      <c r="K131" s="38">
        <v>1</v>
      </c>
      <c r="L131" s="38"/>
      <c r="M131" s="38"/>
      <c r="N131" s="38"/>
      <c r="O131" s="38"/>
      <c r="P131" s="38"/>
      <c r="Q131" s="38"/>
      <c r="R131" s="38"/>
      <c r="S131" s="7">
        <f t="shared" si="28"/>
        <v>1</v>
      </c>
      <c r="T131" s="7">
        <v>100000</v>
      </c>
      <c r="U131" s="7">
        <f t="shared" si="30"/>
        <v>100000</v>
      </c>
      <c r="V131" s="4"/>
      <c r="Y131" s="4"/>
    </row>
    <row r="132" spans="2:25" ht="37.5">
      <c r="B132" s="65"/>
      <c r="C132" s="63"/>
      <c r="D132" s="52" t="s">
        <v>53</v>
      </c>
      <c r="E132" s="60"/>
      <c r="F132" s="8">
        <v>1</v>
      </c>
      <c r="G132" s="78" t="s">
        <v>85</v>
      </c>
      <c r="H132" s="79"/>
      <c r="I132" s="35">
        <v>60</v>
      </c>
      <c r="J132" s="9">
        <f t="shared" si="18"/>
        <v>1.6666666666666666E-2</v>
      </c>
      <c r="K132" s="39">
        <v>1</v>
      </c>
      <c r="L132" s="39"/>
      <c r="M132" s="39"/>
      <c r="N132" s="39"/>
      <c r="O132" s="39"/>
      <c r="P132" s="39"/>
      <c r="Q132" s="39"/>
      <c r="R132" s="39"/>
      <c r="S132" s="10">
        <f t="shared" si="28"/>
        <v>1</v>
      </c>
      <c r="T132" s="10">
        <v>100000</v>
      </c>
      <c r="U132" s="10">
        <f t="shared" si="30"/>
        <v>100000</v>
      </c>
      <c r="V132" s="4"/>
      <c r="Y132" s="4"/>
    </row>
    <row r="133" spans="2:25" ht="37.5">
      <c r="B133" s="65"/>
      <c r="C133" s="63"/>
      <c r="D133" s="52" t="s">
        <v>53</v>
      </c>
      <c r="E133" s="60"/>
      <c r="F133" s="8">
        <v>8.3333333333333329E-2</v>
      </c>
      <c r="G133" s="78" t="s">
        <v>85</v>
      </c>
      <c r="H133" s="79"/>
      <c r="I133" s="35">
        <v>60</v>
      </c>
      <c r="J133" s="9">
        <f t="shared" si="18"/>
        <v>1.6666666666666666E-2</v>
      </c>
      <c r="K133" s="39">
        <v>1</v>
      </c>
      <c r="L133" s="39"/>
      <c r="M133" s="39"/>
      <c r="N133" s="39"/>
      <c r="O133" s="39"/>
      <c r="P133" s="39"/>
      <c r="Q133" s="39"/>
      <c r="R133" s="39"/>
      <c r="S133" s="10">
        <f t="shared" si="28"/>
        <v>1</v>
      </c>
      <c r="T133" s="10">
        <v>100000</v>
      </c>
      <c r="U133" s="10">
        <f t="shared" si="30"/>
        <v>100000</v>
      </c>
      <c r="V133" s="4"/>
      <c r="Y133" s="4"/>
    </row>
    <row r="134" spans="2:25" ht="37.5">
      <c r="B134" s="65"/>
      <c r="C134" s="63"/>
      <c r="D134" s="52" t="s">
        <v>53</v>
      </c>
      <c r="E134" s="60"/>
      <c r="F134" s="8">
        <v>0.16666666666666666</v>
      </c>
      <c r="G134" s="78" t="s">
        <v>85</v>
      </c>
      <c r="H134" s="79"/>
      <c r="I134" s="35">
        <v>60</v>
      </c>
      <c r="J134" s="9">
        <f t="shared" si="18"/>
        <v>1.6666666666666666E-2</v>
      </c>
      <c r="K134" s="39">
        <v>1</v>
      </c>
      <c r="L134" s="39"/>
      <c r="M134" s="39"/>
      <c r="N134" s="39"/>
      <c r="O134" s="39"/>
      <c r="P134" s="39"/>
      <c r="Q134" s="39"/>
      <c r="R134" s="39"/>
      <c r="S134" s="10">
        <f t="shared" si="28"/>
        <v>1</v>
      </c>
      <c r="T134" s="10">
        <v>100000</v>
      </c>
      <c r="U134" s="10">
        <f t="shared" si="30"/>
        <v>100000</v>
      </c>
      <c r="V134" s="4"/>
      <c r="W134" s="4"/>
      <c r="X134" s="4"/>
      <c r="Y134" s="4"/>
    </row>
    <row r="135" spans="2:25" ht="37.5">
      <c r="B135" s="65"/>
      <c r="C135" s="63"/>
      <c r="D135" s="52" t="s">
        <v>53</v>
      </c>
      <c r="E135" s="60"/>
      <c r="F135" s="8">
        <v>0.25</v>
      </c>
      <c r="G135" s="78" t="s">
        <v>85</v>
      </c>
      <c r="H135" s="79"/>
      <c r="I135" s="35">
        <v>60</v>
      </c>
      <c r="J135" s="9">
        <f t="shared" si="18"/>
        <v>0</v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37.5">
      <c r="B136" s="65"/>
      <c r="C136" s="64"/>
      <c r="D136" s="53" t="s">
        <v>53</v>
      </c>
      <c r="E136" s="61"/>
      <c r="F136" s="14">
        <v>0.33333333333333331</v>
      </c>
      <c r="G136" s="78" t="s">
        <v>85</v>
      </c>
      <c r="H136" s="79"/>
      <c r="I136" s="37">
        <v>60</v>
      </c>
      <c r="J136" s="15">
        <f t="shared" si="18"/>
        <v>0</v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5">
        <v>46092</v>
      </c>
      <c r="C137" s="62" t="s">
        <v>16</v>
      </c>
      <c r="D137" s="51"/>
      <c r="E137" s="59" t="s">
        <v>103</v>
      </c>
      <c r="F137" s="5">
        <v>0.41666666666666669</v>
      </c>
      <c r="G137" s="73"/>
      <c r="H137" s="74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8.75">
      <c r="B138" s="65"/>
      <c r="C138" s="63"/>
      <c r="D138" s="52"/>
      <c r="E138" s="60"/>
      <c r="F138" s="8">
        <v>0.5</v>
      </c>
      <c r="G138" s="78"/>
      <c r="H138" s="79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8.75">
      <c r="B139" s="65"/>
      <c r="C139" s="63"/>
      <c r="D139" s="52"/>
      <c r="E139" s="60"/>
      <c r="F139" s="8">
        <v>0.58333333333333337</v>
      </c>
      <c r="G139" s="78"/>
      <c r="H139" s="79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8.75">
      <c r="B140" s="65"/>
      <c r="C140" s="63"/>
      <c r="D140" s="52"/>
      <c r="E140" s="60"/>
      <c r="F140" s="8">
        <v>0.66666666666666663</v>
      </c>
      <c r="G140" s="78"/>
      <c r="H140" s="79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/>
      <c r="E141" s="60"/>
      <c r="F141" s="8">
        <v>0.75</v>
      </c>
      <c r="G141" s="78"/>
      <c r="H141" s="79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/>
      <c r="E142" s="61"/>
      <c r="F142" s="12">
        <v>0.83333333333333337</v>
      </c>
      <c r="G142" s="78"/>
      <c r="H142" s="79"/>
      <c r="I142" s="36"/>
      <c r="J142" s="9" t="str">
        <f t="shared" si="31"/>
        <v/>
      </c>
      <c r="K142" s="41"/>
      <c r="L142" s="41"/>
      <c r="M142" s="39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8.75">
      <c r="B143" s="65"/>
      <c r="C143" s="63"/>
      <c r="D143" s="51"/>
      <c r="E143" s="59" t="s">
        <v>104</v>
      </c>
      <c r="F143" s="5">
        <v>0.91666666666666663</v>
      </c>
      <c r="G143" s="73"/>
      <c r="H143" s="74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8.75">
      <c r="B144" s="65"/>
      <c r="C144" s="63"/>
      <c r="D144" s="52"/>
      <c r="E144" s="60"/>
      <c r="F144" s="8">
        <v>1</v>
      </c>
      <c r="G144" s="78"/>
      <c r="H144" s="79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8.75">
      <c r="B145" s="65"/>
      <c r="C145" s="63"/>
      <c r="D145" s="52"/>
      <c r="E145" s="60"/>
      <c r="F145" s="8">
        <v>8.3333333333333329E-2</v>
      </c>
      <c r="G145" s="78"/>
      <c r="H145" s="79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8.75">
      <c r="B146" s="65"/>
      <c r="C146" s="63"/>
      <c r="D146" s="52"/>
      <c r="E146" s="60"/>
      <c r="F146" s="8">
        <v>0.16666666666666666</v>
      </c>
      <c r="G146" s="78"/>
      <c r="H146" s="79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8.75">
      <c r="B147" s="65"/>
      <c r="C147" s="63"/>
      <c r="D147" s="52"/>
      <c r="E147" s="60"/>
      <c r="F147" s="8">
        <v>0.25</v>
      </c>
      <c r="G147" s="78"/>
      <c r="H147" s="79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8.75">
      <c r="B148" s="65"/>
      <c r="C148" s="64"/>
      <c r="D148" s="53"/>
      <c r="E148" s="91"/>
      <c r="F148" s="14">
        <v>0.33333333333333331</v>
      </c>
      <c r="G148" s="78"/>
      <c r="H148" s="79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 ht="16.5" customHeight="1">
      <c r="B149" s="65">
        <v>46093</v>
      </c>
      <c r="C149" s="62" t="s">
        <v>16</v>
      </c>
      <c r="D149" s="51"/>
      <c r="E149" s="59" t="s">
        <v>103</v>
      </c>
      <c r="F149" s="5">
        <v>0.41666666666666669</v>
      </c>
      <c r="G149" s="73"/>
      <c r="H149" s="74"/>
      <c r="I149" s="34"/>
      <c r="J149" s="6" t="str">
        <f t="shared" ref="J149:J160" si="35">IFERROR(S149/I149,"")</f>
        <v/>
      </c>
      <c r="K149" s="38"/>
      <c r="L149" s="38"/>
      <c r="M149" s="38"/>
      <c r="N149" s="38"/>
      <c r="O149" s="38"/>
      <c r="P149" s="38"/>
      <c r="Q149" s="38"/>
      <c r="R149" s="38"/>
      <c r="S149" s="7">
        <f>SUM(K149:R149)</f>
        <v>0</v>
      </c>
      <c r="T149" s="7">
        <v>100000</v>
      </c>
      <c r="U149" s="7">
        <f>T149*S149</f>
        <v>0</v>
      </c>
      <c r="V149" s="4"/>
      <c r="W149" s="4"/>
      <c r="X149" s="4"/>
      <c r="Y149" s="4"/>
    </row>
    <row r="150" spans="2:25" ht="18.75">
      <c r="B150" s="65"/>
      <c r="C150" s="63"/>
      <c r="D150" s="52"/>
      <c r="E150" s="60"/>
      <c r="F150" s="8">
        <v>0.5</v>
      </c>
      <c r="G150" s="78"/>
      <c r="H150" s="79"/>
      <c r="I150" s="35"/>
      <c r="J150" s="9" t="str">
        <f t="shared" si="35"/>
        <v/>
      </c>
      <c r="K150" s="39"/>
      <c r="L150" s="39"/>
      <c r="M150" s="39"/>
      <c r="N150" s="39"/>
      <c r="O150" s="39"/>
      <c r="P150" s="39"/>
      <c r="Q150" s="39"/>
      <c r="R150" s="39"/>
      <c r="S150" s="10">
        <f t="shared" ref="S150:S160" si="36">SUM(K150:R150)</f>
        <v>0</v>
      </c>
      <c r="T150" s="10">
        <v>100000</v>
      </c>
      <c r="U150" s="10">
        <f t="shared" ref="U150:U151" si="37">T150*S150</f>
        <v>0</v>
      </c>
      <c r="V150" s="4"/>
      <c r="W150" s="4"/>
      <c r="X150" s="4"/>
      <c r="Y150" s="4"/>
    </row>
    <row r="151" spans="2:25" ht="18.75">
      <c r="B151" s="65"/>
      <c r="C151" s="63"/>
      <c r="D151" s="52"/>
      <c r="E151" s="60"/>
      <c r="F151" s="8">
        <v>0.58333333333333337</v>
      </c>
      <c r="G151" s="78"/>
      <c r="H151" s="79"/>
      <c r="I151" s="35"/>
      <c r="J151" s="9" t="str">
        <f t="shared" si="35"/>
        <v/>
      </c>
      <c r="K151" s="39"/>
      <c r="L151" s="39"/>
      <c r="M151" s="39"/>
      <c r="N151" s="39"/>
      <c r="O151" s="39"/>
      <c r="P151" s="39"/>
      <c r="Q151" s="39"/>
      <c r="R151" s="39"/>
      <c r="S151" s="10">
        <f t="shared" si="36"/>
        <v>0</v>
      </c>
      <c r="T151" s="10">
        <v>100000</v>
      </c>
      <c r="U151" s="10">
        <f t="shared" si="37"/>
        <v>0</v>
      </c>
      <c r="V151" s="4"/>
      <c r="W151" s="4"/>
      <c r="X151" s="4"/>
      <c r="Y151" s="4"/>
    </row>
    <row r="152" spans="2:25" ht="18.75">
      <c r="B152" s="65"/>
      <c r="C152" s="63"/>
      <c r="D152" s="52"/>
      <c r="E152" s="60"/>
      <c r="F152" s="8">
        <v>0.66666666666666663</v>
      </c>
      <c r="G152" s="78"/>
      <c r="H152" s="79"/>
      <c r="I152" s="35"/>
      <c r="J152" s="9" t="str">
        <f t="shared" si="35"/>
        <v/>
      </c>
      <c r="K152" s="39"/>
      <c r="L152" s="39"/>
      <c r="M152" s="39"/>
      <c r="N152" s="39"/>
      <c r="O152" s="39"/>
      <c r="P152" s="39"/>
      <c r="Q152" s="39"/>
      <c r="R152" s="39"/>
      <c r="S152" s="10">
        <f t="shared" si="36"/>
        <v>0</v>
      </c>
      <c r="T152" s="10">
        <v>100000</v>
      </c>
      <c r="U152" s="10">
        <f>T152*S152</f>
        <v>0</v>
      </c>
      <c r="V152" s="4"/>
      <c r="W152" s="4"/>
      <c r="X152" s="4"/>
      <c r="Y152" s="4"/>
    </row>
    <row r="153" spans="2:25" ht="18.75">
      <c r="B153" s="65"/>
      <c r="C153" s="63"/>
      <c r="D153" s="52"/>
      <c r="E153" s="60"/>
      <c r="F153" s="8">
        <v>0.75</v>
      </c>
      <c r="G153" s="78"/>
      <c r="H153" s="79"/>
      <c r="I153" s="35"/>
      <c r="J153" s="9" t="str">
        <f t="shared" si="35"/>
        <v/>
      </c>
      <c r="K153" s="39"/>
      <c r="L153" s="39"/>
      <c r="M153" s="39"/>
      <c r="N153" s="39"/>
      <c r="O153" s="39"/>
      <c r="P153" s="39"/>
      <c r="Q153" s="39"/>
      <c r="R153" s="39"/>
      <c r="S153" s="10">
        <f t="shared" si="36"/>
        <v>0</v>
      </c>
      <c r="T153" s="10">
        <v>100000</v>
      </c>
      <c r="U153" s="10">
        <f t="shared" ref="U153:U160" si="38">T153*S153</f>
        <v>0</v>
      </c>
      <c r="V153" s="4"/>
      <c r="W153" s="4"/>
      <c r="X153" s="11"/>
      <c r="Y153" s="4"/>
    </row>
    <row r="154" spans="2:25" ht="18.75">
      <c r="B154" s="65"/>
      <c r="C154" s="63"/>
      <c r="D154" s="53"/>
      <c r="E154" s="61"/>
      <c r="F154" s="12">
        <v>0.83333333333333337</v>
      </c>
      <c r="G154" s="78"/>
      <c r="H154" s="79"/>
      <c r="I154" s="36"/>
      <c r="J154" s="9" t="str">
        <f t="shared" si="35"/>
        <v/>
      </c>
      <c r="K154" s="41"/>
      <c r="L154" s="41"/>
      <c r="M154" s="39"/>
      <c r="N154" s="41"/>
      <c r="O154" s="41"/>
      <c r="P154" s="41"/>
      <c r="Q154" s="41"/>
      <c r="R154" s="41"/>
      <c r="S154" s="13">
        <f t="shared" si="36"/>
        <v>0</v>
      </c>
      <c r="T154" s="13">
        <v>100000</v>
      </c>
      <c r="U154" s="13">
        <f t="shared" si="38"/>
        <v>0</v>
      </c>
      <c r="V154" s="4"/>
      <c r="Y154" s="4"/>
    </row>
    <row r="155" spans="2:25" ht="18.75">
      <c r="B155" s="65"/>
      <c r="C155" s="63"/>
      <c r="D155" s="51"/>
      <c r="E155" s="59" t="s">
        <v>104</v>
      </c>
      <c r="F155" s="5">
        <v>0.91666666666666663</v>
      </c>
      <c r="G155" s="73"/>
      <c r="H155" s="74"/>
      <c r="I155" s="34"/>
      <c r="J155" s="6" t="str">
        <f t="shared" si="35"/>
        <v/>
      </c>
      <c r="K155" s="38"/>
      <c r="L155" s="38"/>
      <c r="M155" s="38"/>
      <c r="N155" s="38"/>
      <c r="O155" s="38"/>
      <c r="P155" s="38"/>
      <c r="Q155" s="38"/>
      <c r="R155" s="38"/>
      <c r="S155" s="7">
        <f t="shared" si="36"/>
        <v>0</v>
      </c>
      <c r="T155" s="7">
        <v>100000</v>
      </c>
      <c r="U155" s="7">
        <f t="shared" si="38"/>
        <v>0</v>
      </c>
      <c r="V155" s="4"/>
      <c r="Y155" s="4"/>
    </row>
    <row r="156" spans="2:25" ht="18.75">
      <c r="B156" s="65"/>
      <c r="C156" s="63"/>
      <c r="D156" s="52"/>
      <c r="E156" s="60"/>
      <c r="F156" s="8">
        <v>1</v>
      </c>
      <c r="G156" s="78"/>
      <c r="H156" s="79"/>
      <c r="I156" s="35"/>
      <c r="J156" s="9" t="str">
        <f t="shared" si="35"/>
        <v/>
      </c>
      <c r="K156" s="39"/>
      <c r="L156" s="39"/>
      <c r="M156" s="39"/>
      <c r="N156" s="39"/>
      <c r="O156" s="39"/>
      <c r="P156" s="39"/>
      <c r="Q156" s="39"/>
      <c r="R156" s="39"/>
      <c r="S156" s="10">
        <f t="shared" si="36"/>
        <v>0</v>
      </c>
      <c r="T156" s="10">
        <v>100000</v>
      </c>
      <c r="U156" s="10">
        <f t="shared" si="38"/>
        <v>0</v>
      </c>
      <c r="V156" s="4"/>
      <c r="Y156" s="4"/>
    </row>
    <row r="157" spans="2:25" ht="18.75">
      <c r="B157" s="65"/>
      <c r="C157" s="63"/>
      <c r="D157" s="52"/>
      <c r="E157" s="60"/>
      <c r="F157" s="8">
        <v>8.3333333333333329E-2</v>
      </c>
      <c r="G157" s="78"/>
      <c r="H157" s="79"/>
      <c r="I157" s="35"/>
      <c r="J157" s="9" t="str">
        <f t="shared" si="35"/>
        <v/>
      </c>
      <c r="K157" s="39"/>
      <c r="L157" s="39"/>
      <c r="M157" s="39"/>
      <c r="N157" s="39"/>
      <c r="O157" s="39"/>
      <c r="P157" s="39"/>
      <c r="Q157" s="39"/>
      <c r="R157" s="39"/>
      <c r="S157" s="10">
        <f t="shared" si="36"/>
        <v>0</v>
      </c>
      <c r="T157" s="10">
        <v>100000</v>
      </c>
      <c r="U157" s="10">
        <f t="shared" si="38"/>
        <v>0</v>
      </c>
      <c r="V157" s="4"/>
      <c r="Y157" s="4"/>
    </row>
    <row r="158" spans="2:25" ht="18.75">
      <c r="B158" s="65"/>
      <c r="C158" s="63"/>
      <c r="D158" s="52"/>
      <c r="E158" s="60"/>
      <c r="F158" s="8">
        <v>0.16666666666666666</v>
      </c>
      <c r="G158" s="78"/>
      <c r="H158" s="79"/>
      <c r="I158" s="35"/>
      <c r="J158" s="9" t="str">
        <f t="shared" si="35"/>
        <v/>
      </c>
      <c r="K158" s="39"/>
      <c r="L158" s="39"/>
      <c r="M158" s="39"/>
      <c r="N158" s="39"/>
      <c r="O158" s="39"/>
      <c r="P158" s="39"/>
      <c r="Q158" s="39"/>
      <c r="R158" s="39"/>
      <c r="S158" s="10">
        <f t="shared" si="36"/>
        <v>0</v>
      </c>
      <c r="T158" s="10">
        <v>100000</v>
      </c>
      <c r="U158" s="10">
        <f t="shared" si="38"/>
        <v>0</v>
      </c>
      <c r="V158" s="4"/>
      <c r="W158" s="4"/>
      <c r="X158" s="4"/>
      <c r="Y158" s="4"/>
    </row>
    <row r="159" spans="2:25" ht="18.75">
      <c r="B159" s="65"/>
      <c r="C159" s="63"/>
      <c r="D159" s="52"/>
      <c r="E159" s="60"/>
      <c r="F159" s="8">
        <v>0.25</v>
      </c>
      <c r="G159" s="78"/>
      <c r="H159" s="79"/>
      <c r="I159" s="35"/>
      <c r="J159" s="9" t="str">
        <f t="shared" si="35"/>
        <v/>
      </c>
      <c r="K159" s="39"/>
      <c r="L159" s="39"/>
      <c r="M159" s="39"/>
      <c r="N159" s="39"/>
      <c r="O159" s="39"/>
      <c r="P159" s="39"/>
      <c r="Q159" s="39"/>
      <c r="R159" s="39"/>
      <c r="S159" s="10">
        <f t="shared" si="36"/>
        <v>0</v>
      </c>
      <c r="T159" s="10">
        <v>100000</v>
      </c>
      <c r="U159" s="10">
        <f t="shared" si="38"/>
        <v>0</v>
      </c>
      <c r="V159" s="4"/>
      <c r="Y159" s="4"/>
    </row>
    <row r="160" spans="2:25" ht="18.75">
      <c r="B160" s="65"/>
      <c r="C160" s="64"/>
      <c r="D160" s="53"/>
      <c r="E160" s="91"/>
      <c r="F160" s="14">
        <v>0.33333333333333331</v>
      </c>
      <c r="G160" s="78"/>
      <c r="H160" s="79"/>
      <c r="I160" s="37"/>
      <c r="J160" s="15" t="str">
        <f t="shared" si="35"/>
        <v/>
      </c>
      <c r="K160" s="40"/>
      <c r="L160" s="40"/>
      <c r="M160" s="40"/>
      <c r="N160" s="40"/>
      <c r="O160" s="40"/>
      <c r="P160" s="40"/>
      <c r="Q160" s="40"/>
      <c r="R160" s="40"/>
      <c r="S160" s="16">
        <f t="shared" si="36"/>
        <v>0</v>
      </c>
      <c r="T160" s="16">
        <v>100000</v>
      </c>
      <c r="U160" s="16">
        <f t="shared" si="38"/>
        <v>0</v>
      </c>
      <c r="V160" s="4"/>
      <c r="W160" s="4"/>
      <c r="X160" s="4"/>
      <c r="Y160" s="4"/>
    </row>
  </sheetData>
  <mergeCells count="210"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dataValidations count="6">
    <dataValidation type="list" allowBlank="1" showInputMessage="1" showErrorMessage="1" sqref="E17 E23 E29 E41 E53 E65 E77 E89 E101 E113 E125 E137 E35 E47 E59 E71 E83 E95 E107 E119 E131 E143 E149 E155" xr:uid="{3F97067F-1D22-46C9-8EB2-36D4E853411F}">
      <formula1>$X$22:$X$23</formula1>
    </dataValidation>
    <dataValidation type="list" allowBlank="1" showInputMessage="1" showErrorMessage="1" sqref="C125 C17 C29 C41 C53 C65 C77 C89 C101 C113 C137 C149" xr:uid="{6FBB2D4D-D80C-4833-87A8-7A0E96CAD28D}">
      <formula1>$X$17:$X$21</formula1>
    </dataValidation>
    <dataValidation type="list" allowBlank="1" showInputMessage="1" showErrorMessage="1" sqref="C6" xr:uid="{3DB528DA-384D-4E01-A775-48E30DF63DB2}">
      <formula1>$X$2:$X$7</formula1>
    </dataValidation>
    <dataValidation type="list" allowBlank="1" showInputMessage="1" showErrorMessage="1" sqref="G17:G22 G29:G34 G41:G46 G53:G58 G65:G70 G137:G142 G77:G82 G101:G106 G113:G118 G89:G94 G125:G130 G149:G154" xr:uid="{F42A6AB3-C955-4CC2-BF5D-289F6217FA8D}">
      <formula1>$C$11:$S$11</formula1>
    </dataValidation>
    <dataValidation type="list" allowBlank="1" showInputMessage="1" showErrorMessage="1" sqref="D17:D160" xr:uid="{9AC609EF-5D24-477A-8FC3-B2A5F74CC194}">
      <formula1>$Z$21:$Z$61</formula1>
    </dataValidation>
    <dataValidation type="list" allowBlank="1" showInputMessage="1" showErrorMessage="1" sqref="G23:H28 G35:H40 G47:H52 G59:H64 G71:H76 G83:H88 G143:H148 G107:H112 G119:H124 G131:H136 G95:H100 G155:H160" xr:uid="{71EFA27C-F2C6-4CBC-A44C-3C0C036C5150}">
      <formula1>$C$12:$S$12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2732-F5DB-463E-9F77-BE278B732109}">
  <dimension ref="B1:AU160"/>
  <sheetViews>
    <sheetView zoomScale="70" zoomScaleNormal="70" workbookViewId="0">
      <pane ySplit="16" topLeftCell="A17" activePane="bottomLeft" state="frozenSplit"/>
      <selection pane="bottomLeft" activeCell="F106" sqref="F106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3.5703125" style="1" customWidth="1"/>
    <col min="22" max="22" width="67.4257812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bestFit="1" customWidth="1"/>
    <col min="27" max="47" width="14.5703125" style="1" customWidth="1"/>
    <col min="48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94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12</v>
      </c>
      <c r="C6" s="42" t="s">
        <v>13</v>
      </c>
      <c r="D6" s="89" t="s">
        <v>93</v>
      </c>
      <c r="E6" s="87"/>
      <c r="F6" s="87"/>
      <c r="G6" s="87"/>
      <c r="H6" s="87"/>
      <c r="I6" s="87"/>
      <c r="J6" s="87"/>
      <c r="K6" s="47"/>
      <c r="L6" s="48" t="s">
        <v>98</v>
      </c>
      <c r="M6" s="86" t="s">
        <v>91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96</v>
      </c>
      <c r="E7" s="88"/>
      <c r="F7" s="88"/>
      <c r="G7" s="88"/>
      <c r="H7" s="88"/>
      <c r="I7" s="88"/>
      <c r="J7" s="88"/>
      <c r="K7" s="88"/>
      <c r="L7" s="3"/>
      <c r="M7" s="88" t="s">
        <v>92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95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99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7" ht="16.5" hidden="1" customHeight="1">
      <c r="B17" s="75">
        <v>46082</v>
      </c>
      <c r="C17" s="62" t="s">
        <v>17</v>
      </c>
      <c r="D17" s="51"/>
      <c r="E17" s="59" t="s">
        <v>103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7" ht="18.75" hidden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7" ht="18.75" hidden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7" ht="18.75" hidden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7" ht="18.75" hidden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7" ht="27" hidden="1">
      <c r="B22" s="76"/>
      <c r="C22" s="63"/>
      <c r="D22" s="53"/>
      <c r="E22" s="61"/>
      <c r="F22" s="12">
        <v>0.83333333333333337</v>
      </c>
      <c r="G22" s="78"/>
      <c r="H22" s="79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103</v>
      </c>
      <c r="Z22" s="44" t="s">
        <v>46</v>
      </c>
    </row>
    <row r="23" spans="2:27" ht="27" hidden="1">
      <c r="B23" s="76"/>
      <c r="C23" s="63"/>
      <c r="D23" s="51"/>
      <c r="E23" s="59" t="s">
        <v>104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104</v>
      </c>
      <c r="Z23" s="44" t="s">
        <v>45</v>
      </c>
    </row>
    <row r="24" spans="2:27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  <c r="AA24" s="27"/>
    </row>
    <row r="25" spans="2:27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7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7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7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7" ht="18.600000000000001" hidden="1" customHeight="1">
      <c r="B29" s="75">
        <v>46083</v>
      </c>
      <c r="C29" s="62" t="s">
        <v>17</v>
      </c>
      <c r="D29" s="51"/>
      <c r="E29" s="59" t="s">
        <v>103</v>
      </c>
      <c r="F29" s="5">
        <v>0.41666666666666669</v>
      </c>
      <c r="G29" s="73"/>
      <c r="H29" s="74"/>
      <c r="I29" s="34"/>
      <c r="J29" s="6" t="str">
        <f t="shared" si="2"/>
        <v/>
      </c>
      <c r="K29" s="38"/>
      <c r="L29" s="38"/>
      <c r="M29" s="38"/>
      <c r="N29" s="38"/>
      <c r="O29" s="38"/>
      <c r="P29" s="38"/>
      <c r="Q29" s="38"/>
      <c r="R29" s="38"/>
      <c r="S29" s="7">
        <f>SUM(K29:R29)</f>
        <v>0</v>
      </c>
      <c r="T29" s="7">
        <v>100000</v>
      </c>
      <c r="U29" s="7">
        <f>T29*S29</f>
        <v>0</v>
      </c>
      <c r="V29" s="4"/>
      <c r="W29" s="4"/>
      <c r="X29" s="4"/>
      <c r="Y29" s="4"/>
      <c r="Z29" s="44" t="s">
        <v>51</v>
      </c>
    </row>
    <row r="30" spans="2:27" ht="18.75" hidden="1">
      <c r="B30" s="76"/>
      <c r="C30" s="63"/>
      <c r="D30" s="52"/>
      <c r="E30" s="60"/>
      <c r="F30" s="8">
        <v>0.5</v>
      </c>
      <c r="G30" s="78"/>
      <c r="H30" s="79"/>
      <c r="I30" s="35"/>
      <c r="J30" s="9" t="str">
        <f t="shared" si="2"/>
        <v/>
      </c>
      <c r="K30" s="39"/>
      <c r="L30" s="39"/>
      <c r="M30" s="39"/>
      <c r="N30" s="39"/>
      <c r="O30" s="39"/>
      <c r="P30" s="39"/>
      <c r="Q30" s="39"/>
      <c r="R30" s="39"/>
      <c r="S30" s="10">
        <f t="shared" ref="S30:S40" si="3">SUM(K30:R30)</f>
        <v>0</v>
      </c>
      <c r="T30" s="10">
        <v>100000</v>
      </c>
      <c r="U30" s="10">
        <f t="shared" ref="U30:U31" si="4">T30*S30</f>
        <v>0</v>
      </c>
      <c r="V30" s="4"/>
      <c r="W30" s="4"/>
      <c r="X30" s="4"/>
      <c r="Y30" s="4"/>
      <c r="Z30" s="44" t="s">
        <v>52</v>
      </c>
    </row>
    <row r="31" spans="2:27" ht="18.75" hidden="1">
      <c r="B31" s="76"/>
      <c r="C31" s="63"/>
      <c r="D31" s="52"/>
      <c r="E31" s="60"/>
      <c r="F31" s="8">
        <v>0.58333333333333337</v>
      </c>
      <c r="G31" s="78"/>
      <c r="H31" s="79"/>
      <c r="I31" s="35"/>
      <c r="J31" s="9" t="str">
        <f t="shared" si="2"/>
        <v/>
      </c>
      <c r="K31" s="39"/>
      <c r="L31" s="39"/>
      <c r="M31" s="39"/>
      <c r="N31" s="39"/>
      <c r="O31" s="39"/>
      <c r="P31" s="39"/>
      <c r="Q31" s="39"/>
      <c r="R31" s="39"/>
      <c r="S31" s="10">
        <f t="shared" si="3"/>
        <v>0</v>
      </c>
      <c r="T31" s="10">
        <v>100000</v>
      </c>
      <c r="U31" s="10">
        <f t="shared" si="4"/>
        <v>0</v>
      </c>
      <c r="V31" s="4"/>
      <c r="W31" s="4"/>
      <c r="X31" s="4"/>
      <c r="Y31" s="4"/>
      <c r="Z31" s="44" t="s">
        <v>53</v>
      </c>
    </row>
    <row r="32" spans="2:27" ht="18.75" hidden="1">
      <c r="B32" s="76"/>
      <c r="C32" s="63"/>
      <c r="D32" s="52"/>
      <c r="E32" s="60"/>
      <c r="F32" s="8">
        <v>0.66666666666666663</v>
      </c>
      <c r="G32" s="78"/>
      <c r="H32" s="79"/>
      <c r="I32" s="35"/>
      <c r="J32" s="9" t="str">
        <f t="shared" si="2"/>
        <v/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/>
      <c r="E33" s="60"/>
      <c r="F33" s="8">
        <v>0.75</v>
      </c>
      <c r="G33" s="78"/>
      <c r="H33" s="79"/>
      <c r="I33" s="35"/>
      <c r="J33" s="9" t="str">
        <f t="shared" si="2"/>
        <v/>
      </c>
      <c r="K33" s="39"/>
      <c r="L33" s="39"/>
      <c r="M33" s="39"/>
      <c r="N33" s="39"/>
      <c r="O33" s="39"/>
      <c r="P33" s="39"/>
      <c r="Q33" s="39"/>
      <c r="R33" s="39"/>
      <c r="S33" s="10">
        <f t="shared" si="3"/>
        <v>0</v>
      </c>
      <c r="T33" s="10">
        <v>100000</v>
      </c>
      <c r="U33" s="10">
        <f t="shared" ref="U33:U40" si="5">T33*S33</f>
        <v>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/>
      <c r="E34" s="61"/>
      <c r="F34" s="12">
        <v>0.83333333333333337</v>
      </c>
      <c r="G34" s="78"/>
      <c r="H34" s="79"/>
      <c r="I34" s="36"/>
      <c r="J34" s="9" t="str">
        <f t="shared" si="2"/>
        <v/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/>
      <c r="E35" s="59" t="s">
        <v>104</v>
      </c>
      <c r="F35" s="5">
        <v>0.91666666666666663</v>
      </c>
      <c r="G35" s="73"/>
      <c r="H35" s="74"/>
      <c r="I35" s="34"/>
      <c r="J35" s="6" t="str">
        <f t="shared" si="2"/>
        <v/>
      </c>
      <c r="K35" s="38"/>
      <c r="L35" s="38"/>
      <c r="M35" s="38"/>
      <c r="N35" s="38"/>
      <c r="O35" s="38"/>
      <c r="P35" s="38"/>
      <c r="Q35" s="38"/>
      <c r="R35" s="38"/>
      <c r="S35" s="7">
        <f t="shared" si="3"/>
        <v>0</v>
      </c>
      <c r="T35" s="7">
        <v>100000</v>
      </c>
      <c r="U35" s="7">
        <f t="shared" si="5"/>
        <v>0</v>
      </c>
      <c r="V35" s="4"/>
      <c r="Y35" s="4"/>
      <c r="Z35" s="44" t="s">
        <v>55</v>
      </c>
    </row>
    <row r="36" spans="2:26" ht="18.75" hidden="1">
      <c r="B36" s="76"/>
      <c r="C36" s="63"/>
      <c r="D36" s="52"/>
      <c r="E36" s="60"/>
      <c r="F36" s="8">
        <v>1</v>
      </c>
      <c r="G36" s="78"/>
      <c r="H36" s="79"/>
      <c r="I36" s="35"/>
      <c r="J36" s="9" t="str">
        <f t="shared" si="2"/>
        <v/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75" hidden="1">
      <c r="B37" s="76"/>
      <c r="C37" s="63"/>
      <c r="D37" s="52"/>
      <c r="E37" s="60"/>
      <c r="F37" s="8">
        <v>8.3333333333333329E-2</v>
      </c>
      <c r="G37" s="78"/>
      <c r="H37" s="79"/>
      <c r="I37" s="35"/>
      <c r="J37" s="9" t="str">
        <f t="shared" si="2"/>
        <v/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/>
      <c r="E38" s="60"/>
      <c r="F38" s="8">
        <v>0.16666666666666666</v>
      </c>
      <c r="G38" s="78"/>
      <c r="H38" s="79"/>
      <c r="I38" s="35"/>
      <c r="J38" s="9" t="str">
        <f t="shared" si="2"/>
        <v/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/>
      <c r="E39" s="60"/>
      <c r="F39" s="8">
        <v>0.25</v>
      </c>
      <c r="G39" s="78"/>
      <c r="H39" s="79"/>
      <c r="I39" s="35"/>
      <c r="J39" s="9" t="str">
        <f t="shared" si="2"/>
        <v/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75" hidden="1">
      <c r="B40" s="77"/>
      <c r="C40" s="63"/>
      <c r="D40" s="53"/>
      <c r="E40" s="61"/>
      <c r="F40" s="12">
        <v>0.33333333333333331</v>
      </c>
      <c r="G40" s="78"/>
      <c r="H40" s="79"/>
      <c r="I40" s="36"/>
      <c r="J40" s="9" t="str">
        <f t="shared" si="2"/>
        <v/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37.5" hidden="1">
      <c r="B41" s="76">
        <v>46084</v>
      </c>
      <c r="C41" s="62" t="s">
        <v>17</v>
      </c>
      <c r="D41" s="51" t="s">
        <v>42</v>
      </c>
      <c r="E41" s="59" t="s">
        <v>103</v>
      </c>
      <c r="F41" s="5">
        <v>0.41666666666666669</v>
      </c>
      <c r="G41" s="73" t="s">
        <v>81</v>
      </c>
      <c r="H41" s="74"/>
      <c r="I41" s="34">
        <v>80</v>
      </c>
      <c r="J41" s="6">
        <f t="shared" si="2"/>
        <v>0</v>
      </c>
      <c r="K41" s="38"/>
      <c r="L41" s="38"/>
      <c r="M41" s="38"/>
      <c r="N41" s="38"/>
      <c r="O41" s="38"/>
      <c r="P41" s="38"/>
      <c r="Q41" s="38"/>
      <c r="R41" s="38"/>
      <c r="S41" s="7">
        <f>SUM(K41:R41)</f>
        <v>0</v>
      </c>
      <c r="T41" s="7">
        <v>100000</v>
      </c>
      <c r="U41" s="7">
        <f>T41*S41</f>
        <v>0</v>
      </c>
      <c r="V41" s="4"/>
      <c r="W41" s="4"/>
      <c r="X41" s="4"/>
      <c r="Y41" s="4"/>
      <c r="Z41" s="44" t="s">
        <v>59</v>
      </c>
    </row>
    <row r="42" spans="2:26" ht="37.5" hidden="1">
      <c r="B42" s="76"/>
      <c r="C42" s="63"/>
      <c r="D42" s="52" t="s">
        <v>42</v>
      </c>
      <c r="E42" s="60"/>
      <c r="F42" s="8">
        <v>0.5</v>
      </c>
      <c r="G42" s="78" t="s">
        <v>81</v>
      </c>
      <c r="H42" s="79"/>
      <c r="I42" s="35">
        <v>80</v>
      </c>
      <c r="J42" s="9">
        <f t="shared" si="2"/>
        <v>0</v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37.5" hidden="1">
      <c r="B43" s="76"/>
      <c r="C43" s="63"/>
      <c r="D43" s="52" t="s">
        <v>42</v>
      </c>
      <c r="E43" s="60"/>
      <c r="F43" s="8">
        <v>0.58333333333333337</v>
      </c>
      <c r="G43" s="78" t="s">
        <v>81</v>
      </c>
      <c r="H43" s="79"/>
      <c r="I43" s="35">
        <v>49</v>
      </c>
      <c r="J43" s="9">
        <f t="shared" si="2"/>
        <v>0</v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/>
      <c r="E44" s="60"/>
      <c r="F44" s="8">
        <v>0.66666666666666663</v>
      </c>
      <c r="G44" s="78"/>
      <c r="H44" s="79"/>
      <c r="I44" s="35"/>
      <c r="J44" s="9" t="str">
        <f t="shared" si="2"/>
        <v/>
      </c>
      <c r="K44" s="39"/>
      <c r="L44" s="39"/>
      <c r="M44" s="39"/>
      <c r="N44" s="39"/>
      <c r="O44" s="39"/>
      <c r="P44" s="39"/>
      <c r="Q44" s="39"/>
      <c r="R44" s="39"/>
      <c r="S44" s="10">
        <f t="shared" si="6"/>
        <v>0</v>
      </c>
      <c r="T44" s="10">
        <v>100000</v>
      </c>
      <c r="U44" s="10">
        <f>T44*S44</f>
        <v>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/>
      <c r="E45" s="60"/>
      <c r="F45" s="8">
        <v>0.75</v>
      </c>
      <c r="G45" s="78"/>
      <c r="H45" s="79"/>
      <c r="I45" s="35"/>
      <c r="J45" s="9" t="str">
        <f t="shared" si="2"/>
        <v/>
      </c>
      <c r="K45" s="39"/>
      <c r="L45" s="39"/>
      <c r="M45" s="39"/>
      <c r="N45" s="39"/>
      <c r="O45" s="39"/>
      <c r="P45" s="39"/>
      <c r="Q45" s="39"/>
      <c r="R45" s="39"/>
      <c r="S45" s="10">
        <f t="shared" si="6"/>
        <v>0</v>
      </c>
      <c r="T45" s="10">
        <v>100000</v>
      </c>
      <c r="U45" s="10">
        <f t="shared" ref="U45:U52" si="8">T45*S45</f>
        <v>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/>
      <c r="E46" s="61"/>
      <c r="F46" s="12">
        <v>0.83333333333333337</v>
      </c>
      <c r="G46" s="78"/>
      <c r="H46" s="79"/>
      <c r="I46" s="36"/>
      <c r="J46" s="9" t="str">
        <f t="shared" si="2"/>
        <v/>
      </c>
      <c r="K46" s="41"/>
      <c r="L46" s="41"/>
      <c r="M46" s="41"/>
      <c r="N46" s="41"/>
      <c r="O46" s="41"/>
      <c r="P46" s="41"/>
      <c r="Q46" s="41"/>
      <c r="R46" s="41"/>
      <c r="S46" s="13">
        <f t="shared" si="6"/>
        <v>0</v>
      </c>
      <c r="T46" s="13">
        <v>100000</v>
      </c>
      <c r="U46" s="13">
        <f t="shared" si="8"/>
        <v>0</v>
      </c>
      <c r="V46" s="4"/>
      <c r="Y46" s="4"/>
      <c r="Z46" s="45"/>
    </row>
    <row r="47" spans="2:26" ht="18.75" hidden="1">
      <c r="B47" s="76"/>
      <c r="C47" s="63"/>
      <c r="D47" s="51"/>
      <c r="E47" s="59" t="s">
        <v>104</v>
      </c>
      <c r="F47" s="5">
        <v>0.91666666666666663</v>
      </c>
      <c r="G47" s="73"/>
      <c r="H47" s="74"/>
      <c r="I47" s="34"/>
      <c r="J47" s="6" t="str">
        <f t="shared" si="2"/>
        <v/>
      </c>
      <c r="K47" s="38"/>
      <c r="L47" s="38"/>
      <c r="M47" s="38"/>
      <c r="N47" s="38"/>
      <c r="O47" s="38"/>
      <c r="P47" s="38"/>
      <c r="Q47" s="38"/>
      <c r="R47" s="38"/>
      <c r="S47" s="7">
        <f t="shared" si="6"/>
        <v>0</v>
      </c>
      <c r="T47" s="7">
        <v>100000</v>
      </c>
      <c r="U47" s="7">
        <f t="shared" si="8"/>
        <v>0</v>
      </c>
      <c r="V47" s="4"/>
      <c r="Y47" s="4"/>
      <c r="Z47" s="45"/>
    </row>
    <row r="48" spans="2:26" ht="18.75" hidden="1">
      <c r="B48" s="76"/>
      <c r="C48" s="63"/>
      <c r="D48" s="52"/>
      <c r="E48" s="60"/>
      <c r="F48" s="8">
        <v>1</v>
      </c>
      <c r="G48" s="78"/>
      <c r="H48" s="79"/>
      <c r="I48" s="35"/>
      <c r="J48" s="9" t="str">
        <f t="shared" si="2"/>
        <v/>
      </c>
      <c r="K48" s="39"/>
      <c r="L48" s="39"/>
      <c r="M48" s="39"/>
      <c r="N48" s="39"/>
      <c r="O48" s="39"/>
      <c r="P48" s="39"/>
      <c r="Q48" s="39"/>
      <c r="R48" s="39"/>
      <c r="S48" s="10">
        <f t="shared" si="6"/>
        <v>0</v>
      </c>
      <c r="T48" s="10">
        <v>100000</v>
      </c>
      <c r="U48" s="10">
        <f t="shared" si="8"/>
        <v>0</v>
      </c>
      <c r="V48" s="4"/>
      <c r="Y48" s="4"/>
      <c r="Z48" s="45"/>
    </row>
    <row r="49" spans="2:26" ht="18.75" hidden="1">
      <c r="B49" s="76"/>
      <c r="C49" s="63"/>
      <c r="D49" s="52"/>
      <c r="E49" s="60"/>
      <c r="F49" s="8">
        <v>8.3333333333333329E-2</v>
      </c>
      <c r="G49" s="78"/>
      <c r="H49" s="79"/>
      <c r="I49" s="35"/>
      <c r="J49" s="9" t="str">
        <f t="shared" si="2"/>
        <v/>
      </c>
      <c r="K49" s="39"/>
      <c r="L49" s="39"/>
      <c r="M49" s="39"/>
      <c r="N49" s="39"/>
      <c r="O49" s="39"/>
      <c r="P49" s="39"/>
      <c r="Q49" s="39"/>
      <c r="R49" s="39"/>
      <c r="S49" s="10">
        <f t="shared" si="6"/>
        <v>0</v>
      </c>
      <c r="T49" s="10">
        <v>100000</v>
      </c>
      <c r="U49" s="10">
        <f t="shared" si="8"/>
        <v>0</v>
      </c>
      <c r="V49" s="4"/>
      <c r="Y49" s="4"/>
      <c r="Z49" s="45"/>
    </row>
    <row r="50" spans="2:26" ht="18.75" hidden="1">
      <c r="B50" s="76"/>
      <c r="C50" s="63"/>
      <c r="D50" s="52"/>
      <c r="E50" s="60"/>
      <c r="F50" s="8">
        <v>0.16666666666666666</v>
      </c>
      <c r="G50" s="78"/>
      <c r="H50" s="79"/>
      <c r="I50" s="35"/>
      <c r="J50" s="9" t="str">
        <f t="shared" si="2"/>
        <v/>
      </c>
      <c r="K50" s="39"/>
      <c r="L50" s="39"/>
      <c r="M50" s="39"/>
      <c r="N50" s="39"/>
      <c r="O50" s="39"/>
      <c r="P50" s="39"/>
      <c r="Q50" s="39"/>
      <c r="R50" s="39"/>
      <c r="S50" s="10">
        <f t="shared" si="6"/>
        <v>0</v>
      </c>
      <c r="T50" s="10">
        <v>100000</v>
      </c>
      <c r="U50" s="10">
        <f t="shared" si="8"/>
        <v>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/>
      <c r="E51" s="60"/>
      <c r="F51" s="8">
        <v>0.25</v>
      </c>
      <c r="G51" s="78"/>
      <c r="H51" s="79"/>
      <c r="I51" s="35"/>
      <c r="J51" s="9" t="str">
        <f t="shared" si="2"/>
        <v/>
      </c>
      <c r="K51" s="39"/>
      <c r="L51" s="39"/>
      <c r="M51" s="39"/>
      <c r="N51" s="39"/>
      <c r="O51" s="39"/>
      <c r="P51" s="39"/>
      <c r="Q51" s="39"/>
      <c r="R51" s="39"/>
      <c r="S51" s="10">
        <f t="shared" si="6"/>
        <v>0</v>
      </c>
      <c r="T51" s="10">
        <v>100000</v>
      </c>
      <c r="U51" s="10">
        <f t="shared" si="8"/>
        <v>0</v>
      </c>
      <c r="V51" s="4"/>
      <c r="Y51" s="4"/>
      <c r="Z51" s="45"/>
    </row>
    <row r="52" spans="2:26" ht="18.75" hidden="1">
      <c r="B52" s="76"/>
      <c r="C52" s="63"/>
      <c r="D52" s="53"/>
      <c r="E52" s="61"/>
      <c r="F52" s="12">
        <v>0.33333333333333331</v>
      </c>
      <c r="G52" s="78"/>
      <c r="H52" s="79"/>
      <c r="I52" s="36"/>
      <c r="J52" s="9" t="str">
        <f t="shared" si="2"/>
        <v/>
      </c>
      <c r="K52" s="41"/>
      <c r="L52" s="41"/>
      <c r="M52" s="41"/>
      <c r="N52" s="41"/>
      <c r="O52" s="41"/>
      <c r="P52" s="41"/>
      <c r="Q52" s="41"/>
      <c r="R52" s="41"/>
      <c r="S52" s="13">
        <f t="shared" si="6"/>
        <v>0</v>
      </c>
      <c r="T52" s="13">
        <v>100000</v>
      </c>
      <c r="U52" s="13">
        <f t="shared" si="8"/>
        <v>0</v>
      </c>
      <c r="V52" s="4"/>
      <c r="W52" s="4"/>
      <c r="X52" s="4"/>
      <c r="Y52" s="4"/>
      <c r="Z52" s="45"/>
    </row>
    <row r="53" spans="2:26" ht="33" hidden="1" customHeight="1">
      <c r="B53" s="65">
        <v>46085</v>
      </c>
      <c r="C53" s="62" t="s">
        <v>17</v>
      </c>
      <c r="D53" s="51" t="s">
        <v>42</v>
      </c>
      <c r="E53" s="59" t="s">
        <v>103</v>
      </c>
      <c r="F53" s="5">
        <v>0.41666666666666669</v>
      </c>
      <c r="G53" s="73" t="s">
        <v>81</v>
      </c>
      <c r="H53" s="74"/>
      <c r="I53" s="34">
        <v>15</v>
      </c>
      <c r="J53" s="6">
        <f t="shared" si="2"/>
        <v>0.46666666666666667</v>
      </c>
      <c r="K53" s="38"/>
      <c r="L53" s="38"/>
      <c r="M53" s="38">
        <v>2</v>
      </c>
      <c r="N53" s="38"/>
      <c r="O53" s="38"/>
      <c r="P53" s="38"/>
      <c r="Q53" s="38">
        <v>5</v>
      </c>
      <c r="R53" s="38"/>
      <c r="S53" s="7">
        <f>SUM(K53:R53)</f>
        <v>7</v>
      </c>
      <c r="T53" s="7">
        <v>100000</v>
      </c>
      <c r="U53" s="7">
        <f>T53*S53</f>
        <v>700000</v>
      </c>
      <c r="V53" s="4"/>
      <c r="W53" s="4"/>
      <c r="X53" s="4"/>
      <c r="Y53" s="4"/>
      <c r="Z53" s="45"/>
    </row>
    <row r="54" spans="2:26" ht="37.5" hidden="1">
      <c r="B54" s="65"/>
      <c r="C54" s="63"/>
      <c r="D54" s="52" t="s">
        <v>42</v>
      </c>
      <c r="E54" s="60"/>
      <c r="F54" s="8">
        <v>0.5</v>
      </c>
      <c r="G54" s="78" t="s">
        <v>81</v>
      </c>
      <c r="H54" s="79"/>
      <c r="I54" s="35">
        <v>30</v>
      </c>
      <c r="J54" s="9">
        <f t="shared" si="2"/>
        <v>0.1</v>
      </c>
      <c r="K54" s="39"/>
      <c r="L54" s="39"/>
      <c r="M54" s="39">
        <v>3</v>
      </c>
      <c r="N54" s="39"/>
      <c r="O54" s="39"/>
      <c r="P54" s="39"/>
      <c r="Q54" s="39"/>
      <c r="R54" s="39"/>
      <c r="S54" s="10">
        <f t="shared" ref="S54:S64" si="9">SUM(K54:R54)</f>
        <v>3</v>
      </c>
      <c r="T54" s="10">
        <v>100000</v>
      </c>
      <c r="U54" s="10">
        <f t="shared" ref="U54:U55" si="10">T54*S54</f>
        <v>300000</v>
      </c>
      <c r="V54" s="4"/>
      <c r="W54" s="4"/>
      <c r="X54" s="4"/>
      <c r="Y54" s="4"/>
      <c r="Z54" s="45"/>
    </row>
    <row r="55" spans="2:26" ht="37.5" hidden="1">
      <c r="B55" s="65"/>
      <c r="C55" s="63"/>
      <c r="D55" s="52" t="s">
        <v>42</v>
      </c>
      <c r="E55" s="60"/>
      <c r="F55" s="8">
        <v>0.58333333333333337</v>
      </c>
      <c r="G55" s="78" t="s">
        <v>81</v>
      </c>
      <c r="H55" s="79"/>
      <c r="I55" s="35">
        <v>65</v>
      </c>
      <c r="J55" s="9">
        <f t="shared" si="2"/>
        <v>7.6923076923076927E-2</v>
      </c>
      <c r="K55" s="39"/>
      <c r="L55" s="39"/>
      <c r="M55" s="39"/>
      <c r="N55" s="39"/>
      <c r="O55" s="39"/>
      <c r="P55" s="39"/>
      <c r="Q55" s="39"/>
      <c r="R55" s="39">
        <v>5</v>
      </c>
      <c r="S55" s="10">
        <f t="shared" si="9"/>
        <v>5</v>
      </c>
      <c r="T55" s="10">
        <v>100000</v>
      </c>
      <c r="U55" s="10">
        <f t="shared" si="10"/>
        <v>500000</v>
      </c>
      <c r="V55" s="4"/>
      <c r="W55" s="4"/>
      <c r="X55" s="4"/>
      <c r="Y55" s="4"/>
      <c r="Z55" s="45"/>
    </row>
    <row r="56" spans="2:26" ht="37.5" hidden="1">
      <c r="B56" s="65"/>
      <c r="C56" s="63"/>
      <c r="D56" s="52" t="s">
        <v>42</v>
      </c>
      <c r="E56" s="60"/>
      <c r="F56" s="8">
        <v>0.66666666666666663</v>
      </c>
      <c r="G56" s="78" t="s">
        <v>81</v>
      </c>
      <c r="H56" s="79"/>
      <c r="I56" s="35">
        <v>70</v>
      </c>
      <c r="J56" s="9">
        <f t="shared" si="2"/>
        <v>2.8571428571428571E-2</v>
      </c>
      <c r="K56" s="39"/>
      <c r="L56" s="39"/>
      <c r="M56" s="39"/>
      <c r="N56" s="39"/>
      <c r="O56" s="39"/>
      <c r="P56" s="39"/>
      <c r="Q56" s="39"/>
      <c r="R56" s="39">
        <v>2</v>
      </c>
      <c r="S56" s="10">
        <f t="shared" si="9"/>
        <v>2</v>
      </c>
      <c r="T56" s="10">
        <v>100000</v>
      </c>
      <c r="U56" s="10">
        <f>T56*S56</f>
        <v>200000</v>
      </c>
      <c r="V56" s="4"/>
      <c r="W56" s="4"/>
      <c r="X56" s="4"/>
      <c r="Y56" s="4"/>
      <c r="Z56" s="45"/>
    </row>
    <row r="57" spans="2:26" ht="37.5" hidden="1">
      <c r="B57" s="65"/>
      <c r="C57" s="63"/>
      <c r="D57" s="52" t="s">
        <v>42</v>
      </c>
      <c r="E57" s="60"/>
      <c r="F57" s="8">
        <v>0.75</v>
      </c>
      <c r="G57" s="78" t="s">
        <v>81</v>
      </c>
      <c r="H57" s="79"/>
      <c r="I57" s="35">
        <v>13</v>
      </c>
      <c r="J57" s="9">
        <f t="shared" si="2"/>
        <v>0.30769230769230771</v>
      </c>
      <c r="K57" s="39"/>
      <c r="L57" s="39"/>
      <c r="M57" s="39">
        <v>4</v>
      </c>
      <c r="N57" s="39"/>
      <c r="O57" s="39"/>
      <c r="P57" s="39"/>
      <c r="Q57" s="39"/>
      <c r="R57" s="39"/>
      <c r="S57" s="10">
        <f t="shared" si="9"/>
        <v>4</v>
      </c>
      <c r="T57" s="10">
        <v>100000</v>
      </c>
      <c r="U57" s="10">
        <f t="shared" ref="U57:U64" si="11">T57*S57</f>
        <v>400000</v>
      </c>
      <c r="V57" s="4"/>
      <c r="W57" s="4"/>
      <c r="X57" s="11"/>
      <c r="Y57" s="4"/>
      <c r="Z57" s="45"/>
    </row>
    <row r="58" spans="2:26" ht="37.5" hidden="1">
      <c r="B58" s="65"/>
      <c r="C58" s="63"/>
      <c r="D58" s="53" t="s">
        <v>42</v>
      </c>
      <c r="E58" s="61"/>
      <c r="F58" s="12">
        <v>0.83333333333333337</v>
      </c>
      <c r="G58" s="78" t="s">
        <v>81</v>
      </c>
      <c r="H58" s="79"/>
      <c r="I58" s="36">
        <v>34</v>
      </c>
      <c r="J58" s="9">
        <f t="shared" si="2"/>
        <v>0.11764705882352941</v>
      </c>
      <c r="K58" s="41"/>
      <c r="L58" s="41"/>
      <c r="M58" s="41">
        <v>4</v>
      </c>
      <c r="N58" s="41"/>
      <c r="O58" s="41"/>
      <c r="P58" s="41"/>
      <c r="Q58" s="41"/>
      <c r="R58" s="41"/>
      <c r="S58" s="13">
        <f t="shared" si="9"/>
        <v>4</v>
      </c>
      <c r="T58" s="13">
        <v>100000</v>
      </c>
      <c r="U58" s="13">
        <f t="shared" si="11"/>
        <v>400000</v>
      </c>
      <c r="V58" s="4"/>
      <c r="Y58" s="4"/>
      <c r="Z58" s="45"/>
    </row>
    <row r="59" spans="2:26" ht="37.5" hidden="1">
      <c r="B59" s="65"/>
      <c r="C59" s="63"/>
      <c r="D59" s="51" t="s">
        <v>42</v>
      </c>
      <c r="E59" s="59" t="s">
        <v>104</v>
      </c>
      <c r="F59" s="5">
        <v>0.91666666666666663</v>
      </c>
      <c r="G59" s="73" t="s">
        <v>85</v>
      </c>
      <c r="H59" s="74"/>
      <c r="I59" s="34">
        <v>70</v>
      </c>
      <c r="J59" s="6">
        <f t="shared" si="2"/>
        <v>5.7142857142857141E-2</v>
      </c>
      <c r="K59" s="38"/>
      <c r="L59" s="38"/>
      <c r="M59" s="38">
        <v>1</v>
      </c>
      <c r="N59" s="38"/>
      <c r="O59" s="38"/>
      <c r="P59" s="38"/>
      <c r="Q59" s="38">
        <v>3</v>
      </c>
      <c r="R59" s="38"/>
      <c r="S59" s="7">
        <f t="shared" si="9"/>
        <v>4</v>
      </c>
      <c r="T59" s="7">
        <v>100000</v>
      </c>
      <c r="U59" s="7">
        <f t="shared" si="11"/>
        <v>400000</v>
      </c>
      <c r="V59" s="4"/>
      <c r="Y59" s="4"/>
      <c r="Z59" s="45"/>
    </row>
    <row r="60" spans="2:26" ht="37.5" hidden="1">
      <c r="B60" s="65"/>
      <c r="C60" s="63"/>
      <c r="D60" s="52" t="s">
        <v>42</v>
      </c>
      <c r="E60" s="60"/>
      <c r="F60" s="8">
        <v>1</v>
      </c>
      <c r="G60" s="78" t="s">
        <v>85</v>
      </c>
      <c r="H60" s="79"/>
      <c r="I60" s="35">
        <v>32</v>
      </c>
      <c r="J60" s="9">
        <f t="shared" si="2"/>
        <v>3.125E-2</v>
      </c>
      <c r="K60" s="39"/>
      <c r="L60" s="39"/>
      <c r="M60" s="39">
        <v>1</v>
      </c>
      <c r="N60" s="39"/>
      <c r="O60" s="39"/>
      <c r="P60" s="39"/>
      <c r="Q60" s="39"/>
      <c r="R60" s="39"/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37.5" hidden="1">
      <c r="B61" s="65"/>
      <c r="C61" s="63"/>
      <c r="D61" s="52" t="s">
        <v>42</v>
      </c>
      <c r="E61" s="60"/>
      <c r="F61" s="8">
        <v>8.3333333333333329E-2</v>
      </c>
      <c r="G61" s="78" t="s">
        <v>85</v>
      </c>
      <c r="H61" s="79"/>
      <c r="I61" s="35">
        <v>70</v>
      </c>
      <c r="J61" s="9">
        <f t="shared" si="2"/>
        <v>1.4285714285714285E-2</v>
      </c>
      <c r="K61" s="39"/>
      <c r="L61" s="39"/>
      <c r="M61" s="39">
        <v>1</v>
      </c>
      <c r="N61" s="39"/>
      <c r="O61" s="39"/>
      <c r="P61" s="39"/>
      <c r="Q61" s="39"/>
      <c r="R61" s="39"/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37.5" hidden="1">
      <c r="B62" s="65"/>
      <c r="C62" s="63"/>
      <c r="D62" s="52" t="s">
        <v>42</v>
      </c>
      <c r="E62" s="60"/>
      <c r="F62" s="8">
        <v>0.16666666666666666</v>
      </c>
      <c r="G62" s="78" t="s">
        <v>85</v>
      </c>
      <c r="H62" s="79"/>
      <c r="I62" s="35">
        <v>70</v>
      </c>
      <c r="J62" s="9">
        <f t="shared" si="2"/>
        <v>1.4285714285714285E-2</v>
      </c>
      <c r="K62" s="39"/>
      <c r="L62" s="39"/>
      <c r="M62" s="39">
        <v>1</v>
      </c>
      <c r="N62" s="39"/>
      <c r="O62" s="39"/>
      <c r="P62" s="39"/>
      <c r="Q62" s="39"/>
      <c r="R62" s="39"/>
      <c r="S62" s="10">
        <f t="shared" si="9"/>
        <v>1</v>
      </c>
      <c r="T62" s="10">
        <v>100000</v>
      </c>
      <c r="U62" s="10">
        <f t="shared" si="11"/>
        <v>100000</v>
      </c>
      <c r="V62" s="4"/>
      <c r="W62" s="4"/>
      <c r="X62" s="4"/>
      <c r="Y62" s="4"/>
    </row>
    <row r="63" spans="2:26" ht="37.5" hidden="1">
      <c r="B63" s="65"/>
      <c r="C63" s="63"/>
      <c r="D63" s="52" t="s">
        <v>42</v>
      </c>
      <c r="E63" s="60"/>
      <c r="F63" s="8">
        <v>0.25</v>
      </c>
      <c r="G63" s="78" t="s">
        <v>85</v>
      </c>
      <c r="H63" s="79"/>
      <c r="I63" s="35">
        <v>30</v>
      </c>
      <c r="J63" s="9">
        <f t="shared" si="2"/>
        <v>3.3333333333333333E-2</v>
      </c>
      <c r="K63" s="39"/>
      <c r="L63" s="39"/>
      <c r="M63" s="39">
        <v>1</v>
      </c>
      <c r="N63" s="39"/>
      <c r="O63" s="39"/>
      <c r="P63" s="39"/>
      <c r="Q63" s="39"/>
      <c r="R63" s="39"/>
      <c r="S63" s="10">
        <f t="shared" si="9"/>
        <v>1</v>
      </c>
      <c r="T63" s="10">
        <v>100000</v>
      </c>
      <c r="U63" s="10">
        <f t="shared" si="11"/>
        <v>100000</v>
      </c>
      <c r="V63" s="4"/>
      <c r="Y63" s="4"/>
    </row>
    <row r="64" spans="2:26" ht="37.5" hidden="1">
      <c r="B64" s="65"/>
      <c r="C64" s="63"/>
      <c r="D64" s="53" t="s">
        <v>42</v>
      </c>
      <c r="E64" s="61"/>
      <c r="F64" s="14">
        <v>0.33333333333333331</v>
      </c>
      <c r="G64" s="78" t="s">
        <v>85</v>
      </c>
      <c r="H64" s="79"/>
      <c r="I64" s="37">
        <v>70</v>
      </c>
      <c r="J64" s="9">
        <f t="shared" si="2"/>
        <v>1.4285714285714285E-2</v>
      </c>
      <c r="K64" s="40"/>
      <c r="L64" s="40"/>
      <c r="M64" s="40">
        <v>1</v>
      </c>
      <c r="N64" s="40"/>
      <c r="O64" s="40"/>
      <c r="P64" s="40"/>
      <c r="Q64" s="40"/>
      <c r="R64" s="40"/>
      <c r="S64" s="16">
        <f t="shared" si="9"/>
        <v>1</v>
      </c>
      <c r="T64" s="16">
        <v>100000</v>
      </c>
      <c r="U64" s="16">
        <f t="shared" si="11"/>
        <v>100000</v>
      </c>
      <c r="V64" s="4"/>
      <c r="W64" s="4"/>
      <c r="X64" s="4"/>
      <c r="Y64" s="4"/>
    </row>
    <row r="65" spans="2:25" ht="42.75" hidden="1" customHeight="1">
      <c r="B65" s="65">
        <v>46086</v>
      </c>
      <c r="C65" s="62" t="s">
        <v>17</v>
      </c>
      <c r="D65" s="51" t="s">
        <v>43</v>
      </c>
      <c r="E65" s="59" t="s">
        <v>103</v>
      </c>
      <c r="F65" s="5">
        <v>0.41666666666666669</v>
      </c>
      <c r="G65" s="73" t="s">
        <v>100</v>
      </c>
      <c r="H65" s="74"/>
      <c r="I65" s="34"/>
      <c r="J65" s="6" t="str">
        <f t="shared" si="2"/>
        <v/>
      </c>
      <c r="K65" s="38"/>
      <c r="L65" s="38"/>
      <c r="M65" s="38"/>
      <c r="N65" s="38"/>
      <c r="O65" s="38"/>
      <c r="P65" s="38"/>
      <c r="Q65" s="38">
        <v>10</v>
      </c>
      <c r="R65" s="38"/>
      <c r="S65" s="7">
        <f>SUM(K65:R65)</f>
        <v>10</v>
      </c>
      <c r="T65" s="7">
        <v>100000</v>
      </c>
      <c r="U65" s="7">
        <f>T65*S65</f>
        <v>1000000</v>
      </c>
      <c r="V65" s="4"/>
      <c r="W65" s="4"/>
      <c r="X65" s="4"/>
      <c r="Y65" s="4"/>
    </row>
    <row r="66" spans="2:25" ht="37.5" hidden="1">
      <c r="B66" s="65"/>
      <c r="C66" s="63"/>
      <c r="D66" s="52" t="s">
        <v>43</v>
      </c>
      <c r="E66" s="60"/>
      <c r="F66" s="8">
        <v>0.5</v>
      </c>
      <c r="G66" s="78" t="s">
        <v>100</v>
      </c>
      <c r="H66" s="79"/>
      <c r="I66" s="35"/>
      <c r="J66" s="9" t="str">
        <f t="shared" si="2"/>
        <v/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37.5" hidden="1">
      <c r="B67" s="65"/>
      <c r="C67" s="63"/>
      <c r="D67" s="52" t="s">
        <v>43</v>
      </c>
      <c r="E67" s="60"/>
      <c r="F67" s="8">
        <v>0.58333333333333337</v>
      </c>
      <c r="G67" s="78" t="s">
        <v>100</v>
      </c>
      <c r="H67" s="79"/>
      <c r="I67" s="35">
        <v>20</v>
      </c>
      <c r="J67" s="9">
        <f t="shared" si="2"/>
        <v>0.1</v>
      </c>
      <c r="K67" s="39"/>
      <c r="L67" s="39"/>
      <c r="M67" s="39"/>
      <c r="N67" s="39"/>
      <c r="O67" s="39"/>
      <c r="P67" s="39"/>
      <c r="Q67" s="39"/>
      <c r="R67" s="39">
        <v>2</v>
      </c>
      <c r="S67" s="10">
        <f t="shared" si="12"/>
        <v>2</v>
      </c>
      <c r="T67" s="10">
        <v>100000</v>
      </c>
      <c r="U67" s="10">
        <f t="shared" si="13"/>
        <v>200000</v>
      </c>
      <c r="V67" s="4"/>
      <c r="W67" s="4"/>
      <c r="X67" s="4"/>
      <c r="Y67" s="4"/>
    </row>
    <row r="68" spans="2:25" ht="37.5" hidden="1">
      <c r="B68" s="65"/>
      <c r="C68" s="63"/>
      <c r="D68" s="52" t="s">
        <v>43</v>
      </c>
      <c r="E68" s="60"/>
      <c r="F68" s="8">
        <v>0.66666666666666663</v>
      </c>
      <c r="G68" s="78" t="s">
        <v>100</v>
      </c>
      <c r="H68" s="79"/>
      <c r="I68" s="35">
        <v>48</v>
      </c>
      <c r="J68" s="9">
        <f t="shared" si="2"/>
        <v>2.0833333333333332E-2</v>
      </c>
      <c r="K68" s="39"/>
      <c r="L68" s="39"/>
      <c r="M68" s="39"/>
      <c r="N68" s="39"/>
      <c r="O68" s="39"/>
      <c r="P68" s="39"/>
      <c r="Q68" s="39"/>
      <c r="R68" s="39">
        <v>1</v>
      </c>
      <c r="S68" s="10">
        <f t="shared" si="12"/>
        <v>1</v>
      </c>
      <c r="T68" s="10">
        <v>100000</v>
      </c>
      <c r="U68" s="10">
        <f>T68*S68</f>
        <v>100000</v>
      </c>
      <c r="V68" s="4"/>
      <c r="W68" s="4"/>
      <c r="X68" s="4"/>
      <c r="Y68" s="4"/>
    </row>
    <row r="69" spans="2:25" ht="37.5" hidden="1">
      <c r="B69" s="65"/>
      <c r="C69" s="63"/>
      <c r="D69" s="52" t="s">
        <v>43</v>
      </c>
      <c r="E69" s="60"/>
      <c r="F69" s="8">
        <v>0.75</v>
      </c>
      <c r="G69" s="78" t="s">
        <v>100</v>
      </c>
      <c r="H69" s="79"/>
      <c r="I69" s="35">
        <v>8</v>
      </c>
      <c r="J69" s="9">
        <f t="shared" si="2"/>
        <v>0.625</v>
      </c>
      <c r="K69" s="39"/>
      <c r="L69" s="39"/>
      <c r="M69" s="39"/>
      <c r="N69" s="39"/>
      <c r="O69" s="39"/>
      <c r="P69" s="39"/>
      <c r="Q69" s="39"/>
      <c r="R69" s="39">
        <v>5</v>
      </c>
      <c r="S69" s="10">
        <f t="shared" si="12"/>
        <v>5</v>
      </c>
      <c r="T69" s="10">
        <v>100000</v>
      </c>
      <c r="U69" s="10">
        <f t="shared" ref="U69:U76" si="14">T69*S69</f>
        <v>500000</v>
      </c>
      <c r="V69" s="4"/>
      <c r="W69" s="4"/>
      <c r="X69" s="11"/>
      <c r="Y69" s="4"/>
    </row>
    <row r="70" spans="2:25" ht="37.5" hidden="1">
      <c r="B70" s="65"/>
      <c r="C70" s="63"/>
      <c r="D70" s="53" t="s">
        <v>43</v>
      </c>
      <c r="E70" s="61"/>
      <c r="F70" s="12">
        <v>0.83333333333333337</v>
      </c>
      <c r="G70" s="78" t="s">
        <v>100</v>
      </c>
      <c r="H70" s="79"/>
      <c r="I70" s="36"/>
      <c r="J70" s="9" t="str">
        <f t="shared" si="2"/>
        <v/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37.5" hidden="1">
      <c r="B71" s="65"/>
      <c r="C71" s="63"/>
      <c r="D71" s="51" t="s">
        <v>43</v>
      </c>
      <c r="E71" s="59" t="s">
        <v>104</v>
      </c>
      <c r="F71" s="5">
        <v>0.91666666666666663</v>
      </c>
      <c r="G71" s="73" t="s">
        <v>83</v>
      </c>
      <c r="H71" s="74"/>
      <c r="I71" s="34">
        <v>48</v>
      </c>
      <c r="J71" s="6">
        <f t="shared" si="2"/>
        <v>2.0833333333333332E-2</v>
      </c>
      <c r="K71" s="38">
        <v>1</v>
      </c>
      <c r="L71" s="38"/>
      <c r="M71" s="38"/>
      <c r="N71" s="38"/>
      <c r="O71" s="38"/>
      <c r="P71" s="38"/>
      <c r="Q71" s="38"/>
      <c r="R71" s="38"/>
      <c r="S71" s="7">
        <f t="shared" si="12"/>
        <v>1</v>
      </c>
      <c r="T71" s="7">
        <v>100000</v>
      </c>
      <c r="U71" s="7">
        <f t="shared" si="14"/>
        <v>100000</v>
      </c>
      <c r="V71" s="4"/>
      <c r="Y71" s="4"/>
    </row>
    <row r="72" spans="2:25" ht="37.5" hidden="1">
      <c r="B72" s="65"/>
      <c r="C72" s="63"/>
      <c r="D72" s="52" t="s">
        <v>43</v>
      </c>
      <c r="E72" s="60"/>
      <c r="F72" s="8">
        <v>1</v>
      </c>
      <c r="G72" s="78" t="s">
        <v>83</v>
      </c>
      <c r="H72" s="79"/>
      <c r="I72" s="35">
        <v>16</v>
      </c>
      <c r="J72" s="9">
        <f t="shared" si="2"/>
        <v>6.25E-2</v>
      </c>
      <c r="K72" s="39">
        <v>1</v>
      </c>
      <c r="L72" s="39"/>
      <c r="M72" s="39"/>
      <c r="N72" s="39"/>
      <c r="O72" s="39"/>
      <c r="P72" s="39"/>
      <c r="Q72" s="39"/>
      <c r="R72" s="39"/>
      <c r="S72" s="10">
        <f t="shared" si="12"/>
        <v>1</v>
      </c>
      <c r="T72" s="10">
        <v>100000</v>
      </c>
      <c r="U72" s="10">
        <f t="shared" si="14"/>
        <v>100000</v>
      </c>
      <c r="V72" s="4"/>
      <c r="Y72" s="4"/>
    </row>
    <row r="73" spans="2:25" ht="37.5" hidden="1">
      <c r="B73" s="65"/>
      <c r="C73" s="63"/>
      <c r="D73" s="52" t="s">
        <v>43</v>
      </c>
      <c r="E73" s="60"/>
      <c r="F73" s="8">
        <v>8.3333333333333329E-2</v>
      </c>
      <c r="G73" s="78" t="s">
        <v>83</v>
      </c>
      <c r="H73" s="79"/>
      <c r="I73" s="35">
        <v>48</v>
      </c>
      <c r="J73" s="9">
        <f t="shared" si="2"/>
        <v>2.0833333333333332E-2</v>
      </c>
      <c r="K73" s="39">
        <v>1</v>
      </c>
      <c r="L73" s="39"/>
      <c r="M73" s="39"/>
      <c r="N73" s="39"/>
      <c r="O73" s="39"/>
      <c r="P73" s="39"/>
      <c r="Q73" s="39"/>
      <c r="R73" s="39"/>
      <c r="S73" s="10">
        <f t="shared" si="12"/>
        <v>1</v>
      </c>
      <c r="T73" s="10">
        <v>100000</v>
      </c>
      <c r="U73" s="10">
        <f t="shared" si="14"/>
        <v>100000</v>
      </c>
      <c r="V73" s="4"/>
      <c r="Y73" s="4"/>
    </row>
    <row r="74" spans="2:25" ht="37.5" hidden="1">
      <c r="B74" s="65"/>
      <c r="C74" s="63"/>
      <c r="D74" s="52" t="s">
        <v>43</v>
      </c>
      <c r="E74" s="60"/>
      <c r="F74" s="8">
        <v>0.16666666666666666</v>
      </c>
      <c r="G74" s="78" t="s">
        <v>83</v>
      </c>
      <c r="H74" s="79"/>
      <c r="I74" s="35">
        <v>48</v>
      </c>
      <c r="J74" s="9">
        <f t="shared" si="2"/>
        <v>2.0833333333333332E-2</v>
      </c>
      <c r="K74" s="39">
        <v>1</v>
      </c>
      <c r="L74" s="39"/>
      <c r="M74" s="39"/>
      <c r="N74" s="39"/>
      <c r="O74" s="39"/>
      <c r="P74" s="39"/>
      <c r="Q74" s="39"/>
      <c r="R74" s="39"/>
      <c r="S74" s="10">
        <f t="shared" si="12"/>
        <v>1</v>
      </c>
      <c r="T74" s="10">
        <v>100000</v>
      </c>
      <c r="U74" s="10">
        <f t="shared" si="14"/>
        <v>100000</v>
      </c>
      <c r="V74" s="4"/>
      <c r="W74" s="4"/>
      <c r="X74" s="4"/>
      <c r="Y74" s="4"/>
    </row>
    <row r="75" spans="2:25" ht="37.5" hidden="1">
      <c r="B75" s="65"/>
      <c r="C75" s="63"/>
      <c r="D75" s="52" t="s">
        <v>43</v>
      </c>
      <c r="E75" s="60"/>
      <c r="F75" s="8">
        <v>0.25</v>
      </c>
      <c r="G75" s="78" t="s">
        <v>83</v>
      </c>
      <c r="H75" s="79"/>
      <c r="I75" s="35">
        <v>20</v>
      </c>
      <c r="J75" s="9">
        <f t="shared" si="2"/>
        <v>0.05</v>
      </c>
      <c r="K75" s="39">
        <v>1</v>
      </c>
      <c r="L75" s="39"/>
      <c r="M75" s="39"/>
      <c r="N75" s="39"/>
      <c r="O75" s="39"/>
      <c r="P75" s="39"/>
      <c r="Q75" s="39"/>
      <c r="R75" s="39"/>
      <c r="S75" s="10">
        <f t="shared" si="12"/>
        <v>1</v>
      </c>
      <c r="T75" s="10">
        <v>100000</v>
      </c>
      <c r="U75" s="10">
        <f t="shared" si="14"/>
        <v>100000</v>
      </c>
      <c r="V75" s="4"/>
      <c r="Y75" s="4"/>
    </row>
    <row r="76" spans="2:25" ht="37.5" hidden="1">
      <c r="B76" s="65"/>
      <c r="C76" s="63"/>
      <c r="D76" s="53" t="s">
        <v>43</v>
      </c>
      <c r="E76" s="61"/>
      <c r="F76" s="14">
        <v>0.33333333333333331</v>
      </c>
      <c r="G76" s="78" t="s">
        <v>83</v>
      </c>
      <c r="H76" s="79"/>
      <c r="I76" s="37">
        <v>48</v>
      </c>
      <c r="J76" s="9">
        <f t="shared" si="2"/>
        <v>2.0833333333333332E-2</v>
      </c>
      <c r="K76" s="40">
        <v>1</v>
      </c>
      <c r="L76" s="40"/>
      <c r="M76" s="40"/>
      <c r="N76" s="40"/>
      <c r="O76" s="40"/>
      <c r="P76" s="40"/>
      <c r="Q76" s="40"/>
      <c r="R76" s="40"/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36" hidden="1" customHeight="1">
      <c r="B77" s="65">
        <v>46087</v>
      </c>
      <c r="C77" s="62" t="s">
        <v>17</v>
      </c>
      <c r="D77" s="51" t="s">
        <v>43</v>
      </c>
      <c r="E77" s="59" t="s">
        <v>103</v>
      </c>
      <c r="F77" s="5">
        <v>0.41666666666666669</v>
      </c>
      <c r="G77" s="73" t="s">
        <v>100</v>
      </c>
      <c r="H77" s="74"/>
      <c r="I77" s="34">
        <v>44</v>
      </c>
      <c r="J77" s="6">
        <f t="shared" si="2"/>
        <v>9.0909090909090912E-2</v>
      </c>
      <c r="K77" s="38"/>
      <c r="L77" s="38"/>
      <c r="M77" s="38"/>
      <c r="N77" s="38"/>
      <c r="O77" s="38"/>
      <c r="P77" s="38"/>
      <c r="Q77" s="38"/>
      <c r="R77" s="38">
        <v>4</v>
      </c>
      <c r="S77" s="7">
        <f>SUM(K77:R77)</f>
        <v>4</v>
      </c>
      <c r="T77" s="7">
        <v>100000</v>
      </c>
      <c r="U77" s="7">
        <f>T77*S77</f>
        <v>400000</v>
      </c>
      <c r="V77" s="4"/>
      <c r="W77" s="4"/>
      <c r="X77" s="4"/>
      <c r="Y77" s="4"/>
    </row>
    <row r="78" spans="2:25" ht="37.5" hidden="1">
      <c r="B78" s="65"/>
      <c r="C78" s="63"/>
      <c r="D78" s="52" t="s">
        <v>43</v>
      </c>
      <c r="E78" s="60"/>
      <c r="F78" s="8">
        <v>0.5</v>
      </c>
      <c r="G78" s="78" t="s">
        <v>100</v>
      </c>
      <c r="H78" s="79"/>
      <c r="I78" s="35">
        <v>58</v>
      </c>
      <c r="J78" s="9">
        <f t="shared" si="2"/>
        <v>1.7241379310344827E-2</v>
      </c>
      <c r="K78" s="39"/>
      <c r="L78" s="39"/>
      <c r="M78" s="39"/>
      <c r="N78" s="39"/>
      <c r="O78" s="39"/>
      <c r="P78" s="39"/>
      <c r="Q78" s="39"/>
      <c r="R78" s="39">
        <v>1</v>
      </c>
      <c r="S78" s="10">
        <f t="shared" ref="S78:S88" si="15">SUM(K78:R78)</f>
        <v>1</v>
      </c>
      <c r="T78" s="10">
        <v>100000</v>
      </c>
      <c r="U78" s="10">
        <f t="shared" ref="U78:U79" si="16">T78*S78</f>
        <v>100000</v>
      </c>
      <c r="V78" s="4"/>
      <c r="W78" s="4"/>
      <c r="X78" s="4"/>
      <c r="Y78" s="4"/>
    </row>
    <row r="79" spans="2:25" ht="37.5" hidden="1">
      <c r="B79" s="65"/>
      <c r="C79" s="63"/>
      <c r="D79" s="52" t="s">
        <v>43</v>
      </c>
      <c r="E79" s="60"/>
      <c r="F79" s="8">
        <v>0.58333333333333337</v>
      </c>
      <c r="G79" s="78" t="s">
        <v>100</v>
      </c>
      <c r="H79" s="79"/>
      <c r="I79" s="35">
        <v>60</v>
      </c>
      <c r="J79" s="9">
        <f t="shared" si="2"/>
        <v>0</v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37.5" hidden="1">
      <c r="B80" s="65"/>
      <c r="C80" s="63"/>
      <c r="D80" s="52" t="s">
        <v>43</v>
      </c>
      <c r="E80" s="60"/>
      <c r="F80" s="8">
        <v>0.66666666666666663</v>
      </c>
      <c r="G80" s="78" t="s">
        <v>100</v>
      </c>
      <c r="H80" s="79"/>
      <c r="I80" s="35">
        <v>60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37.5" hidden="1">
      <c r="B81" s="65"/>
      <c r="C81" s="63"/>
      <c r="D81" s="52" t="s">
        <v>43</v>
      </c>
      <c r="E81" s="60"/>
      <c r="F81" s="8">
        <v>0.75</v>
      </c>
      <c r="G81" s="78" t="s">
        <v>100</v>
      </c>
      <c r="H81" s="79"/>
      <c r="I81" s="35">
        <v>60</v>
      </c>
      <c r="J81" s="9">
        <f t="shared" si="2"/>
        <v>0</v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37.5" hidden="1">
      <c r="B82" s="65"/>
      <c r="C82" s="63"/>
      <c r="D82" s="53" t="s">
        <v>43</v>
      </c>
      <c r="E82" s="61"/>
      <c r="F82" s="12">
        <v>0.83333333333333337</v>
      </c>
      <c r="G82" s="78" t="s">
        <v>100</v>
      </c>
      <c r="H82" s="79"/>
      <c r="I82" s="36">
        <v>60</v>
      </c>
      <c r="J82" s="9">
        <f t="shared" si="2"/>
        <v>0</v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37.5" hidden="1">
      <c r="B83" s="65"/>
      <c r="C83" s="63"/>
      <c r="D83" s="51" t="s">
        <v>43</v>
      </c>
      <c r="E83" s="59" t="s">
        <v>104</v>
      </c>
      <c r="F83" s="5">
        <v>0.91666666666666663</v>
      </c>
      <c r="G83" s="73" t="s">
        <v>83</v>
      </c>
      <c r="H83" s="74"/>
      <c r="I83" s="34">
        <v>57</v>
      </c>
      <c r="J83" s="6">
        <f t="shared" ref="J83:J136" si="18">IFERROR(S83/I83,"")</f>
        <v>1.7543859649122806E-2</v>
      </c>
      <c r="K83" s="38">
        <v>1</v>
      </c>
      <c r="L83" s="38"/>
      <c r="M83" s="38"/>
      <c r="N83" s="38"/>
      <c r="O83" s="38"/>
      <c r="P83" s="38"/>
      <c r="Q83" s="38"/>
      <c r="R83" s="38"/>
      <c r="S83" s="7">
        <f t="shared" si="15"/>
        <v>1</v>
      </c>
      <c r="T83" s="7">
        <v>100000</v>
      </c>
      <c r="U83" s="7">
        <f t="shared" si="17"/>
        <v>100000</v>
      </c>
      <c r="V83" s="4"/>
      <c r="Y83" s="4"/>
    </row>
    <row r="84" spans="2:25" ht="37.5" hidden="1">
      <c r="B84" s="65"/>
      <c r="C84" s="63"/>
      <c r="D84" s="52" t="s">
        <v>43</v>
      </c>
      <c r="E84" s="60"/>
      <c r="F84" s="8">
        <v>1</v>
      </c>
      <c r="G84" s="78" t="s">
        <v>83</v>
      </c>
      <c r="H84" s="79"/>
      <c r="I84" s="35">
        <v>57</v>
      </c>
      <c r="J84" s="9">
        <f t="shared" si="18"/>
        <v>1.7543859649122806E-2</v>
      </c>
      <c r="K84" s="39">
        <v>1</v>
      </c>
      <c r="L84" s="39"/>
      <c r="M84" s="39"/>
      <c r="N84" s="39"/>
      <c r="O84" s="39"/>
      <c r="P84" s="39"/>
      <c r="Q84" s="39"/>
      <c r="R84" s="39"/>
      <c r="S84" s="10">
        <f t="shared" si="15"/>
        <v>1</v>
      </c>
      <c r="T84" s="10">
        <v>100000</v>
      </c>
      <c r="U84" s="10">
        <f t="shared" si="17"/>
        <v>100000</v>
      </c>
      <c r="V84" s="4"/>
      <c r="Y84" s="4"/>
    </row>
    <row r="85" spans="2:25" ht="37.5" hidden="1">
      <c r="B85" s="65"/>
      <c r="C85" s="63"/>
      <c r="D85" s="52" t="s">
        <v>43</v>
      </c>
      <c r="E85" s="60"/>
      <c r="F85" s="8">
        <v>8.3333333333333329E-2</v>
      </c>
      <c r="G85" s="78" t="s">
        <v>83</v>
      </c>
      <c r="H85" s="79"/>
      <c r="I85" s="35">
        <v>57</v>
      </c>
      <c r="J85" s="9">
        <f t="shared" si="18"/>
        <v>1.7543859649122806E-2</v>
      </c>
      <c r="K85" s="39">
        <v>1</v>
      </c>
      <c r="L85" s="39"/>
      <c r="M85" s="39"/>
      <c r="N85" s="39"/>
      <c r="O85" s="39"/>
      <c r="P85" s="39"/>
      <c r="Q85" s="39"/>
      <c r="R85" s="39"/>
      <c r="S85" s="10">
        <f t="shared" si="15"/>
        <v>1</v>
      </c>
      <c r="T85" s="10">
        <v>100000</v>
      </c>
      <c r="U85" s="10">
        <f t="shared" si="17"/>
        <v>100000</v>
      </c>
      <c r="V85" s="4"/>
      <c r="Y85" s="4"/>
    </row>
    <row r="86" spans="2:25" ht="37.5" hidden="1">
      <c r="B86" s="65"/>
      <c r="C86" s="63"/>
      <c r="D86" s="52" t="s">
        <v>43</v>
      </c>
      <c r="E86" s="60"/>
      <c r="F86" s="8">
        <v>0.16666666666666666</v>
      </c>
      <c r="G86" s="78" t="s">
        <v>83</v>
      </c>
      <c r="H86" s="79"/>
      <c r="I86" s="35">
        <v>57</v>
      </c>
      <c r="J86" s="9">
        <f t="shared" si="18"/>
        <v>0</v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37.5" hidden="1">
      <c r="B87" s="65"/>
      <c r="C87" s="63"/>
      <c r="D87" s="52" t="s">
        <v>43</v>
      </c>
      <c r="E87" s="60"/>
      <c r="F87" s="8">
        <v>0.25</v>
      </c>
      <c r="G87" s="78" t="s">
        <v>83</v>
      </c>
      <c r="H87" s="79"/>
      <c r="I87" s="35">
        <v>57</v>
      </c>
      <c r="J87" s="9">
        <f t="shared" si="18"/>
        <v>0</v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37.5" hidden="1">
      <c r="B88" s="65"/>
      <c r="C88" s="63"/>
      <c r="D88" s="53" t="s">
        <v>43</v>
      </c>
      <c r="E88" s="61"/>
      <c r="F88" s="14">
        <v>0.33333333333333331</v>
      </c>
      <c r="G88" s="78" t="s">
        <v>83</v>
      </c>
      <c r="H88" s="79"/>
      <c r="I88" s="37">
        <v>57</v>
      </c>
      <c r="J88" s="9">
        <f t="shared" si="18"/>
        <v>0</v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33.75" hidden="1" customHeight="1">
      <c r="B89" s="65">
        <v>46088</v>
      </c>
      <c r="C89" s="62" t="s">
        <v>17</v>
      </c>
      <c r="D89" s="51" t="s">
        <v>43</v>
      </c>
      <c r="E89" s="59" t="s">
        <v>103</v>
      </c>
      <c r="F89" s="5">
        <v>0.41666666666666669</v>
      </c>
      <c r="G89" s="73" t="s">
        <v>80</v>
      </c>
      <c r="H89" s="74"/>
      <c r="I89" s="34">
        <v>60</v>
      </c>
      <c r="J89" s="6">
        <f t="shared" si="18"/>
        <v>0.11666666666666667</v>
      </c>
      <c r="K89" s="38"/>
      <c r="L89" s="38"/>
      <c r="M89" s="38"/>
      <c r="N89" s="38"/>
      <c r="O89" s="38"/>
      <c r="P89" s="38"/>
      <c r="Q89" s="38">
        <v>7</v>
      </c>
      <c r="R89" s="38"/>
      <c r="S89" s="7">
        <f>SUM(K89:R89)</f>
        <v>7</v>
      </c>
      <c r="T89" s="7">
        <v>100000</v>
      </c>
      <c r="U89" s="7">
        <f>T89*S89</f>
        <v>700000</v>
      </c>
      <c r="V89" s="4"/>
      <c r="W89" s="4"/>
      <c r="X89" s="4"/>
      <c r="Y89" s="4"/>
    </row>
    <row r="90" spans="2:25" ht="37.5" hidden="1">
      <c r="B90" s="65"/>
      <c r="C90" s="63"/>
      <c r="D90" s="52" t="s">
        <v>43</v>
      </c>
      <c r="E90" s="60"/>
      <c r="F90" s="8">
        <v>0.5</v>
      </c>
      <c r="G90" s="78" t="s">
        <v>80</v>
      </c>
      <c r="H90" s="79"/>
      <c r="I90" s="35">
        <v>60</v>
      </c>
      <c r="J90" s="9">
        <f t="shared" si="18"/>
        <v>0</v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37.5" hidden="1">
      <c r="B91" s="65"/>
      <c r="C91" s="63"/>
      <c r="D91" s="52" t="s">
        <v>43</v>
      </c>
      <c r="E91" s="60"/>
      <c r="F91" s="8">
        <v>0.58333333333333337</v>
      </c>
      <c r="G91" s="78" t="s">
        <v>80</v>
      </c>
      <c r="H91" s="79"/>
      <c r="I91" s="35">
        <v>60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37.5" hidden="1">
      <c r="B92" s="65"/>
      <c r="C92" s="63"/>
      <c r="D92" s="52" t="s">
        <v>43</v>
      </c>
      <c r="E92" s="60"/>
      <c r="F92" s="8">
        <v>0.66666666666666663</v>
      </c>
      <c r="G92" s="78" t="s">
        <v>80</v>
      </c>
      <c r="H92" s="79"/>
      <c r="I92" s="35">
        <v>60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37.5" hidden="1">
      <c r="B93" s="65"/>
      <c r="C93" s="63"/>
      <c r="D93" s="52" t="s">
        <v>43</v>
      </c>
      <c r="E93" s="60"/>
      <c r="F93" s="8">
        <v>0.75</v>
      </c>
      <c r="G93" s="78" t="s">
        <v>80</v>
      </c>
      <c r="H93" s="79"/>
      <c r="I93" s="35">
        <v>23</v>
      </c>
      <c r="J93" s="9">
        <f t="shared" si="18"/>
        <v>4.3478260869565216E-2</v>
      </c>
      <c r="K93" s="39">
        <v>1</v>
      </c>
      <c r="L93" s="39"/>
      <c r="M93" s="39"/>
      <c r="N93" s="39"/>
      <c r="O93" s="39"/>
      <c r="P93" s="39"/>
      <c r="Q93" s="39"/>
      <c r="R93" s="39"/>
      <c r="S93" s="10">
        <f t="shared" si="19"/>
        <v>1</v>
      </c>
      <c r="T93" s="10">
        <v>100000</v>
      </c>
      <c r="U93" s="10">
        <f t="shared" ref="U93:U100" si="21">T93*S93</f>
        <v>100000</v>
      </c>
      <c r="V93" s="4"/>
      <c r="W93" s="4"/>
      <c r="X93" s="11"/>
      <c r="Y93" s="4"/>
    </row>
    <row r="94" spans="2:25" ht="37.5" hidden="1">
      <c r="B94" s="65"/>
      <c r="C94" s="63"/>
      <c r="D94" s="53" t="s">
        <v>43</v>
      </c>
      <c r="E94" s="61"/>
      <c r="F94" s="12">
        <v>0.83333333333333337</v>
      </c>
      <c r="G94" s="78" t="s">
        <v>80</v>
      </c>
      <c r="H94" s="79"/>
      <c r="I94" s="36">
        <v>60</v>
      </c>
      <c r="J94" s="9">
        <f t="shared" si="18"/>
        <v>0</v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37.5" hidden="1">
      <c r="B95" s="65"/>
      <c r="C95" s="63"/>
      <c r="D95" s="51" t="s">
        <v>43</v>
      </c>
      <c r="E95" s="59" t="s">
        <v>104</v>
      </c>
      <c r="F95" s="5">
        <v>0.91666666666666663</v>
      </c>
      <c r="G95" s="73" t="s">
        <v>83</v>
      </c>
      <c r="H95" s="74"/>
      <c r="I95" s="34">
        <v>53</v>
      </c>
      <c r="J95" s="6">
        <f t="shared" si="18"/>
        <v>0.11320754716981132</v>
      </c>
      <c r="K95" s="38"/>
      <c r="L95" s="38"/>
      <c r="M95" s="38"/>
      <c r="N95" s="38"/>
      <c r="O95" s="38"/>
      <c r="P95" s="38"/>
      <c r="Q95" s="38"/>
      <c r="R95" s="38">
        <v>6</v>
      </c>
      <c r="S95" s="7">
        <f t="shared" si="19"/>
        <v>6</v>
      </c>
      <c r="T95" s="7">
        <v>100000</v>
      </c>
      <c r="U95" s="7">
        <f t="shared" si="21"/>
        <v>600000</v>
      </c>
      <c r="V95" s="4"/>
      <c r="Y95" s="4"/>
    </row>
    <row r="96" spans="2:25" ht="37.5" hidden="1">
      <c r="B96" s="65"/>
      <c r="C96" s="63"/>
      <c r="D96" s="52" t="s">
        <v>43</v>
      </c>
      <c r="E96" s="60"/>
      <c r="F96" s="8">
        <v>1</v>
      </c>
      <c r="G96" s="78" t="s">
        <v>83</v>
      </c>
      <c r="H96" s="79"/>
      <c r="I96" s="35">
        <v>55</v>
      </c>
      <c r="J96" s="9">
        <f t="shared" si="18"/>
        <v>5.4545454545454543E-2</v>
      </c>
      <c r="K96" s="39"/>
      <c r="L96" s="39"/>
      <c r="M96" s="39"/>
      <c r="N96" s="39"/>
      <c r="O96" s="39"/>
      <c r="P96" s="39"/>
      <c r="Q96" s="39"/>
      <c r="R96" s="39">
        <v>3</v>
      </c>
      <c r="S96" s="10">
        <f t="shared" si="19"/>
        <v>3</v>
      </c>
      <c r="T96" s="10">
        <v>100000</v>
      </c>
      <c r="U96" s="10">
        <f t="shared" si="21"/>
        <v>300000</v>
      </c>
      <c r="V96" s="4"/>
      <c r="Y96" s="4"/>
    </row>
    <row r="97" spans="2:25" ht="37.5" hidden="1">
      <c r="B97" s="65"/>
      <c r="C97" s="63"/>
      <c r="D97" s="52" t="s">
        <v>43</v>
      </c>
      <c r="E97" s="60"/>
      <c r="F97" s="8">
        <v>8.3333333333333329E-2</v>
      </c>
      <c r="G97" s="78" t="s">
        <v>83</v>
      </c>
      <c r="H97" s="79"/>
      <c r="I97" s="35">
        <v>56</v>
      </c>
      <c r="J97" s="9">
        <f t="shared" si="18"/>
        <v>5.3571428571428568E-2</v>
      </c>
      <c r="K97" s="39"/>
      <c r="L97" s="39"/>
      <c r="M97" s="39"/>
      <c r="N97" s="39"/>
      <c r="O97" s="39"/>
      <c r="P97" s="39"/>
      <c r="Q97" s="39"/>
      <c r="R97" s="39">
        <v>3</v>
      </c>
      <c r="S97" s="10">
        <f t="shared" si="19"/>
        <v>3</v>
      </c>
      <c r="T97" s="10">
        <v>100000</v>
      </c>
      <c r="U97" s="10">
        <f t="shared" si="21"/>
        <v>300000</v>
      </c>
      <c r="V97" s="4"/>
      <c r="Y97" s="4"/>
    </row>
    <row r="98" spans="2:25" ht="37.5" hidden="1">
      <c r="B98" s="65"/>
      <c r="C98" s="63"/>
      <c r="D98" s="52" t="s">
        <v>43</v>
      </c>
      <c r="E98" s="60"/>
      <c r="F98" s="8">
        <v>0.16666666666666666</v>
      </c>
      <c r="G98" s="78" t="s">
        <v>83</v>
      </c>
      <c r="H98" s="79"/>
      <c r="I98" s="35">
        <v>60</v>
      </c>
      <c r="J98" s="9">
        <f t="shared" si="18"/>
        <v>3.3333333333333333E-2</v>
      </c>
      <c r="K98" s="39"/>
      <c r="L98" s="39"/>
      <c r="M98" s="39"/>
      <c r="N98" s="39"/>
      <c r="O98" s="39"/>
      <c r="P98" s="39"/>
      <c r="Q98" s="39"/>
      <c r="R98" s="39">
        <v>2</v>
      </c>
      <c r="S98" s="10">
        <f t="shared" si="19"/>
        <v>2</v>
      </c>
      <c r="T98" s="10">
        <v>100000</v>
      </c>
      <c r="U98" s="10">
        <f t="shared" si="21"/>
        <v>200000</v>
      </c>
      <c r="V98" s="4"/>
      <c r="W98" s="4"/>
      <c r="X98" s="4"/>
      <c r="Y98" s="4"/>
    </row>
    <row r="99" spans="2:25" ht="37.5" hidden="1">
      <c r="B99" s="65"/>
      <c r="C99" s="63"/>
      <c r="D99" s="52" t="s">
        <v>43</v>
      </c>
      <c r="E99" s="60"/>
      <c r="F99" s="8">
        <v>0.25</v>
      </c>
      <c r="G99" s="78" t="s">
        <v>83</v>
      </c>
      <c r="H99" s="79"/>
      <c r="I99" s="35">
        <v>58</v>
      </c>
      <c r="J99" s="9">
        <f t="shared" si="18"/>
        <v>3.4482758620689655E-2</v>
      </c>
      <c r="K99" s="39"/>
      <c r="L99" s="39"/>
      <c r="M99" s="39"/>
      <c r="N99" s="39"/>
      <c r="O99" s="39"/>
      <c r="P99" s="39"/>
      <c r="Q99" s="39"/>
      <c r="R99" s="39">
        <v>2</v>
      </c>
      <c r="S99" s="10">
        <f t="shared" si="19"/>
        <v>2</v>
      </c>
      <c r="T99" s="10">
        <v>100000</v>
      </c>
      <c r="U99" s="10">
        <f t="shared" si="21"/>
        <v>200000</v>
      </c>
      <c r="V99" s="4"/>
      <c r="Y99" s="4"/>
    </row>
    <row r="100" spans="2:25" ht="37.5" hidden="1">
      <c r="B100" s="65"/>
      <c r="C100" s="63"/>
      <c r="D100" s="53" t="s">
        <v>43</v>
      </c>
      <c r="E100" s="61"/>
      <c r="F100" s="14">
        <v>0.33333333333333331</v>
      </c>
      <c r="G100" s="78" t="s">
        <v>83</v>
      </c>
      <c r="H100" s="79"/>
      <c r="I100" s="37">
        <v>60</v>
      </c>
      <c r="J100" s="9">
        <f t="shared" si="18"/>
        <v>0</v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33.75" customHeight="1">
      <c r="B101" s="65">
        <v>46089</v>
      </c>
      <c r="C101" s="62" t="s">
        <v>17</v>
      </c>
      <c r="D101" s="51" t="s">
        <v>43</v>
      </c>
      <c r="E101" s="59" t="s">
        <v>103</v>
      </c>
      <c r="F101" s="5">
        <v>0.41666666666666669</v>
      </c>
      <c r="G101" s="73" t="s">
        <v>77</v>
      </c>
      <c r="H101" s="74"/>
      <c r="I101" s="34">
        <v>60</v>
      </c>
      <c r="J101" s="6">
        <f t="shared" si="18"/>
        <v>0</v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37.5">
      <c r="B102" s="65"/>
      <c r="C102" s="63"/>
      <c r="D102" s="52" t="s">
        <v>43</v>
      </c>
      <c r="E102" s="60"/>
      <c r="F102" s="8">
        <v>0.5</v>
      </c>
      <c r="G102" s="78" t="s">
        <v>77</v>
      </c>
      <c r="H102" s="79"/>
      <c r="I102" s="35">
        <v>60</v>
      </c>
      <c r="J102" s="9">
        <f t="shared" si="18"/>
        <v>0</v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37.5">
      <c r="B103" s="65"/>
      <c r="C103" s="63"/>
      <c r="D103" s="52" t="s">
        <v>43</v>
      </c>
      <c r="E103" s="60"/>
      <c r="F103" s="8">
        <v>0.58333333333333337</v>
      </c>
      <c r="G103" s="78" t="s">
        <v>77</v>
      </c>
      <c r="H103" s="79"/>
      <c r="I103" s="35">
        <v>58</v>
      </c>
      <c r="J103" s="9">
        <f t="shared" si="18"/>
        <v>6.8965517241379309E-2</v>
      </c>
      <c r="K103" s="39"/>
      <c r="L103" s="39"/>
      <c r="M103" s="39"/>
      <c r="N103" s="39"/>
      <c r="O103" s="39"/>
      <c r="P103" s="39"/>
      <c r="Q103" s="39"/>
      <c r="R103" s="39">
        <v>4</v>
      </c>
      <c r="S103" s="10">
        <f t="shared" si="22"/>
        <v>4</v>
      </c>
      <c r="T103" s="10">
        <v>100000</v>
      </c>
      <c r="U103" s="10">
        <f t="shared" si="23"/>
        <v>400000</v>
      </c>
      <c r="V103" s="4"/>
      <c r="W103" s="4"/>
      <c r="X103" s="4"/>
      <c r="Y103" s="4"/>
    </row>
    <row r="104" spans="2:25" ht="37.5">
      <c r="B104" s="65"/>
      <c r="C104" s="63"/>
      <c r="D104" s="52" t="s">
        <v>43</v>
      </c>
      <c r="E104" s="60"/>
      <c r="F104" s="8">
        <v>0.66666666666666663</v>
      </c>
      <c r="G104" s="78" t="s">
        <v>77</v>
      </c>
      <c r="H104" s="79"/>
      <c r="I104" s="35">
        <v>60</v>
      </c>
      <c r="J104" s="9">
        <f t="shared" si="18"/>
        <v>0</v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37.5">
      <c r="B105" s="65"/>
      <c r="C105" s="63"/>
      <c r="D105" s="52" t="s">
        <v>43</v>
      </c>
      <c r="E105" s="60"/>
      <c r="F105" s="8">
        <v>0.75</v>
      </c>
      <c r="G105" s="78" t="s">
        <v>77</v>
      </c>
      <c r="H105" s="79"/>
      <c r="I105" s="35">
        <v>28</v>
      </c>
      <c r="J105" s="9">
        <f t="shared" si="18"/>
        <v>0</v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37.5">
      <c r="B106" s="65"/>
      <c r="C106" s="63"/>
      <c r="D106" s="53" t="s">
        <v>43</v>
      </c>
      <c r="E106" s="61"/>
      <c r="F106" s="12">
        <v>0.83333333333333337</v>
      </c>
      <c r="G106" s="78" t="s">
        <v>77</v>
      </c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37.5">
      <c r="B107" s="65"/>
      <c r="C107" s="63"/>
      <c r="D107" s="51" t="s">
        <v>43</v>
      </c>
      <c r="E107" s="59" t="s">
        <v>104</v>
      </c>
      <c r="F107" s="5">
        <v>0.91666666666666663</v>
      </c>
      <c r="G107" s="73" t="s">
        <v>83</v>
      </c>
      <c r="H107" s="74"/>
      <c r="I107" s="34">
        <v>45</v>
      </c>
      <c r="J107" s="6">
        <f t="shared" si="18"/>
        <v>0.13333333333333333</v>
      </c>
      <c r="K107" s="38">
        <v>1</v>
      </c>
      <c r="L107" s="38"/>
      <c r="M107" s="38"/>
      <c r="N107" s="38"/>
      <c r="O107" s="38"/>
      <c r="P107" s="38"/>
      <c r="Q107" s="38">
        <v>5</v>
      </c>
      <c r="R107" s="38"/>
      <c r="S107" s="7">
        <f t="shared" si="22"/>
        <v>6</v>
      </c>
      <c r="T107" s="7">
        <v>100000</v>
      </c>
      <c r="U107" s="7">
        <f t="shared" si="24"/>
        <v>600000</v>
      </c>
      <c r="V107" s="4"/>
      <c r="Y107" s="4"/>
    </row>
    <row r="108" spans="2:25" ht="37.5">
      <c r="B108" s="65"/>
      <c r="C108" s="63"/>
      <c r="D108" s="52" t="s">
        <v>43</v>
      </c>
      <c r="E108" s="60"/>
      <c r="F108" s="8">
        <v>1</v>
      </c>
      <c r="G108" s="78" t="s">
        <v>83</v>
      </c>
      <c r="H108" s="79"/>
      <c r="I108" s="35">
        <v>59</v>
      </c>
      <c r="J108" s="9">
        <f t="shared" si="18"/>
        <v>1.6949152542372881E-2</v>
      </c>
      <c r="K108" s="39">
        <v>1</v>
      </c>
      <c r="L108" s="39"/>
      <c r="M108" s="39"/>
      <c r="N108" s="39"/>
      <c r="O108" s="39"/>
      <c r="P108" s="39"/>
      <c r="Q108" s="39"/>
      <c r="R108" s="39"/>
      <c r="S108" s="10">
        <f t="shared" si="22"/>
        <v>1</v>
      </c>
      <c r="T108" s="10">
        <v>100000</v>
      </c>
      <c r="U108" s="10">
        <f t="shared" si="24"/>
        <v>100000</v>
      </c>
      <c r="V108" s="4"/>
      <c r="Y108" s="4"/>
    </row>
    <row r="109" spans="2:25" ht="37.5">
      <c r="B109" s="65"/>
      <c r="C109" s="63"/>
      <c r="D109" s="52" t="s">
        <v>43</v>
      </c>
      <c r="E109" s="60"/>
      <c r="F109" s="8">
        <v>8.3333333333333329E-2</v>
      </c>
      <c r="G109" s="78" t="s">
        <v>83</v>
      </c>
      <c r="H109" s="79"/>
      <c r="I109" s="35">
        <v>59</v>
      </c>
      <c r="J109" s="9">
        <f t="shared" si="18"/>
        <v>1.6949152542372881E-2</v>
      </c>
      <c r="K109" s="39">
        <v>1</v>
      </c>
      <c r="L109" s="39"/>
      <c r="M109" s="39"/>
      <c r="N109" s="39"/>
      <c r="O109" s="39"/>
      <c r="P109" s="39"/>
      <c r="Q109" s="39"/>
      <c r="R109" s="39"/>
      <c r="S109" s="10">
        <f t="shared" si="22"/>
        <v>1</v>
      </c>
      <c r="T109" s="10">
        <v>100000</v>
      </c>
      <c r="U109" s="10">
        <f t="shared" si="24"/>
        <v>100000</v>
      </c>
      <c r="V109" s="4"/>
      <c r="Y109" s="4"/>
    </row>
    <row r="110" spans="2:25" ht="37.5">
      <c r="B110" s="65"/>
      <c r="C110" s="63"/>
      <c r="D110" s="52" t="s">
        <v>43</v>
      </c>
      <c r="E110" s="60"/>
      <c r="F110" s="8">
        <v>0.16666666666666666</v>
      </c>
      <c r="G110" s="78" t="s">
        <v>83</v>
      </c>
      <c r="H110" s="79"/>
      <c r="I110" s="35">
        <v>59</v>
      </c>
      <c r="J110" s="9">
        <f t="shared" si="18"/>
        <v>1.6949152542372881E-2</v>
      </c>
      <c r="K110" s="39">
        <v>1</v>
      </c>
      <c r="L110" s="39"/>
      <c r="M110" s="39"/>
      <c r="N110" s="39"/>
      <c r="O110" s="39"/>
      <c r="P110" s="39"/>
      <c r="Q110" s="39"/>
      <c r="R110" s="39"/>
      <c r="S110" s="10">
        <f t="shared" si="22"/>
        <v>1</v>
      </c>
      <c r="T110" s="10">
        <v>100000</v>
      </c>
      <c r="U110" s="10">
        <f t="shared" si="24"/>
        <v>100000</v>
      </c>
      <c r="V110" s="4"/>
      <c r="W110" s="4"/>
      <c r="X110" s="4"/>
      <c r="Y110" s="4"/>
    </row>
    <row r="111" spans="2:25" ht="37.5">
      <c r="B111" s="65"/>
      <c r="C111" s="63"/>
      <c r="D111" s="52" t="s">
        <v>43</v>
      </c>
      <c r="E111" s="60"/>
      <c r="F111" s="8">
        <v>0.25</v>
      </c>
      <c r="G111" s="78" t="s">
        <v>83</v>
      </c>
      <c r="H111" s="79"/>
      <c r="I111" s="35">
        <v>60</v>
      </c>
      <c r="J111" s="9">
        <f t="shared" si="18"/>
        <v>0</v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37.5">
      <c r="B112" s="65"/>
      <c r="C112" s="63"/>
      <c r="D112" s="53" t="s">
        <v>43</v>
      </c>
      <c r="E112" s="61"/>
      <c r="F112" s="14">
        <v>0.33333333333333331</v>
      </c>
      <c r="G112" s="78" t="s">
        <v>83</v>
      </c>
      <c r="H112" s="79"/>
      <c r="I112" s="37">
        <v>60</v>
      </c>
      <c r="J112" s="9">
        <f t="shared" si="18"/>
        <v>0</v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39.75" customHeight="1">
      <c r="B113" s="65">
        <v>46090</v>
      </c>
      <c r="C113" s="62" t="s">
        <v>17</v>
      </c>
      <c r="D113" s="51" t="s">
        <v>43</v>
      </c>
      <c r="E113" s="59" t="s">
        <v>103</v>
      </c>
      <c r="F113" s="5">
        <v>0.41666666666666669</v>
      </c>
      <c r="G113" s="73" t="s">
        <v>77</v>
      </c>
      <c r="H113" s="74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37.5">
      <c r="B114" s="65"/>
      <c r="C114" s="63"/>
      <c r="D114" s="52" t="s">
        <v>43</v>
      </c>
      <c r="E114" s="60"/>
      <c r="F114" s="8">
        <v>0.5</v>
      </c>
      <c r="G114" s="78" t="s">
        <v>77</v>
      </c>
      <c r="H114" s="79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37.5">
      <c r="B115" s="65"/>
      <c r="C115" s="63"/>
      <c r="D115" s="52" t="s">
        <v>43</v>
      </c>
      <c r="E115" s="60"/>
      <c r="F115" s="8">
        <v>0.58333333333333337</v>
      </c>
      <c r="G115" s="78" t="s">
        <v>77</v>
      </c>
      <c r="H115" s="79"/>
      <c r="I115" s="35">
        <v>67</v>
      </c>
      <c r="J115" s="9">
        <f t="shared" si="18"/>
        <v>0.1044776119402985</v>
      </c>
      <c r="K115" s="39"/>
      <c r="L115" s="39"/>
      <c r="M115" s="39"/>
      <c r="N115" s="39"/>
      <c r="O115" s="39"/>
      <c r="P115" s="39"/>
      <c r="Q115" s="39">
        <v>7</v>
      </c>
      <c r="R115" s="39"/>
      <c r="S115" s="10">
        <f t="shared" si="25"/>
        <v>7</v>
      </c>
      <c r="T115" s="10">
        <v>100000</v>
      </c>
      <c r="U115" s="10">
        <f t="shared" si="26"/>
        <v>700000</v>
      </c>
      <c r="V115" s="4"/>
      <c r="W115" s="4"/>
      <c r="X115" s="4"/>
      <c r="Y115" s="4"/>
    </row>
    <row r="116" spans="2:25" ht="37.5">
      <c r="B116" s="65"/>
      <c r="C116" s="63"/>
      <c r="D116" s="52" t="s">
        <v>43</v>
      </c>
      <c r="E116" s="60"/>
      <c r="F116" s="8">
        <v>0.66666666666666663</v>
      </c>
      <c r="G116" s="78" t="s">
        <v>77</v>
      </c>
      <c r="H116" s="79"/>
      <c r="I116" s="35">
        <v>60</v>
      </c>
      <c r="J116" s="9">
        <f t="shared" si="18"/>
        <v>0</v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37.5">
      <c r="B117" s="65"/>
      <c r="C117" s="63"/>
      <c r="D117" s="52" t="s">
        <v>43</v>
      </c>
      <c r="E117" s="60"/>
      <c r="F117" s="8">
        <v>0.75</v>
      </c>
      <c r="G117" s="78" t="s">
        <v>77</v>
      </c>
      <c r="H117" s="79"/>
      <c r="I117" s="35">
        <v>60</v>
      </c>
      <c r="J117" s="9">
        <f t="shared" si="18"/>
        <v>0</v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37.5">
      <c r="B118" s="65"/>
      <c r="C118" s="63"/>
      <c r="D118" s="53" t="s">
        <v>43</v>
      </c>
      <c r="E118" s="61"/>
      <c r="F118" s="12">
        <v>0.83333333333333337</v>
      </c>
      <c r="G118" s="78" t="s">
        <v>77</v>
      </c>
      <c r="H118" s="79"/>
      <c r="I118" s="36">
        <v>60</v>
      </c>
      <c r="J118" s="9">
        <f t="shared" si="18"/>
        <v>0</v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37.5">
      <c r="B119" s="65"/>
      <c r="C119" s="63"/>
      <c r="D119" s="51" t="s">
        <v>43</v>
      </c>
      <c r="E119" s="59" t="s">
        <v>104</v>
      </c>
      <c r="F119" s="5">
        <v>0.91666666666666663</v>
      </c>
      <c r="G119" s="73" t="s">
        <v>84</v>
      </c>
      <c r="H119" s="74"/>
      <c r="I119" s="34">
        <v>57</v>
      </c>
      <c r="J119" s="6">
        <f t="shared" si="18"/>
        <v>1.7543859649122806E-2</v>
      </c>
      <c r="K119" s="38">
        <v>1</v>
      </c>
      <c r="L119" s="38"/>
      <c r="M119" s="38"/>
      <c r="N119" s="38"/>
      <c r="O119" s="38"/>
      <c r="P119" s="38"/>
      <c r="Q119" s="38"/>
      <c r="R119" s="38"/>
      <c r="S119" s="7">
        <f t="shared" si="25"/>
        <v>1</v>
      </c>
      <c r="T119" s="7">
        <v>100000</v>
      </c>
      <c r="U119" s="7">
        <f t="shared" si="27"/>
        <v>100000</v>
      </c>
      <c r="V119" s="4"/>
      <c r="Y119" s="4"/>
    </row>
    <row r="120" spans="2:25" ht="37.5">
      <c r="B120" s="65"/>
      <c r="C120" s="63"/>
      <c r="D120" s="52" t="s">
        <v>43</v>
      </c>
      <c r="E120" s="60"/>
      <c r="F120" s="8">
        <v>1</v>
      </c>
      <c r="G120" s="78" t="s">
        <v>84</v>
      </c>
      <c r="H120" s="79"/>
      <c r="I120" s="35">
        <v>57</v>
      </c>
      <c r="J120" s="9">
        <f t="shared" si="18"/>
        <v>1.7543859649122806E-2</v>
      </c>
      <c r="K120" s="39">
        <v>1</v>
      </c>
      <c r="L120" s="39"/>
      <c r="M120" s="39"/>
      <c r="N120" s="39"/>
      <c r="O120" s="39"/>
      <c r="P120" s="39"/>
      <c r="Q120" s="39"/>
      <c r="R120" s="39"/>
      <c r="S120" s="10">
        <f t="shared" si="25"/>
        <v>1</v>
      </c>
      <c r="T120" s="10">
        <v>100000</v>
      </c>
      <c r="U120" s="10">
        <f t="shared" si="27"/>
        <v>100000</v>
      </c>
      <c r="V120" s="4"/>
      <c r="Y120" s="4"/>
    </row>
    <row r="121" spans="2:25" ht="37.5">
      <c r="B121" s="65"/>
      <c r="C121" s="63"/>
      <c r="D121" s="52" t="s">
        <v>43</v>
      </c>
      <c r="E121" s="60"/>
      <c r="F121" s="8">
        <v>8.3333333333333329E-2</v>
      </c>
      <c r="G121" s="78" t="s">
        <v>84</v>
      </c>
      <c r="H121" s="79"/>
      <c r="I121" s="35">
        <v>57</v>
      </c>
      <c r="J121" s="9">
        <f t="shared" si="18"/>
        <v>1.7543859649122806E-2</v>
      </c>
      <c r="K121" s="39">
        <v>1</v>
      </c>
      <c r="L121" s="39"/>
      <c r="M121" s="39"/>
      <c r="N121" s="39"/>
      <c r="O121" s="39"/>
      <c r="P121" s="39"/>
      <c r="Q121" s="39"/>
      <c r="R121" s="39"/>
      <c r="S121" s="10">
        <f t="shared" si="25"/>
        <v>1</v>
      </c>
      <c r="T121" s="10">
        <v>100000</v>
      </c>
      <c r="U121" s="10">
        <f t="shared" si="27"/>
        <v>100000</v>
      </c>
      <c r="V121" s="4"/>
      <c r="Y121" s="4"/>
    </row>
    <row r="122" spans="2:25" ht="37.5">
      <c r="B122" s="65"/>
      <c r="C122" s="63"/>
      <c r="D122" s="52" t="s">
        <v>43</v>
      </c>
      <c r="E122" s="60"/>
      <c r="F122" s="8">
        <v>0.16666666666666666</v>
      </c>
      <c r="G122" s="78" t="s">
        <v>84</v>
      </c>
      <c r="H122" s="79"/>
      <c r="I122" s="35">
        <v>57</v>
      </c>
      <c r="J122" s="9">
        <f t="shared" si="18"/>
        <v>0</v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37.5">
      <c r="B123" s="65"/>
      <c r="C123" s="63"/>
      <c r="D123" s="52" t="s">
        <v>43</v>
      </c>
      <c r="E123" s="60"/>
      <c r="F123" s="8">
        <v>0.25</v>
      </c>
      <c r="G123" s="78" t="s">
        <v>84</v>
      </c>
      <c r="H123" s="79"/>
      <c r="I123" s="35">
        <v>57</v>
      </c>
      <c r="J123" s="9">
        <f t="shared" si="18"/>
        <v>0</v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37.5">
      <c r="B124" s="65"/>
      <c r="C124" s="63"/>
      <c r="D124" s="53" t="s">
        <v>43</v>
      </c>
      <c r="E124" s="61"/>
      <c r="F124" s="14">
        <v>0.33333333333333331</v>
      </c>
      <c r="G124" s="78" t="s">
        <v>84</v>
      </c>
      <c r="H124" s="79"/>
      <c r="I124" s="37">
        <v>57</v>
      </c>
      <c r="J124" s="9">
        <f t="shared" si="18"/>
        <v>0</v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38.25" customHeight="1">
      <c r="B125" s="65">
        <v>46091</v>
      </c>
      <c r="C125" s="62" t="s">
        <v>17</v>
      </c>
      <c r="D125" s="51" t="s">
        <v>43</v>
      </c>
      <c r="E125" s="59" t="s">
        <v>103</v>
      </c>
      <c r="F125" s="5">
        <v>0.41666666666666669</v>
      </c>
      <c r="G125" s="73" t="s">
        <v>77</v>
      </c>
      <c r="H125" s="74"/>
      <c r="I125" s="34">
        <v>41</v>
      </c>
      <c r="J125" s="6">
        <f t="shared" si="18"/>
        <v>7.3170731707317069E-2</v>
      </c>
      <c r="K125" s="38"/>
      <c r="L125" s="38"/>
      <c r="M125" s="38"/>
      <c r="N125" s="38"/>
      <c r="O125" s="38"/>
      <c r="P125" s="38"/>
      <c r="Q125" s="38"/>
      <c r="R125" s="38">
        <v>3</v>
      </c>
      <c r="S125" s="7">
        <f>SUM(K125:R125)</f>
        <v>3</v>
      </c>
      <c r="T125" s="7">
        <v>100000</v>
      </c>
      <c r="U125" s="7">
        <f>T125*S125</f>
        <v>300000</v>
      </c>
      <c r="V125" s="4"/>
      <c r="W125" s="4"/>
      <c r="X125" s="4"/>
      <c r="Y125" s="4"/>
    </row>
    <row r="126" spans="2:25" ht="37.5">
      <c r="B126" s="65"/>
      <c r="C126" s="63"/>
      <c r="D126" s="52" t="s">
        <v>43</v>
      </c>
      <c r="E126" s="60"/>
      <c r="F126" s="8">
        <v>0.5</v>
      </c>
      <c r="G126" s="78" t="s">
        <v>77</v>
      </c>
      <c r="H126" s="79"/>
      <c r="I126" s="35">
        <v>50</v>
      </c>
      <c r="J126" s="9">
        <f t="shared" si="18"/>
        <v>0.04</v>
      </c>
      <c r="K126" s="39"/>
      <c r="L126" s="39"/>
      <c r="M126" s="39"/>
      <c r="N126" s="39"/>
      <c r="O126" s="39"/>
      <c r="P126" s="39"/>
      <c r="Q126" s="39"/>
      <c r="R126" s="39">
        <v>2</v>
      </c>
      <c r="S126" s="10">
        <f t="shared" ref="S126:S136" si="28">SUM(K126:R126)</f>
        <v>2</v>
      </c>
      <c r="T126" s="10">
        <v>100000</v>
      </c>
      <c r="U126" s="10">
        <f t="shared" ref="U126:U127" si="29">T126*S126</f>
        <v>200000</v>
      </c>
      <c r="V126" s="4"/>
      <c r="W126" s="4"/>
      <c r="X126" s="4"/>
      <c r="Y126" s="4"/>
    </row>
    <row r="127" spans="2:25" ht="37.5">
      <c r="B127" s="65"/>
      <c r="C127" s="63"/>
      <c r="D127" s="52" t="s">
        <v>43</v>
      </c>
      <c r="E127" s="60"/>
      <c r="F127" s="8">
        <v>0.58333333333333337</v>
      </c>
      <c r="G127" s="78" t="s">
        <v>77</v>
      </c>
      <c r="H127" s="79"/>
      <c r="I127" s="35">
        <v>60</v>
      </c>
      <c r="J127" s="9">
        <f t="shared" si="18"/>
        <v>3.3333333333333333E-2</v>
      </c>
      <c r="K127" s="39">
        <v>2</v>
      </c>
      <c r="L127" s="39"/>
      <c r="M127" s="39"/>
      <c r="N127" s="39"/>
      <c r="O127" s="39"/>
      <c r="P127" s="39"/>
      <c r="Q127" s="39"/>
      <c r="R127" s="39"/>
      <c r="S127" s="10">
        <f t="shared" si="28"/>
        <v>2</v>
      </c>
      <c r="T127" s="10">
        <v>100000</v>
      </c>
      <c r="U127" s="10">
        <f t="shared" si="29"/>
        <v>200000</v>
      </c>
      <c r="V127" s="4"/>
      <c r="W127" s="4"/>
      <c r="X127" s="4"/>
      <c r="Y127" s="4"/>
    </row>
    <row r="128" spans="2:25" ht="37.5">
      <c r="B128" s="65"/>
      <c r="C128" s="63"/>
      <c r="D128" s="52" t="s">
        <v>43</v>
      </c>
      <c r="E128" s="60"/>
      <c r="F128" s="8">
        <v>0.66666666666666663</v>
      </c>
      <c r="G128" s="78" t="s">
        <v>77</v>
      </c>
      <c r="H128" s="79"/>
      <c r="I128" s="35">
        <v>55</v>
      </c>
      <c r="J128" s="9">
        <f t="shared" si="18"/>
        <v>1.8181818181818181E-2</v>
      </c>
      <c r="K128" s="39"/>
      <c r="L128" s="39"/>
      <c r="M128" s="39"/>
      <c r="N128" s="39"/>
      <c r="O128" s="39"/>
      <c r="P128" s="39"/>
      <c r="Q128" s="39">
        <v>1</v>
      </c>
      <c r="R128" s="39"/>
      <c r="S128" s="10">
        <f t="shared" si="28"/>
        <v>1</v>
      </c>
      <c r="T128" s="10">
        <v>100000</v>
      </c>
      <c r="U128" s="10">
        <f>T128*S128</f>
        <v>100000</v>
      </c>
      <c r="V128" s="4"/>
      <c r="W128" s="4"/>
      <c r="X128" s="4"/>
      <c r="Y128" s="4"/>
    </row>
    <row r="129" spans="2:25" ht="37.5">
      <c r="B129" s="65"/>
      <c r="C129" s="63"/>
      <c r="D129" s="52" t="s">
        <v>43</v>
      </c>
      <c r="E129" s="60"/>
      <c r="F129" s="8">
        <v>0.75</v>
      </c>
      <c r="G129" s="78" t="s">
        <v>77</v>
      </c>
      <c r="H129" s="79"/>
      <c r="I129" s="35">
        <v>60</v>
      </c>
      <c r="J129" s="9">
        <f t="shared" si="18"/>
        <v>0</v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37.5">
      <c r="B130" s="65"/>
      <c r="C130" s="63"/>
      <c r="D130" s="53" t="s">
        <v>43</v>
      </c>
      <c r="E130" s="61"/>
      <c r="F130" s="12">
        <v>0.83333333333333337</v>
      </c>
      <c r="G130" s="78" t="s">
        <v>77</v>
      </c>
      <c r="H130" s="79"/>
      <c r="I130" s="36">
        <v>0</v>
      </c>
      <c r="J130" s="9" t="str">
        <f t="shared" si="18"/>
        <v/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37.5">
      <c r="B131" s="65"/>
      <c r="C131" s="63"/>
      <c r="D131" s="51" t="s">
        <v>43</v>
      </c>
      <c r="E131" s="59" t="s">
        <v>104</v>
      </c>
      <c r="F131" s="5">
        <v>0.91666666666666663</v>
      </c>
      <c r="G131" s="73" t="s">
        <v>83</v>
      </c>
      <c r="H131" s="74"/>
      <c r="I131" s="34">
        <v>50</v>
      </c>
      <c r="J131" s="6">
        <f t="shared" si="18"/>
        <v>0.1</v>
      </c>
      <c r="K131" s="38">
        <v>1</v>
      </c>
      <c r="L131" s="38"/>
      <c r="M131" s="38"/>
      <c r="N131" s="38"/>
      <c r="O131" s="38"/>
      <c r="P131" s="38"/>
      <c r="Q131" s="38">
        <v>4</v>
      </c>
      <c r="R131" s="38"/>
      <c r="S131" s="7">
        <f t="shared" si="28"/>
        <v>5</v>
      </c>
      <c r="T131" s="7">
        <v>100000</v>
      </c>
      <c r="U131" s="7">
        <f t="shared" si="30"/>
        <v>500000</v>
      </c>
      <c r="V131" s="4"/>
      <c r="Y131" s="4"/>
    </row>
    <row r="132" spans="2:25" ht="37.5">
      <c r="B132" s="65"/>
      <c r="C132" s="63"/>
      <c r="D132" s="52" t="s">
        <v>43</v>
      </c>
      <c r="E132" s="60"/>
      <c r="F132" s="8">
        <v>1</v>
      </c>
      <c r="G132" s="78" t="s">
        <v>83</v>
      </c>
      <c r="H132" s="79"/>
      <c r="I132" s="35">
        <v>50</v>
      </c>
      <c r="J132" s="9">
        <f t="shared" si="18"/>
        <v>0</v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37.5">
      <c r="B133" s="65"/>
      <c r="C133" s="63"/>
      <c r="D133" s="52" t="s">
        <v>43</v>
      </c>
      <c r="E133" s="60"/>
      <c r="F133" s="8">
        <v>8.3333333333333329E-2</v>
      </c>
      <c r="G133" s="78" t="s">
        <v>83</v>
      </c>
      <c r="H133" s="79"/>
      <c r="I133" s="35">
        <v>50</v>
      </c>
      <c r="J133" s="9">
        <f t="shared" si="18"/>
        <v>0</v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37.5">
      <c r="B134" s="65"/>
      <c r="C134" s="63"/>
      <c r="D134" s="52" t="s">
        <v>43</v>
      </c>
      <c r="E134" s="60"/>
      <c r="F134" s="8">
        <v>0.16666666666666666</v>
      </c>
      <c r="G134" s="78" t="s">
        <v>83</v>
      </c>
      <c r="H134" s="79"/>
      <c r="I134" s="35">
        <v>50</v>
      </c>
      <c r="J134" s="9">
        <f t="shared" si="18"/>
        <v>0</v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37.5">
      <c r="B135" s="65"/>
      <c r="C135" s="63"/>
      <c r="D135" s="52" t="s">
        <v>43</v>
      </c>
      <c r="E135" s="60"/>
      <c r="F135" s="8">
        <v>0.25</v>
      </c>
      <c r="G135" s="78" t="s">
        <v>83</v>
      </c>
      <c r="H135" s="79"/>
      <c r="I135" s="35">
        <v>50</v>
      </c>
      <c r="J135" s="9">
        <f t="shared" si="18"/>
        <v>0</v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37.5">
      <c r="B136" s="65"/>
      <c r="C136" s="64"/>
      <c r="D136" s="53" t="s">
        <v>43</v>
      </c>
      <c r="E136" s="61"/>
      <c r="F136" s="14">
        <v>0.33333333333333331</v>
      </c>
      <c r="G136" s="78" t="s">
        <v>83</v>
      </c>
      <c r="H136" s="79"/>
      <c r="I136" s="37">
        <v>54</v>
      </c>
      <c r="J136" s="15">
        <f t="shared" si="18"/>
        <v>1.8518518518518517E-2</v>
      </c>
      <c r="K136" s="40">
        <v>1</v>
      </c>
      <c r="L136" s="40"/>
      <c r="M136" s="40"/>
      <c r="N136" s="40"/>
      <c r="O136" s="40"/>
      <c r="P136" s="40"/>
      <c r="Q136" s="40"/>
      <c r="R136" s="40"/>
      <c r="S136" s="16">
        <f t="shared" si="28"/>
        <v>1</v>
      </c>
      <c r="T136" s="16">
        <v>100000</v>
      </c>
      <c r="U136" s="16">
        <f t="shared" si="30"/>
        <v>100000</v>
      </c>
      <c r="V136" s="4"/>
      <c r="W136" s="4"/>
      <c r="X136" s="4"/>
      <c r="Y136" s="4"/>
    </row>
    <row r="137" spans="2:25" ht="16.5" customHeight="1">
      <c r="B137" s="65">
        <v>46092</v>
      </c>
      <c r="C137" s="62" t="s">
        <v>17</v>
      </c>
      <c r="D137" s="51"/>
      <c r="E137" s="59" t="s">
        <v>103</v>
      </c>
      <c r="F137" s="5">
        <v>0.41666666666666669</v>
      </c>
      <c r="G137" s="73"/>
      <c r="H137" s="74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8.75">
      <c r="B138" s="65"/>
      <c r="C138" s="63"/>
      <c r="D138" s="52"/>
      <c r="E138" s="60"/>
      <c r="F138" s="8">
        <v>0.5</v>
      </c>
      <c r="G138" s="78"/>
      <c r="H138" s="79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8.75">
      <c r="B139" s="65"/>
      <c r="C139" s="63"/>
      <c r="D139" s="52"/>
      <c r="E139" s="60"/>
      <c r="F139" s="8">
        <v>0.58333333333333337</v>
      </c>
      <c r="G139" s="78"/>
      <c r="H139" s="79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8.75">
      <c r="B140" s="65"/>
      <c r="C140" s="63"/>
      <c r="D140" s="52"/>
      <c r="E140" s="60"/>
      <c r="F140" s="8">
        <v>0.66666666666666663</v>
      </c>
      <c r="G140" s="78"/>
      <c r="H140" s="79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/>
      <c r="E141" s="60"/>
      <c r="F141" s="8">
        <v>0.75</v>
      </c>
      <c r="G141" s="78"/>
      <c r="H141" s="79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/>
      <c r="E142" s="61"/>
      <c r="F142" s="12">
        <v>0.83333333333333337</v>
      </c>
      <c r="G142" s="78"/>
      <c r="H142" s="79"/>
      <c r="I142" s="36"/>
      <c r="J142" s="9" t="str">
        <f t="shared" si="31"/>
        <v/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8.75">
      <c r="B143" s="65"/>
      <c r="C143" s="63"/>
      <c r="D143" s="51"/>
      <c r="E143" s="59" t="s">
        <v>104</v>
      </c>
      <c r="F143" s="5">
        <v>0.91666666666666663</v>
      </c>
      <c r="G143" s="73"/>
      <c r="H143" s="74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8.75">
      <c r="B144" s="65"/>
      <c r="C144" s="63"/>
      <c r="D144" s="52"/>
      <c r="E144" s="60"/>
      <c r="F144" s="8">
        <v>1</v>
      </c>
      <c r="G144" s="78"/>
      <c r="H144" s="79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8.75">
      <c r="B145" s="65"/>
      <c r="C145" s="63"/>
      <c r="D145" s="52"/>
      <c r="E145" s="60"/>
      <c r="F145" s="8">
        <v>8.3333333333333329E-2</v>
      </c>
      <c r="G145" s="78"/>
      <c r="H145" s="79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8.75">
      <c r="B146" s="65"/>
      <c r="C146" s="63"/>
      <c r="D146" s="52"/>
      <c r="E146" s="60"/>
      <c r="F146" s="8">
        <v>0.16666666666666666</v>
      </c>
      <c r="G146" s="78"/>
      <c r="H146" s="79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8.75">
      <c r="B147" s="65"/>
      <c r="C147" s="63"/>
      <c r="D147" s="52"/>
      <c r="E147" s="60"/>
      <c r="F147" s="8">
        <v>0.25</v>
      </c>
      <c r="G147" s="78"/>
      <c r="H147" s="79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8.75">
      <c r="B148" s="65"/>
      <c r="C148" s="64"/>
      <c r="D148" s="53"/>
      <c r="E148" s="91"/>
      <c r="F148" s="14">
        <v>0.33333333333333331</v>
      </c>
      <c r="G148" s="78"/>
      <c r="H148" s="79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 ht="16.5" customHeight="1">
      <c r="B149" s="65">
        <v>46093</v>
      </c>
      <c r="C149" s="62" t="s">
        <v>17</v>
      </c>
      <c r="D149" s="51"/>
      <c r="E149" s="59" t="s">
        <v>103</v>
      </c>
      <c r="F149" s="5">
        <v>0.41666666666666669</v>
      </c>
      <c r="G149" s="73"/>
      <c r="H149" s="74"/>
      <c r="I149" s="34"/>
      <c r="J149" s="6" t="str">
        <f t="shared" ref="J149:J160" si="35">IFERROR(S149/I149,"")</f>
        <v/>
      </c>
      <c r="K149" s="38"/>
      <c r="L149" s="38"/>
      <c r="M149" s="38"/>
      <c r="N149" s="38"/>
      <c r="O149" s="38"/>
      <c r="P149" s="38"/>
      <c r="Q149" s="38"/>
      <c r="R149" s="38"/>
      <c r="S149" s="7">
        <f>SUM(K149:R149)</f>
        <v>0</v>
      </c>
      <c r="T149" s="7">
        <v>100000</v>
      </c>
      <c r="U149" s="7">
        <f>T149*S149</f>
        <v>0</v>
      </c>
      <c r="V149" s="4"/>
      <c r="W149" s="4"/>
      <c r="X149" s="4"/>
      <c r="Y149" s="4"/>
    </row>
    <row r="150" spans="2:25" ht="18.75">
      <c r="B150" s="65"/>
      <c r="C150" s="63"/>
      <c r="D150" s="52"/>
      <c r="E150" s="60"/>
      <c r="F150" s="8">
        <v>0.5</v>
      </c>
      <c r="G150" s="78"/>
      <c r="H150" s="79"/>
      <c r="I150" s="35"/>
      <c r="J150" s="9" t="str">
        <f t="shared" si="35"/>
        <v/>
      </c>
      <c r="K150" s="39"/>
      <c r="L150" s="39"/>
      <c r="M150" s="39"/>
      <c r="N150" s="39"/>
      <c r="O150" s="39"/>
      <c r="P150" s="39"/>
      <c r="Q150" s="39"/>
      <c r="R150" s="39"/>
      <c r="S150" s="10">
        <f t="shared" ref="S150:S160" si="36">SUM(K150:R150)</f>
        <v>0</v>
      </c>
      <c r="T150" s="10">
        <v>100000</v>
      </c>
      <c r="U150" s="10">
        <f t="shared" ref="U150:U151" si="37">T150*S150</f>
        <v>0</v>
      </c>
      <c r="V150" s="4"/>
      <c r="W150" s="4"/>
      <c r="X150" s="4"/>
      <c r="Y150" s="4"/>
    </row>
    <row r="151" spans="2:25" ht="18.75">
      <c r="B151" s="65"/>
      <c r="C151" s="63"/>
      <c r="D151" s="52"/>
      <c r="E151" s="60"/>
      <c r="F151" s="8">
        <v>0.58333333333333337</v>
      </c>
      <c r="G151" s="78"/>
      <c r="H151" s="79"/>
      <c r="I151" s="35"/>
      <c r="J151" s="9" t="str">
        <f t="shared" si="35"/>
        <v/>
      </c>
      <c r="K151" s="39"/>
      <c r="L151" s="39"/>
      <c r="M151" s="39"/>
      <c r="N151" s="39"/>
      <c r="O151" s="39"/>
      <c r="P151" s="39"/>
      <c r="Q151" s="39"/>
      <c r="R151" s="39"/>
      <c r="S151" s="10">
        <f t="shared" si="36"/>
        <v>0</v>
      </c>
      <c r="T151" s="10">
        <v>100000</v>
      </c>
      <c r="U151" s="10">
        <f t="shared" si="37"/>
        <v>0</v>
      </c>
      <c r="V151" s="4"/>
      <c r="W151" s="4"/>
      <c r="X151" s="4"/>
      <c r="Y151" s="4"/>
    </row>
    <row r="152" spans="2:25" ht="18.75">
      <c r="B152" s="65"/>
      <c r="C152" s="63"/>
      <c r="D152" s="52"/>
      <c r="E152" s="60"/>
      <c r="F152" s="8">
        <v>0.66666666666666663</v>
      </c>
      <c r="G152" s="78"/>
      <c r="H152" s="79"/>
      <c r="I152" s="35"/>
      <c r="J152" s="9" t="str">
        <f t="shared" si="35"/>
        <v/>
      </c>
      <c r="K152" s="39"/>
      <c r="L152" s="39"/>
      <c r="M152" s="39"/>
      <c r="N152" s="39"/>
      <c r="O152" s="39"/>
      <c r="P152" s="39"/>
      <c r="Q152" s="39"/>
      <c r="R152" s="39"/>
      <c r="S152" s="10">
        <f t="shared" si="36"/>
        <v>0</v>
      </c>
      <c r="T152" s="10">
        <v>100000</v>
      </c>
      <c r="U152" s="10">
        <f>T152*S152</f>
        <v>0</v>
      </c>
      <c r="V152" s="4"/>
      <c r="W152" s="4"/>
      <c r="X152" s="4"/>
      <c r="Y152" s="4"/>
    </row>
    <row r="153" spans="2:25" ht="18.75">
      <c r="B153" s="65"/>
      <c r="C153" s="63"/>
      <c r="D153" s="52"/>
      <c r="E153" s="60"/>
      <c r="F153" s="8">
        <v>0.75</v>
      </c>
      <c r="G153" s="78"/>
      <c r="H153" s="79"/>
      <c r="I153" s="35"/>
      <c r="J153" s="9" t="str">
        <f t="shared" si="35"/>
        <v/>
      </c>
      <c r="K153" s="39"/>
      <c r="L153" s="39"/>
      <c r="M153" s="39"/>
      <c r="N153" s="39"/>
      <c r="O153" s="39"/>
      <c r="P153" s="39"/>
      <c r="Q153" s="39"/>
      <c r="R153" s="39"/>
      <c r="S153" s="10">
        <f t="shared" si="36"/>
        <v>0</v>
      </c>
      <c r="T153" s="10">
        <v>100000</v>
      </c>
      <c r="U153" s="10">
        <f t="shared" ref="U153:U160" si="38">T153*S153</f>
        <v>0</v>
      </c>
      <c r="V153" s="4"/>
      <c r="W153" s="4"/>
      <c r="X153" s="11"/>
      <c r="Y153" s="4"/>
    </row>
    <row r="154" spans="2:25" ht="18.75">
      <c r="B154" s="65"/>
      <c r="C154" s="63"/>
      <c r="D154" s="53"/>
      <c r="E154" s="61"/>
      <c r="F154" s="12">
        <v>0.83333333333333337</v>
      </c>
      <c r="G154" s="78"/>
      <c r="H154" s="79"/>
      <c r="I154" s="36"/>
      <c r="J154" s="9" t="str">
        <f t="shared" si="35"/>
        <v/>
      </c>
      <c r="K154" s="41"/>
      <c r="L154" s="41"/>
      <c r="M154" s="41"/>
      <c r="N154" s="41"/>
      <c r="O154" s="41"/>
      <c r="P154" s="41"/>
      <c r="Q154" s="41"/>
      <c r="R154" s="41"/>
      <c r="S154" s="13">
        <f t="shared" si="36"/>
        <v>0</v>
      </c>
      <c r="T154" s="13">
        <v>100000</v>
      </c>
      <c r="U154" s="13">
        <f t="shared" si="38"/>
        <v>0</v>
      </c>
      <c r="V154" s="4"/>
      <c r="Y154" s="4"/>
    </row>
    <row r="155" spans="2:25" ht="18.75">
      <c r="B155" s="65"/>
      <c r="C155" s="63"/>
      <c r="D155" s="51"/>
      <c r="E155" s="59" t="s">
        <v>104</v>
      </c>
      <c r="F155" s="5">
        <v>0.91666666666666663</v>
      </c>
      <c r="G155" s="73"/>
      <c r="H155" s="74"/>
      <c r="I155" s="34"/>
      <c r="J155" s="6" t="str">
        <f t="shared" si="35"/>
        <v/>
      </c>
      <c r="K155" s="38"/>
      <c r="L155" s="38"/>
      <c r="M155" s="38"/>
      <c r="N155" s="38"/>
      <c r="O155" s="38"/>
      <c r="P155" s="38"/>
      <c r="Q155" s="38"/>
      <c r="R155" s="38"/>
      <c r="S155" s="7">
        <f t="shared" si="36"/>
        <v>0</v>
      </c>
      <c r="T155" s="7">
        <v>100000</v>
      </c>
      <c r="U155" s="7">
        <f t="shared" si="38"/>
        <v>0</v>
      </c>
      <c r="V155" s="4"/>
      <c r="Y155" s="4"/>
    </row>
    <row r="156" spans="2:25" ht="18.75">
      <c r="B156" s="65"/>
      <c r="C156" s="63"/>
      <c r="D156" s="52"/>
      <c r="E156" s="60"/>
      <c r="F156" s="8">
        <v>1</v>
      </c>
      <c r="G156" s="78"/>
      <c r="H156" s="79"/>
      <c r="I156" s="35"/>
      <c r="J156" s="9" t="str">
        <f t="shared" si="35"/>
        <v/>
      </c>
      <c r="K156" s="39"/>
      <c r="L156" s="39"/>
      <c r="M156" s="39"/>
      <c r="N156" s="39"/>
      <c r="O156" s="39"/>
      <c r="P156" s="39"/>
      <c r="Q156" s="39"/>
      <c r="R156" s="39"/>
      <c r="S156" s="10">
        <f t="shared" si="36"/>
        <v>0</v>
      </c>
      <c r="T156" s="10">
        <v>100000</v>
      </c>
      <c r="U156" s="10">
        <f t="shared" si="38"/>
        <v>0</v>
      </c>
      <c r="V156" s="4"/>
      <c r="Y156" s="4"/>
    </row>
    <row r="157" spans="2:25" ht="18.75">
      <c r="B157" s="65"/>
      <c r="C157" s="63"/>
      <c r="D157" s="52"/>
      <c r="E157" s="60"/>
      <c r="F157" s="8">
        <v>8.3333333333333329E-2</v>
      </c>
      <c r="G157" s="78"/>
      <c r="H157" s="79"/>
      <c r="I157" s="35"/>
      <c r="J157" s="9" t="str">
        <f t="shared" si="35"/>
        <v/>
      </c>
      <c r="K157" s="39"/>
      <c r="L157" s="39"/>
      <c r="M157" s="39"/>
      <c r="N157" s="39"/>
      <c r="O157" s="39"/>
      <c r="P157" s="39"/>
      <c r="Q157" s="39"/>
      <c r="R157" s="39"/>
      <c r="S157" s="10">
        <f t="shared" si="36"/>
        <v>0</v>
      </c>
      <c r="T157" s="10">
        <v>100000</v>
      </c>
      <c r="U157" s="10">
        <f t="shared" si="38"/>
        <v>0</v>
      </c>
      <c r="V157" s="4"/>
      <c r="Y157" s="4"/>
    </row>
    <row r="158" spans="2:25" ht="18.75">
      <c r="B158" s="65"/>
      <c r="C158" s="63"/>
      <c r="D158" s="52"/>
      <c r="E158" s="60"/>
      <c r="F158" s="8">
        <v>0.16666666666666666</v>
      </c>
      <c r="G158" s="78"/>
      <c r="H158" s="79"/>
      <c r="I158" s="35"/>
      <c r="J158" s="9" t="str">
        <f t="shared" si="35"/>
        <v/>
      </c>
      <c r="K158" s="39"/>
      <c r="L158" s="39"/>
      <c r="M158" s="39"/>
      <c r="N158" s="39"/>
      <c r="O158" s="39"/>
      <c r="P158" s="39"/>
      <c r="Q158" s="39"/>
      <c r="R158" s="39"/>
      <c r="S158" s="10">
        <f t="shared" si="36"/>
        <v>0</v>
      </c>
      <c r="T158" s="10">
        <v>100000</v>
      </c>
      <c r="U158" s="10">
        <f t="shared" si="38"/>
        <v>0</v>
      </c>
      <c r="V158" s="4"/>
      <c r="W158" s="4"/>
      <c r="X158" s="4"/>
      <c r="Y158" s="4"/>
    </row>
    <row r="159" spans="2:25" ht="18.75">
      <c r="B159" s="65"/>
      <c r="C159" s="63"/>
      <c r="D159" s="52"/>
      <c r="E159" s="60"/>
      <c r="F159" s="8">
        <v>0.25</v>
      </c>
      <c r="G159" s="78"/>
      <c r="H159" s="79"/>
      <c r="I159" s="35"/>
      <c r="J159" s="9" t="str">
        <f t="shared" si="35"/>
        <v/>
      </c>
      <c r="K159" s="39"/>
      <c r="L159" s="39"/>
      <c r="M159" s="39"/>
      <c r="N159" s="39"/>
      <c r="O159" s="39"/>
      <c r="P159" s="39"/>
      <c r="Q159" s="39"/>
      <c r="R159" s="39"/>
      <c r="S159" s="10">
        <f t="shared" si="36"/>
        <v>0</v>
      </c>
      <c r="T159" s="10">
        <v>100000</v>
      </c>
      <c r="U159" s="10">
        <f t="shared" si="38"/>
        <v>0</v>
      </c>
      <c r="V159" s="4"/>
      <c r="Y159" s="4"/>
    </row>
    <row r="160" spans="2:25" ht="18.75">
      <c r="B160" s="65"/>
      <c r="C160" s="64"/>
      <c r="D160" s="53"/>
      <c r="E160" s="91"/>
      <c r="F160" s="14">
        <v>0.33333333333333331</v>
      </c>
      <c r="G160" s="78"/>
      <c r="H160" s="79"/>
      <c r="I160" s="37"/>
      <c r="J160" s="15" t="str">
        <f t="shared" si="35"/>
        <v/>
      </c>
      <c r="K160" s="40"/>
      <c r="L160" s="40"/>
      <c r="M160" s="40"/>
      <c r="N160" s="40"/>
      <c r="O160" s="40"/>
      <c r="P160" s="40"/>
      <c r="Q160" s="40"/>
      <c r="R160" s="40"/>
      <c r="S160" s="16">
        <f t="shared" si="36"/>
        <v>0</v>
      </c>
      <c r="T160" s="16">
        <v>100000</v>
      </c>
      <c r="U160" s="16">
        <f t="shared" si="38"/>
        <v>0</v>
      </c>
      <c r="V160" s="4"/>
      <c r="W160" s="4"/>
      <c r="X160" s="4"/>
      <c r="Y160" s="4"/>
    </row>
  </sheetData>
  <mergeCells count="210"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phoneticPr fontId="1" type="noConversion"/>
  <dataValidations count="6">
    <dataValidation type="list" allowBlank="1" showInputMessage="1" showErrorMessage="1" sqref="G17:G22 G29:G34 G41:G46 G53:G58 G65:G70 G137:G142 G89:G94 G101:G106 G77:G82 G113:G118 G125:G130 G149:G154" xr:uid="{6C067AEE-CAB5-43E2-AD1F-B5005E3CCCA2}">
      <formula1>$C$11:$S$11</formula1>
    </dataValidation>
    <dataValidation type="list" allowBlank="1" showInputMessage="1" showErrorMessage="1" sqref="C6" xr:uid="{A5564117-42A0-4DC2-BF02-96FBD92CB783}">
      <formula1>$X$2:$X$7</formula1>
    </dataValidation>
    <dataValidation type="list" allowBlank="1" showInputMessage="1" showErrorMessage="1" sqref="C125 C17 C29 C41 C53 C65 C77 C89 C101 C113 C137 C149" xr:uid="{58553C05-1849-4CDA-B0E2-3B094F9E4BDA}">
      <formula1>$X$17:$X$21</formula1>
    </dataValidation>
    <dataValidation type="list" allowBlank="1" showInputMessage="1" showErrorMessage="1" sqref="E17 E23 E29 E41 E53 E65 E77 E89 E101 E113 E125 E137 E35 E47 E59 E71 E83 E95 E107 E119 E131 E143 E149 E155" xr:uid="{4EF1C21A-7E2D-4C07-B707-9FC1DBBAF8B9}">
      <formula1>$X$22:$X$23</formula1>
    </dataValidation>
    <dataValidation type="list" allowBlank="1" showInputMessage="1" showErrorMessage="1" sqref="D17:D160" xr:uid="{7E874D98-D5E9-44FC-BBBE-1D6FB0116A76}">
      <formula1>$Z$21:$Z$61</formula1>
    </dataValidation>
    <dataValidation type="list" allowBlank="1" showInputMessage="1" showErrorMessage="1" sqref="G23:H28 G35:H40 G47:H52 G59:H64 G71:H76 G143:H148 G83:H88 G107:H112 G119:H124 G95:H100 G131:H136 G155:H160" xr:uid="{DF8987A4-84F3-48A9-AA6D-BBB2D93082AD}">
      <formula1>$C$12:$S$12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1호기</vt:lpstr>
      <vt:lpstr>2호기</vt:lpstr>
      <vt:lpstr>3호기</vt:lpstr>
      <vt:lpstr>4호기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PL- 1</cp:lastModifiedBy>
  <dcterms:created xsi:type="dcterms:W3CDTF">2015-06-05T18:17:20Z</dcterms:created>
  <dcterms:modified xsi:type="dcterms:W3CDTF">2026-03-11T03:38:40Z</dcterms:modified>
</cp:coreProperties>
</file>