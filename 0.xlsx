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https://d.docs.live.net/a1f3150794129c75/Desktop/DIEM/BAO CAO EP NHUA/AI/"/>
    </mc:Choice>
  </mc:AlternateContent>
  <xr:revisionPtr revIDLastSave="86" documentId="8_{047E9D7B-B3BD-4C74-81AA-2B0F9258F79D}" xr6:coauthVersionLast="47" xr6:coauthVersionMax="47" xr10:uidLastSave="{BFDFE9AC-7E45-4764-BCB4-32BA82C85673}"/>
  <bookViews>
    <workbookView xWindow="-120" yWindow="-120" windowWidth="29040" windowHeight="15720" xr2:uid="{00000000-000D-0000-FFFF-FFFF00000000}"/>
  </bookViews>
  <sheets>
    <sheet name="1호기" sheetId="1" r:id="rId1"/>
    <sheet name="2호기" sheetId="2" r:id="rId2"/>
    <sheet name="3호기" sheetId="3" r:id="rId3"/>
    <sheet name="4호기"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08" i="3" l="1"/>
  <c r="U508" i="3" s="1"/>
  <c r="J508" i="3"/>
  <c r="S507" i="3"/>
  <c r="U507" i="3" s="1"/>
  <c r="J507" i="3"/>
  <c r="S506" i="3"/>
  <c r="U506" i="3" s="1"/>
  <c r="J506" i="3"/>
  <c r="U505" i="3"/>
  <c r="S505" i="3"/>
  <c r="J505" i="3"/>
  <c r="S504" i="3"/>
  <c r="U504" i="3" s="1"/>
  <c r="J504" i="3"/>
  <c r="S503" i="3"/>
  <c r="U503" i="3" s="1"/>
  <c r="J503" i="3"/>
  <c r="S502" i="3"/>
  <c r="U502" i="3" s="1"/>
  <c r="J502" i="3"/>
  <c r="U501" i="3"/>
  <c r="S501" i="3"/>
  <c r="J501" i="3"/>
  <c r="S500" i="3"/>
  <c r="U500" i="3" s="1"/>
  <c r="J500" i="3"/>
  <c r="S499" i="3"/>
  <c r="U499" i="3" s="1"/>
  <c r="J499" i="3"/>
  <c r="S498" i="3"/>
  <c r="U498" i="3" s="1"/>
  <c r="J498" i="3"/>
  <c r="U497" i="3"/>
  <c r="S497" i="3"/>
  <c r="J497" i="3"/>
  <c r="S496" i="3"/>
  <c r="U496" i="3" s="1"/>
  <c r="J496" i="3"/>
  <c r="S495" i="3"/>
  <c r="U495" i="3" s="1"/>
  <c r="J495" i="3"/>
  <c r="S494" i="3"/>
  <c r="U494" i="3" s="1"/>
  <c r="J494" i="3"/>
  <c r="S493" i="3"/>
  <c r="U493" i="3" s="1"/>
  <c r="J493" i="3"/>
  <c r="U492" i="3"/>
  <c r="S492" i="3"/>
  <c r="J492" i="3"/>
  <c r="S491" i="3"/>
  <c r="U491" i="3" s="1"/>
  <c r="J491" i="3"/>
  <c r="S490" i="3"/>
  <c r="U490" i="3" s="1"/>
  <c r="J490" i="3"/>
  <c r="S489" i="3"/>
  <c r="U489" i="3" s="1"/>
  <c r="J489" i="3"/>
  <c r="U488" i="3"/>
  <c r="S488" i="3"/>
  <c r="J488" i="3"/>
  <c r="S487" i="3"/>
  <c r="U487" i="3" s="1"/>
  <c r="J487" i="3"/>
  <c r="S486" i="3"/>
  <c r="U486" i="3" s="1"/>
  <c r="J486" i="3"/>
  <c r="S485" i="3"/>
  <c r="U485" i="3" s="1"/>
  <c r="J485" i="3"/>
  <c r="S496" i="2"/>
  <c r="U496" i="2" s="1"/>
  <c r="J496" i="2"/>
  <c r="S495" i="2"/>
  <c r="U495" i="2" s="1"/>
  <c r="J495" i="2"/>
  <c r="S494" i="2"/>
  <c r="U494" i="2" s="1"/>
  <c r="J494" i="2"/>
  <c r="S493" i="2"/>
  <c r="U493" i="2" s="1"/>
  <c r="J493" i="2"/>
  <c r="S492" i="2"/>
  <c r="U492" i="2" s="1"/>
  <c r="J492" i="2"/>
  <c r="S491" i="2"/>
  <c r="U491" i="2" s="1"/>
  <c r="J491" i="2"/>
  <c r="S490" i="2"/>
  <c r="U490" i="2" s="1"/>
  <c r="J490" i="2"/>
  <c r="S489" i="2"/>
  <c r="U489" i="2" s="1"/>
  <c r="J489" i="2"/>
  <c r="S488" i="2"/>
  <c r="U488" i="2" s="1"/>
  <c r="J488" i="2"/>
  <c r="S487" i="2"/>
  <c r="U487" i="2" s="1"/>
  <c r="J487" i="2"/>
  <c r="S486" i="2"/>
  <c r="U486" i="2" s="1"/>
  <c r="J486" i="2"/>
  <c r="S485" i="2"/>
  <c r="U485" i="2" s="1"/>
  <c r="J485" i="2"/>
  <c r="S508" i="1"/>
  <c r="U508" i="1" s="1"/>
  <c r="J508" i="1"/>
  <c r="S507" i="1"/>
  <c r="U507" i="1" s="1"/>
  <c r="J507" i="1"/>
  <c r="S506" i="1"/>
  <c r="U506" i="1" s="1"/>
  <c r="J506" i="1"/>
  <c r="S505" i="1"/>
  <c r="U505" i="1" s="1"/>
  <c r="J505" i="1"/>
  <c r="S504" i="1"/>
  <c r="U504" i="1" s="1"/>
  <c r="J504" i="1"/>
  <c r="S503" i="1"/>
  <c r="U503" i="1" s="1"/>
  <c r="J503" i="1"/>
  <c r="S502" i="1"/>
  <c r="U502" i="1" s="1"/>
  <c r="J502" i="1"/>
  <c r="S501" i="1"/>
  <c r="U501" i="1" s="1"/>
  <c r="J501" i="1"/>
  <c r="S500" i="1"/>
  <c r="U500" i="1" s="1"/>
  <c r="J500" i="1"/>
  <c r="S499" i="1"/>
  <c r="U499" i="1" s="1"/>
  <c r="J499" i="1"/>
  <c r="S498" i="1"/>
  <c r="U498" i="1" s="1"/>
  <c r="J498" i="1"/>
  <c r="S497" i="1"/>
  <c r="U497" i="1" s="1"/>
  <c r="J497" i="1"/>
  <c r="S496" i="1"/>
  <c r="U496" i="1" s="1"/>
  <c r="S495" i="1"/>
  <c r="U495" i="1" s="1"/>
  <c r="S494" i="1"/>
  <c r="U494" i="1" s="1"/>
  <c r="S493" i="1"/>
  <c r="U493" i="1" s="1"/>
  <c r="S492" i="1"/>
  <c r="U492" i="1" s="1"/>
  <c r="S491" i="1"/>
  <c r="U491" i="1" s="1"/>
  <c r="J491" i="1"/>
  <c r="S490" i="1"/>
  <c r="U490" i="1" s="1"/>
  <c r="S489" i="1"/>
  <c r="U489" i="1" s="1"/>
  <c r="J489" i="1"/>
  <c r="S488" i="1"/>
  <c r="U488" i="1" s="1"/>
  <c r="S487" i="1"/>
  <c r="U487" i="1" s="1"/>
  <c r="J487" i="1"/>
  <c r="S486" i="1"/>
  <c r="U486" i="1" s="1"/>
  <c r="S485" i="1"/>
  <c r="J485" i="1" s="1"/>
  <c r="S484" i="4"/>
  <c r="U484" i="4" s="1"/>
  <c r="J484" i="4"/>
  <c r="S483" i="4"/>
  <c r="U483" i="4" s="1"/>
  <c r="J483" i="4"/>
  <c r="S482" i="4"/>
  <c r="U482" i="4" s="1"/>
  <c r="J482" i="4"/>
  <c r="U481" i="4"/>
  <c r="S481" i="4"/>
  <c r="J481" i="4"/>
  <c r="S480" i="4"/>
  <c r="U480" i="4" s="1"/>
  <c r="J480" i="4"/>
  <c r="S479" i="4"/>
  <c r="U479" i="4" s="1"/>
  <c r="J479" i="4"/>
  <c r="S478" i="4"/>
  <c r="U478" i="4" s="1"/>
  <c r="J478" i="4"/>
  <c r="U477" i="4"/>
  <c r="S477" i="4"/>
  <c r="J477" i="4"/>
  <c r="S476" i="4"/>
  <c r="U476" i="4" s="1"/>
  <c r="J476" i="4"/>
  <c r="S475" i="4"/>
  <c r="U475" i="4" s="1"/>
  <c r="J475" i="4"/>
  <c r="S474" i="4"/>
  <c r="U474" i="4" s="1"/>
  <c r="J474" i="4"/>
  <c r="U473" i="4"/>
  <c r="S473" i="4"/>
  <c r="J473" i="4"/>
  <c r="S472" i="4"/>
  <c r="U472" i="4" s="1"/>
  <c r="J472" i="4"/>
  <c r="S471" i="4"/>
  <c r="U471" i="4" s="1"/>
  <c r="J471" i="4"/>
  <c r="S470" i="4"/>
  <c r="U470" i="4" s="1"/>
  <c r="J470" i="4"/>
  <c r="S469" i="4"/>
  <c r="U469" i="4" s="1"/>
  <c r="J469" i="4"/>
  <c r="S468" i="4"/>
  <c r="U468" i="4" s="1"/>
  <c r="J468" i="4"/>
  <c r="S467" i="4"/>
  <c r="U467" i="4" s="1"/>
  <c r="J467" i="4"/>
  <c r="S466" i="4"/>
  <c r="U466" i="4" s="1"/>
  <c r="J466" i="4"/>
  <c r="S465" i="4"/>
  <c r="U465" i="4" s="1"/>
  <c r="J465" i="4"/>
  <c r="S464" i="4"/>
  <c r="U464" i="4" s="1"/>
  <c r="J464" i="4"/>
  <c r="S463" i="4"/>
  <c r="U463" i="4" s="1"/>
  <c r="J463" i="4"/>
  <c r="S462" i="4"/>
  <c r="U462" i="4" s="1"/>
  <c r="J462" i="4"/>
  <c r="S461" i="4"/>
  <c r="U461" i="4" s="1"/>
  <c r="J461" i="4"/>
  <c r="S484" i="3"/>
  <c r="U484" i="3" s="1"/>
  <c r="J484" i="3"/>
  <c r="S483" i="3"/>
  <c r="U483" i="3" s="1"/>
  <c r="J483" i="3"/>
  <c r="S482" i="3"/>
  <c r="J482" i="3" s="1"/>
  <c r="S481" i="3"/>
  <c r="U481" i="3" s="1"/>
  <c r="J481" i="3"/>
  <c r="S480" i="3"/>
  <c r="U480" i="3" s="1"/>
  <c r="J480" i="3"/>
  <c r="S479" i="3"/>
  <c r="U479" i="3" s="1"/>
  <c r="J479" i="3"/>
  <c r="S478" i="3"/>
  <c r="U478" i="3" s="1"/>
  <c r="J478" i="3"/>
  <c r="S477" i="3"/>
  <c r="U477" i="3" s="1"/>
  <c r="J477" i="3"/>
  <c r="S476" i="3"/>
  <c r="U476" i="3" s="1"/>
  <c r="J476" i="3"/>
  <c r="S475" i="3"/>
  <c r="U475" i="3" s="1"/>
  <c r="J475" i="3"/>
  <c r="S474" i="3"/>
  <c r="U474" i="3" s="1"/>
  <c r="J474" i="3"/>
  <c r="S473" i="3"/>
  <c r="U473" i="3" s="1"/>
  <c r="J473" i="3"/>
  <c r="S472" i="3"/>
  <c r="U472" i="3" s="1"/>
  <c r="S471" i="3"/>
  <c r="U471" i="3" s="1"/>
  <c r="J471" i="3"/>
  <c r="S470" i="3"/>
  <c r="U470" i="3" s="1"/>
  <c r="J470" i="3"/>
  <c r="U469" i="3"/>
  <c r="S469" i="3"/>
  <c r="J469" i="3"/>
  <c r="S468" i="3"/>
  <c r="U468" i="3" s="1"/>
  <c r="S467" i="3"/>
  <c r="U467" i="3" s="1"/>
  <c r="J467" i="3"/>
  <c r="S466" i="3"/>
  <c r="U466" i="3" s="1"/>
  <c r="J466" i="3"/>
  <c r="U465" i="3"/>
  <c r="S465" i="3"/>
  <c r="J465" i="3"/>
  <c r="S464" i="3"/>
  <c r="U464" i="3" s="1"/>
  <c r="S463" i="3"/>
  <c r="U463" i="3" s="1"/>
  <c r="J463" i="3"/>
  <c r="S462" i="3"/>
  <c r="U462" i="3" s="1"/>
  <c r="J462" i="3"/>
  <c r="U461" i="3"/>
  <c r="S461" i="3"/>
  <c r="J461" i="3" s="1"/>
  <c r="S484" i="2"/>
  <c r="U484" i="2" s="1"/>
  <c r="J484" i="2"/>
  <c r="S483" i="2"/>
  <c r="U483" i="2" s="1"/>
  <c r="J483" i="2"/>
  <c r="S482" i="2"/>
  <c r="U482" i="2" s="1"/>
  <c r="J482" i="2"/>
  <c r="S481" i="2"/>
  <c r="U481" i="2" s="1"/>
  <c r="J481" i="2"/>
  <c r="S480" i="2"/>
  <c r="U480" i="2" s="1"/>
  <c r="J480" i="2"/>
  <c r="S479" i="2"/>
  <c r="U479" i="2" s="1"/>
  <c r="S478" i="2"/>
  <c r="U478" i="2" s="1"/>
  <c r="J478" i="2"/>
  <c r="S477" i="2"/>
  <c r="U477" i="2" s="1"/>
  <c r="J477" i="2"/>
  <c r="S476" i="2"/>
  <c r="U476" i="2" s="1"/>
  <c r="J476" i="2"/>
  <c r="S475" i="2"/>
  <c r="U475" i="2" s="1"/>
  <c r="J475" i="2"/>
  <c r="S474" i="2"/>
  <c r="U474" i="2" s="1"/>
  <c r="J474" i="2"/>
  <c r="S473" i="2"/>
  <c r="U473" i="2" s="1"/>
  <c r="J473" i="2"/>
  <c r="S472" i="2"/>
  <c r="U472" i="2" s="1"/>
  <c r="J472" i="2"/>
  <c r="S471" i="2"/>
  <c r="U471" i="2" s="1"/>
  <c r="J471" i="2"/>
  <c r="S470" i="2"/>
  <c r="U470" i="2" s="1"/>
  <c r="J470" i="2"/>
  <c r="S469" i="2"/>
  <c r="J469" i="2" s="1"/>
  <c r="S468" i="2"/>
  <c r="U468" i="2" s="1"/>
  <c r="J468" i="2"/>
  <c r="S467" i="2"/>
  <c r="U467" i="2" s="1"/>
  <c r="J467" i="2"/>
  <c r="S466" i="2"/>
  <c r="U466" i="2" s="1"/>
  <c r="J466" i="2"/>
  <c r="S465" i="2"/>
  <c r="U465" i="2" s="1"/>
  <c r="S464" i="2"/>
  <c r="U464" i="2" s="1"/>
  <c r="J464" i="2"/>
  <c r="S463" i="2"/>
  <c r="U463" i="2" s="1"/>
  <c r="J463" i="2"/>
  <c r="S462" i="2"/>
  <c r="U462" i="2" s="1"/>
  <c r="J462" i="2"/>
  <c r="S461" i="2"/>
  <c r="J461" i="2" s="1"/>
  <c r="S484" i="1"/>
  <c r="U484" i="1" s="1"/>
  <c r="J484" i="1"/>
  <c r="S483" i="1"/>
  <c r="U483" i="1" s="1"/>
  <c r="J483" i="1"/>
  <c r="S482" i="1"/>
  <c r="U482" i="1" s="1"/>
  <c r="J482" i="1"/>
  <c r="S481" i="1"/>
  <c r="U481" i="1" s="1"/>
  <c r="U480" i="1"/>
  <c r="S480" i="1"/>
  <c r="J480" i="1"/>
  <c r="S479" i="1"/>
  <c r="U479" i="1" s="1"/>
  <c r="J479" i="1"/>
  <c r="S478" i="1"/>
  <c r="U478" i="1" s="1"/>
  <c r="J478" i="1"/>
  <c r="U477" i="1"/>
  <c r="S477" i="1"/>
  <c r="J477" i="1"/>
  <c r="U476" i="1"/>
  <c r="S476" i="1"/>
  <c r="J476" i="1"/>
  <c r="S475" i="1"/>
  <c r="U475" i="1" s="1"/>
  <c r="J475" i="1"/>
  <c r="S474" i="1"/>
  <c r="U474" i="1" s="1"/>
  <c r="J474" i="1"/>
  <c r="S473" i="1"/>
  <c r="U473" i="1" s="1"/>
  <c r="J473" i="1"/>
  <c r="S472" i="1"/>
  <c r="U472" i="1" s="1"/>
  <c r="S471" i="1"/>
  <c r="U471" i="1" s="1"/>
  <c r="S470" i="1"/>
  <c r="U470" i="1" s="1"/>
  <c r="J470" i="1"/>
  <c r="S469" i="1"/>
  <c r="U469" i="1" s="1"/>
  <c r="S468" i="1"/>
  <c r="U468" i="1" s="1"/>
  <c r="J468" i="1"/>
  <c r="S467" i="1"/>
  <c r="U467" i="1" s="1"/>
  <c r="J467" i="1"/>
  <c r="U466" i="1"/>
  <c r="S466" i="1"/>
  <c r="J466" i="1"/>
  <c r="U465" i="1"/>
  <c r="S465" i="1"/>
  <c r="J465" i="1"/>
  <c r="U464" i="1"/>
  <c r="S464" i="1"/>
  <c r="J464" i="1"/>
  <c r="U463" i="1"/>
  <c r="S463" i="1"/>
  <c r="J463" i="1"/>
  <c r="U462" i="1"/>
  <c r="S462" i="1"/>
  <c r="J462" i="1"/>
  <c r="S461" i="1"/>
  <c r="J461" i="1" s="1"/>
  <c r="S460" i="4"/>
  <c r="U460" i="4" s="1"/>
  <c r="J460" i="4"/>
  <c r="S459" i="4"/>
  <c r="U459" i="4" s="1"/>
  <c r="J459" i="4"/>
  <c r="S458" i="4"/>
  <c r="U458" i="4" s="1"/>
  <c r="J458" i="4"/>
  <c r="S457" i="4"/>
  <c r="U457" i="4" s="1"/>
  <c r="J457" i="4"/>
  <c r="S456" i="4"/>
  <c r="U456" i="4" s="1"/>
  <c r="J456" i="4"/>
  <c r="S455" i="4"/>
  <c r="U455" i="4" s="1"/>
  <c r="J455" i="4"/>
  <c r="S454" i="4"/>
  <c r="U454" i="4" s="1"/>
  <c r="J454" i="4"/>
  <c r="S453" i="4"/>
  <c r="U453" i="4" s="1"/>
  <c r="S452" i="4"/>
  <c r="U452" i="4" s="1"/>
  <c r="J452" i="4"/>
  <c r="S451" i="4"/>
  <c r="U451" i="4" s="1"/>
  <c r="J451" i="4"/>
  <c r="S450" i="4"/>
  <c r="U450" i="4" s="1"/>
  <c r="J450" i="4"/>
  <c r="S449" i="4"/>
  <c r="U449" i="4" s="1"/>
  <c r="J449" i="4"/>
  <c r="S448" i="4"/>
  <c r="U448" i="4" s="1"/>
  <c r="J448" i="4"/>
  <c r="S447" i="4"/>
  <c r="U447" i="4" s="1"/>
  <c r="J447" i="4"/>
  <c r="S446" i="4"/>
  <c r="U446" i="4" s="1"/>
  <c r="J446" i="4"/>
  <c r="S445" i="4"/>
  <c r="U445" i="4" s="1"/>
  <c r="S444" i="4"/>
  <c r="U444" i="4" s="1"/>
  <c r="J444" i="4"/>
  <c r="S443" i="4"/>
  <c r="U443" i="4" s="1"/>
  <c r="J443" i="4"/>
  <c r="S442" i="4"/>
  <c r="U442" i="4" s="1"/>
  <c r="J442" i="4"/>
  <c r="S441" i="4"/>
  <c r="U441" i="4" s="1"/>
  <c r="U440" i="4"/>
  <c r="S440" i="4"/>
  <c r="J440" i="4"/>
  <c r="U439" i="4"/>
  <c r="S439" i="4"/>
  <c r="J439" i="4"/>
  <c r="S438" i="4"/>
  <c r="U438" i="4" s="1"/>
  <c r="J438" i="4"/>
  <c r="S437" i="4"/>
  <c r="J437" i="4" s="1"/>
  <c r="S436" i="4"/>
  <c r="U436" i="4" s="1"/>
  <c r="J436" i="4"/>
  <c r="S435" i="4"/>
  <c r="U435" i="4" s="1"/>
  <c r="J435" i="4"/>
  <c r="S434" i="4"/>
  <c r="U434" i="4" s="1"/>
  <c r="J434" i="4"/>
  <c r="S433" i="4"/>
  <c r="U433" i="4" s="1"/>
  <c r="J433" i="4"/>
  <c r="S432" i="4"/>
  <c r="U432" i="4" s="1"/>
  <c r="J432" i="4"/>
  <c r="S431" i="4"/>
  <c r="U431" i="4" s="1"/>
  <c r="J431" i="4"/>
  <c r="S430" i="4"/>
  <c r="U430" i="4" s="1"/>
  <c r="J430" i="4"/>
  <c r="S429" i="4"/>
  <c r="U429" i="4" s="1"/>
  <c r="J429" i="4"/>
  <c r="S428" i="4"/>
  <c r="U428" i="4" s="1"/>
  <c r="J428" i="4"/>
  <c r="S427" i="4"/>
  <c r="U427" i="4" s="1"/>
  <c r="J427" i="4"/>
  <c r="S426" i="4"/>
  <c r="U426" i="4" s="1"/>
  <c r="J426" i="4"/>
  <c r="S425" i="4"/>
  <c r="U425" i="4" s="1"/>
  <c r="J425" i="4"/>
  <c r="S460" i="3"/>
  <c r="U460" i="3" s="1"/>
  <c r="J460" i="3"/>
  <c r="S459" i="3"/>
  <c r="U459" i="3" s="1"/>
  <c r="S458" i="3"/>
  <c r="U458" i="3" s="1"/>
  <c r="J458" i="3"/>
  <c r="S457" i="3"/>
  <c r="U457" i="3" s="1"/>
  <c r="J457" i="3"/>
  <c r="S456" i="3"/>
  <c r="U456" i="3" s="1"/>
  <c r="J456" i="3"/>
  <c r="S455" i="3"/>
  <c r="U455" i="3" s="1"/>
  <c r="J455" i="3"/>
  <c r="S454" i="3"/>
  <c r="U454" i="3" s="1"/>
  <c r="J454" i="3"/>
  <c r="S453" i="3"/>
  <c r="U453" i="3" s="1"/>
  <c r="J453" i="3"/>
  <c r="S452" i="3"/>
  <c r="U452" i="3" s="1"/>
  <c r="J452" i="3"/>
  <c r="S451" i="3"/>
  <c r="U451" i="3" s="1"/>
  <c r="J451" i="3"/>
  <c r="S450" i="3"/>
  <c r="U450" i="3" s="1"/>
  <c r="J450" i="3"/>
  <c r="S449" i="3"/>
  <c r="U449" i="3" s="1"/>
  <c r="J449" i="3"/>
  <c r="S448" i="3"/>
  <c r="U448" i="3" s="1"/>
  <c r="U447" i="3"/>
  <c r="S447" i="3"/>
  <c r="J447" i="3" s="1"/>
  <c r="S446" i="3"/>
  <c r="U446" i="3" s="1"/>
  <c r="J446" i="3"/>
  <c r="S445" i="3"/>
  <c r="U445" i="3" s="1"/>
  <c r="S444" i="3"/>
  <c r="U444" i="3" s="1"/>
  <c r="U443" i="3"/>
  <c r="S443" i="3"/>
  <c r="J443" i="3" s="1"/>
  <c r="S442" i="3"/>
  <c r="U442" i="3" s="1"/>
  <c r="J442" i="3"/>
  <c r="S441" i="3"/>
  <c r="U441" i="3" s="1"/>
  <c r="S440" i="3"/>
  <c r="U440" i="3" s="1"/>
  <c r="U439" i="3"/>
  <c r="S439" i="3"/>
  <c r="J439" i="3" s="1"/>
  <c r="S438" i="3"/>
  <c r="U438" i="3" s="1"/>
  <c r="J438" i="3"/>
  <c r="S437" i="3"/>
  <c r="U437" i="3" s="1"/>
  <c r="S436" i="3"/>
  <c r="U436" i="3" s="1"/>
  <c r="J436" i="3"/>
  <c r="S435" i="3"/>
  <c r="U435" i="3" s="1"/>
  <c r="J435" i="3"/>
  <c r="S434" i="3"/>
  <c r="U434" i="3" s="1"/>
  <c r="J434" i="3"/>
  <c r="S433" i="3"/>
  <c r="U433" i="3" s="1"/>
  <c r="S432" i="3"/>
  <c r="U432" i="3" s="1"/>
  <c r="J432" i="3"/>
  <c r="S431" i="3"/>
  <c r="U431" i="3" s="1"/>
  <c r="J431" i="3"/>
  <c r="S430" i="3"/>
  <c r="U430" i="3" s="1"/>
  <c r="J430" i="3"/>
  <c r="S429" i="3"/>
  <c r="U429" i="3" s="1"/>
  <c r="S428" i="3"/>
  <c r="U428" i="3" s="1"/>
  <c r="J428" i="3"/>
  <c r="S427" i="3"/>
  <c r="U427" i="3" s="1"/>
  <c r="J427" i="3"/>
  <c r="S426" i="3"/>
  <c r="U426" i="3" s="1"/>
  <c r="J426" i="3"/>
  <c r="S425" i="3"/>
  <c r="J425" i="3" s="1"/>
  <c r="S460" i="2"/>
  <c r="U460" i="2" s="1"/>
  <c r="J460" i="2"/>
  <c r="S459" i="2"/>
  <c r="U459" i="2" s="1"/>
  <c r="J459" i="2"/>
  <c r="S458" i="2"/>
  <c r="U458" i="2" s="1"/>
  <c r="J458" i="2"/>
  <c r="S457" i="2"/>
  <c r="U457" i="2" s="1"/>
  <c r="J457" i="2"/>
  <c r="S456" i="2"/>
  <c r="U456" i="2" s="1"/>
  <c r="J456" i="2"/>
  <c r="S455" i="2"/>
  <c r="U455" i="2" s="1"/>
  <c r="S454" i="2"/>
  <c r="U454" i="2" s="1"/>
  <c r="J454" i="2"/>
  <c r="U453" i="2"/>
  <c r="S453" i="2"/>
  <c r="J453" i="2"/>
  <c r="S452" i="2"/>
  <c r="U452" i="2" s="1"/>
  <c r="J452" i="2"/>
  <c r="S451" i="2"/>
  <c r="U451" i="2" s="1"/>
  <c r="J451" i="2"/>
  <c r="S450" i="2"/>
  <c r="U450" i="2" s="1"/>
  <c r="S449" i="2"/>
  <c r="U449" i="2" s="1"/>
  <c r="J449" i="2"/>
  <c r="S448" i="2"/>
  <c r="U448" i="2" s="1"/>
  <c r="J448" i="2"/>
  <c r="S447" i="2"/>
  <c r="U447" i="2" s="1"/>
  <c r="J447" i="2"/>
  <c r="S446" i="2"/>
  <c r="U446" i="2" s="1"/>
  <c r="S445" i="2"/>
  <c r="U445" i="2" s="1"/>
  <c r="J445" i="2"/>
  <c r="S444" i="2"/>
  <c r="U444" i="2" s="1"/>
  <c r="J444" i="2"/>
  <c r="S443" i="2"/>
  <c r="U443" i="2" s="1"/>
  <c r="J443" i="2"/>
  <c r="S442" i="2"/>
  <c r="U442" i="2" s="1"/>
  <c r="S441" i="2"/>
  <c r="U441" i="2" s="1"/>
  <c r="J441" i="2"/>
  <c r="S440" i="2"/>
  <c r="U440" i="2" s="1"/>
  <c r="J440" i="2"/>
  <c r="S439" i="2"/>
  <c r="U439" i="2" s="1"/>
  <c r="J439" i="2"/>
  <c r="S438" i="2"/>
  <c r="U438" i="2" s="1"/>
  <c r="S437" i="2"/>
  <c r="U437" i="2" s="1"/>
  <c r="J437" i="2"/>
  <c r="S436" i="2"/>
  <c r="U436" i="2" s="1"/>
  <c r="J436" i="2"/>
  <c r="S435" i="2"/>
  <c r="U435" i="2" s="1"/>
  <c r="S434" i="2"/>
  <c r="U434" i="2" s="1"/>
  <c r="S433" i="2"/>
  <c r="U433" i="2" s="1"/>
  <c r="J433" i="2"/>
  <c r="S432" i="2"/>
  <c r="U432" i="2" s="1"/>
  <c r="J432" i="2"/>
  <c r="S431" i="2"/>
  <c r="U431" i="2" s="1"/>
  <c r="S430" i="2"/>
  <c r="U430" i="2" s="1"/>
  <c r="S429" i="2"/>
  <c r="U429" i="2" s="1"/>
  <c r="J429" i="2"/>
  <c r="S428" i="2"/>
  <c r="U428" i="2" s="1"/>
  <c r="J428" i="2"/>
  <c r="S427" i="2"/>
  <c r="U427" i="2" s="1"/>
  <c r="S426" i="2"/>
  <c r="U426" i="2" s="1"/>
  <c r="S425" i="2"/>
  <c r="U425" i="2" s="1"/>
  <c r="J425" i="2"/>
  <c r="S460" i="1"/>
  <c r="U460" i="1" s="1"/>
  <c r="J460" i="1"/>
  <c r="S459" i="1"/>
  <c r="U459" i="1" s="1"/>
  <c r="J459" i="1"/>
  <c r="S458" i="1"/>
  <c r="U458" i="1" s="1"/>
  <c r="S457" i="1"/>
  <c r="U457" i="1" s="1"/>
  <c r="J457" i="1"/>
  <c r="S456" i="1"/>
  <c r="U456" i="1" s="1"/>
  <c r="J456" i="1"/>
  <c r="S455" i="1"/>
  <c r="U455" i="1" s="1"/>
  <c r="J455" i="1"/>
  <c r="S454" i="1"/>
  <c r="U454" i="1" s="1"/>
  <c r="J454" i="1"/>
  <c r="U453" i="1"/>
  <c r="S453" i="1"/>
  <c r="J453" i="1"/>
  <c r="S452" i="1"/>
  <c r="U452" i="1" s="1"/>
  <c r="J452" i="1"/>
  <c r="S451" i="1"/>
  <c r="U451" i="1" s="1"/>
  <c r="J451" i="1"/>
  <c r="S450" i="1"/>
  <c r="U450" i="1" s="1"/>
  <c r="J450" i="1"/>
  <c r="U449" i="1"/>
  <c r="S449" i="1"/>
  <c r="J449" i="1"/>
  <c r="S448" i="1"/>
  <c r="U448" i="1" s="1"/>
  <c r="J448" i="1"/>
  <c r="S447" i="1"/>
  <c r="U447" i="1" s="1"/>
  <c r="J447" i="1"/>
  <c r="S446" i="1"/>
  <c r="U446" i="1" s="1"/>
  <c r="J446" i="1"/>
  <c r="S445" i="1"/>
  <c r="J445" i="1" s="1"/>
  <c r="S444" i="1"/>
  <c r="U444" i="1" s="1"/>
  <c r="J444" i="1"/>
  <c r="S443" i="1"/>
  <c r="U443" i="1" s="1"/>
  <c r="J443" i="1"/>
  <c r="S442" i="1"/>
  <c r="U442" i="1" s="1"/>
  <c r="J442" i="1"/>
  <c r="S441" i="1"/>
  <c r="U441" i="1" s="1"/>
  <c r="S440" i="1"/>
  <c r="U440" i="1" s="1"/>
  <c r="J440" i="1"/>
  <c r="S439" i="1"/>
  <c r="U439" i="1" s="1"/>
  <c r="J439" i="1"/>
  <c r="S438" i="1"/>
  <c r="U438" i="1" s="1"/>
  <c r="J438" i="1"/>
  <c r="S437" i="1"/>
  <c r="J437" i="1" s="1"/>
  <c r="S436" i="1"/>
  <c r="U436" i="1" s="1"/>
  <c r="S435" i="1"/>
  <c r="U435" i="1" s="1"/>
  <c r="S434" i="1"/>
  <c r="U434" i="1" s="1"/>
  <c r="S433" i="1"/>
  <c r="U433" i="1" s="1"/>
  <c r="S432" i="1"/>
  <c r="J432" i="1" s="1"/>
  <c r="S431" i="1"/>
  <c r="U431" i="1" s="1"/>
  <c r="S430" i="1"/>
  <c r="U430" i="1" s="1"/>
  <c r="S429" i="1"/>
  <c r="U429" i="1" s="1"/>
  <c r="S428" i="1"/>
  <c r="J428" i="1" s="1"/>
  <c r="S427" i="1"/>
  <c r="U427" i="1" s="1"/>
  <c r="S426" i="1"/>
  <c r="U426" i="1" s="1"/>
  <c r="S425" i="1"/>
  <c r="U425" i="1" s="1"/>
  <c r="S424" i="4"/>
  <c r="U424" i="4" s="1"/>
  <c r="J424" i="4"/>
  <c r="S423" i="4"/>
  <c r="U423" i="4" s="1"/>
  <c r="J423" i="4"/>
  <c r="S422" i="4"/>
  <c r="U422" i="4" s="1"/>
  <c r="J422" i="4"/>
  <c r="S421" i="4"/>
  <c r="U421" i="4" s="1"/>
  <c r="J421" i="4"/>
  <c r="S420" i="4"/>
  <c r="U420" i="4" s="1"/>
  <c r="J420" i="4"/>
  <c r="S419" i="4"/>
  <c r="U419" i="4" s="1"/>
  <c r="J419" i="4"/>
  <c r="S418" i="4"/>
  <c r="U418" i="4" s="1"/>
  <c r="J418" i="4"/>
  <c r="S417" i="4"/>
  <c r="U417" i="4" s="1"/>
  <c r="J417" i="4"/>
  <c r="S416" i="4"/>
  <c r="U416" i="4" s="1"/>
  <c r="J416" i="4"/>
  <c r="S415" i="4"/>
  <c r="U415" i="4" s="1"/>
  <c r="J415" i="4"/>
  <c r="S414" i="4"/>
  <c r="U414" i="4" s="1"/>
  <c r="J414" i="4"/>
  <c r="S413" i="4"/>
  <c r="U413" i="4" s="1"/>
  <c r="J413" i="4"/>
  <c r="S412" i="4"/>
  <c r="U412" i="4" s="1"/>
  <c r="J412" i="4"/>
  <c r="U411" i="4"/>
  <c r="S411" i="4"/>
  <c r="J411" i="4"/>
  <c r="S410" i="4"/>
  <c r="U410" i="4" s="1"/>
  <c r="J410" i="4"/>
  <c r="S409" i="4"/>
  <c r="U409" i="4" s="1"/>
  <c r="J409" i="4"/>
  <c r="S408" i="4"/>
  <c r="U408" i="4" s="1"/>
  <c r="J408" i="4"/>
  <c r="U407" i="4"/>
  <c r="S407" i="4"/>
  <c r="J407" i="4"/>
  <c r="S406" i="4"/>
  <c r="U406" i="4" s="1"/>
  <c r="J406" i="4"/>
  <c r="S405" i="4"/>
  <c r="U405" i="4" s="1"/>
  <c r="J405" i="4"/>
  <c r="S404" i="4"/>
  <c r="U404" i="4" s="1"/>
  <c r="J404" i="4"/>
  <c r="U403" i="4"/>
  <c r="S403" i="4"/>
  <c r="J403" i="4"/>
  <c r="S402" i="4"/>
  <c r="U402" i="4" s="1"/>
  <c r="J402" i="4"/>
  <c r="S401" i="4"/>
  <c r="U401" i="4" s="1"/>
  <c r="J401" i="4"/>
  <c r="S424" i="3"/>
  <c r="U424" i="3" s="1"/>
  <c r="S423" i="3"/>
  <c r="U423" i="3" s="1"/>
  <c r="S422" i="3"/>
  <c r="U422" i="3" s="1"/>
  <c r="J422" i="3"/>
  <c r="S421" i="3"/>
  <c r="U421" i="3" s="1"/>
  <c r="J421" i="3"/>
  <c r="S420" i="3"/>
  <c r="U420" i="3" s="1"/>
  <c r="J420" i="3"/>
  <c r="S419" i="3"/>
  <c r="U419" i="3" s="1"/>
  <c r="S418" i="3"/>
  <c r="U418" i="3" s="1"/>
  <c r="J418" i="3"/>
  <c r="S417" i="3"/>
  <c r="U417" i="3" s="1"/>
  <c r="J417" i="3"/>
  <c r="S416" i="3"/>
  <c r="U416" i="3" s="1"/>
  <c r="J416" i="3"/>
  <c r="S415" i="3"/>
  <c r="U415" i="3" s="1"/>
  <c r="S414" i="3"/>
  <c r="U414" i="3" s="1"/>
  <c r="J414" i="3"/>
  <c r="S413" i="3"/>
  <c r="U413" i="3" s="1"/>
  <c r="J413" i="3"/>
  <c r="S412" i="3"/>
  <c r="U412" i="3" s="1"/>
  <c r="J412" i="3"/>
  <c r="S411" i="3"/>
  <c r="U411" i="3" s="1"/>
  <c r="J411" i="3"/>
  <c r="S410" i="3"/>
  <c r="U410" i="3" s="1"/>
  <c r="J410" i="3"/>
  <c r="S409" i="3"/>
  <c r="U409" i="3" s="1"/>
  <c r="S408" i="3"/>
  <c r="U408" i="3" s="1"/>
  <c r="J408" i="3"/>
  <c r="S407" i="3"/>
  <c r="U407" i="3" s="1"/>
  <c r="J407" i="3"/>
  <c r="S406" i="3"/>
  <c r="U406" i="3" s="1"/>
  <c r="J406" i="3"/>
  <c r="S405" i="3"/>
  <c r="U405" i="3" s="1"/>
  <c r="S404" i="3"/>
  <c r="U404" i="3" s="1"/>
  <c r="J404" i="3"/>
  <c r="S403" i="3"/>
  <c r="U403" i="3" s="1"/>
  <c r="J403" i="3"/>
  <c r="S402" i="3"/>
  <c r="U402" i="3" s="1"/>
  <c r="J402" i="3"/>
  <c r="S401" i="3"/>
  <c r="U401" i="3" s="1"/>
  <c r="S424" i="2"/>
  <c r="U424" i="2" s="1"/>
  <c r="J424" i="2"/>
  <c r="S423" i="2"/>
  <c r="U423" i="2" s="1"/>
  <c r="J423" i="2"/>
  <c r="S422" i="2"/>
  <c r="U422" i="2" s="1"/>
  <c r="J422" i="2"/>
  <c r="S421" i="2"/>
  <c r="U421" i="2" s="1"/>
  <c r="J421" i="2"/>
  <c r="S420" i="2"/>
  <c r="U420" i="2" s="1"/>
  <c r="J420" i="2"/>
  <c r="S419" i="2"/>
  <c r="U419" i="2" s="1"/>
  <c r="J419" i="2"/>
  <c r="S418" i="2"/>
  <c r="U418" i="2" s="1"/>
  <c r="J418" i="2"/>
  <c r="S417" i="2"/>
  <c r="U417" i="2" s="1"/>
  <c r="J417" i="2"/>
  <c r="S416" i="2"/>
  <c r="U416" i="2" s="1"/>
  <c r="J416" i="2"/>
  <c r="S415" i="2"/>
  <c r="U415" i="2" s="1"/>
  <c r="J415" i="2"/>
  <c r="S414" i="2"/>
  <c r="U414" i="2" s="1"/>
  <c r="J414" i="2"/>
  <c r="S413" i="2"/>
  <c r="U413" i="2" s="1"/>
  <c r="J413" i="2"/>
  <c r="S412" i="2"/>
  <c r="U412" i="2" s="1"/>
  <c r="S411" i="2"/>
  <c r="U411" i="2" s="1"/>
  <c r="J411" i="2"/>
  <c r="S410" i="2"/>
  <c r="U410" i="2" s="1"/>
  <c r="J410" i="2"/>
  <c r="S409" i="2"/>
  <c r="U409" i="2" s="1"/>
  <c r="J409" i="2"/>
  <c r="S408" i="2"/>
  <c r="U408" i="2" s="1"/>
  <c r="S407" i="2"/>
  <c r="U407" i="2" s="1"/>
  <c r="J407" i="2"/>
  <c r="S406" i="2"/>
  <c r="U406" i="2" s="1"/>
  <c r="J406" i="2"/>
  <c r="S405" i="2"/>
  <c r="U405" i="2" s="1"/>
  <c r="J405" i="2"/>
  <c r="S404" i="2"/>
  <c r="U404" i="2" s="1"/>
  <c r="S403" i="2"/>
  <c r="U403" i="2" s="1"/>
  <c r="J403" i="2"/>
  <c r="S402" i="2"/>
  <c r="U402" i="2" s="1"/>
  <c r="J402" i="2"/>
  <c r="S401" i="2"/>
  <c r="U401" i="2" s="1"/>
  <c r="S424" i="1"/>
  <c r="U424" i="1" s="1"/>
  <c r="S423" i="1"/>
  <c r="U423" i="1" s="1"/>
  <c r="S422" i="1"/>
  <c r="U422" i="1" s="1"/>
  <c r="J422" i="1"/>
  <c r="S421" i="1"/>
  <c r="U421" i="1" s="1"/>
  <c r="J421" i="1"/>
  <c r="S420" i="1"/>
  <c r="U420" i="1" s="1"/>
  <c r="J420" i="1"/>
  <c r="S419" i="1"/>
  <c r="U419" i="1" s="1"/>
  <c r="J419" i="1"/>
  <c r="S418" i="1"/>
  <c r="U418" i="1" s="1"/>
  <c r="J418" i="1"/>
  <c r="S417" i="1"/>
  <c r="U417" i="1" s="1"/>
  <c r="J417" i="1"/>
  <c r="S416" i="1"/>
  <c r="U416" i="1" s="1"/>
  <c r="J416" i="1"/>
  <c r="S415" i="1"/>
  <c r="U415" i="1" s="1"/>
  <c r="S414" i="1"/>
  <c r="U414" i="1" s="1"/>
  <c r="J414" i="1"/>
  <c r="S413" i="1"/>
  <c r="U413" i="1" s="1"/>
  <c r="J413" i="1"/>
  <c r="S412" i="1"/>
  <c r="U412" i="1" s="1"/>
  <c r="S411" i="1"/>
  <c r="J411" i="1" s="1"/>
  <c r="S410" i="1"/>
  <c r="U410" i="1" s="1"/>
  <c r="J410" i="1"/>
  <c r="S409" i="1"/>
  <c r="U409" i="1" s="1"/>
  <c r="S408" i="1"/>
  <c r="U408" i="1" s="1"/>
  <c r="S407" i="1"/>
  <c r="U407" i="1" s="1"/>
  <c r="U406" i="1"/>
  <c r="S406" i="1"/>
  <c r="J406" i="1"/>
  <c r="S405" i="1"/>
  <c r="U405" i="1" s="1"/>
  <c r="J405" i="1"/>
  <c r="S404" i="1"/>
  <c r="U404" i="1" s="1"/>
  <c r="S403" i="1"/>
  <c r="U403" i="1" s="1"/>
  <c r="J403" i="1"/>
  <c r="U402" i="1"/>
  <c r="S402" i="1"/>
  <c r="J402" i="1"/>
  <c r="S401" i="1"/>
  <c r="U401" i="1" s="1"/>
  <c r="S400" i="4"/>
  <c r="U400" i="4" s="1"/>
  <c r="J400" i="4"/>
  <c r="S399" i="4"/>
  <c r="U399" i="4" s="1"/>
  <c r="J399" i="4"/>
  <c r="S398" i="4"/>
  <c r="U398" i="4" s="1"/>
  <c r="J398" i="4"/>
  <c r="S397" i="4"/>
  <c r="U397" i="4" s="1"/>
  <c r="J397" i="4"/>
  <c r="S396" i="4"/>
  <c r="U396" i="4" s="1"/>
  <c r="J396" i="4"/>
  <c r="S395" i="4"/>
  <c r="U395" i="4" s="1"/>
  <c r="J395" i="4"/>
  <c r="S394" i="4"/>
  <c r="U394" i="4" s="1"/>
  <c r="J394" i="4"/>
  <c r="S393" i="4"/>
  <c r="U393" i="4" s="1"/>
  <c r="J393" i="4"/>
  <c r="S392" i="4"/>
  <c r="U392" i="4" s="1"/>
  <c r="J392" i="4"/>
  <c r="S391" i="4"/>
  <c r="U391" i="4" s="1"/>
  <c r="J391" i="4"/>
  <c r="S390" i="4"/>
  <c r="U390" i="4" s="1"/>
  <c r="J390" i="4"/>
  <c r="S389" i="4"/>
  <c r="U389" i="4" s="1"/>
  <c r="J389" i="4"/>
  <c r="S388" i="4"/>
  <c r="U388" i="4" s="1"/>
  <c r="S387" i="4"/>
  <c r="U387" i="4" s="1"/>
  <c r="J387" i="4"/>
  <c r="S386" i="4"/>
  <c r="U386" i="4" s="1"/>
  <c r="J386" i="4"/>
  <c r="S385" i="4"/>
  <c r="U385" i="4" s="1"/>
  <c r="J385" i="4"/>
  <c r="S384" i="4"/>
  <c r="U384" i="4" s="1"/>
  <c r="S383" i="4"/>
  <c r="U383" i="4" s="1"/>
  <c r="J383" i="4"/>
  <c r="S382" i="4"/>
  <c r="U382" i="4" s="1"/>
  <c r="S381" i="4"/>
  <c r="U381" i="4" s="1"/>
  <c r="J381" i="4"/>
  <c r="S380" i="4"/>
  <c r="U380" i="4" s="1"/>
  <c r="J380" i="4"/>
  <c r="S379" i="4"/>
  <c r="U379" i="4" s="1"/>
  <c r="J379" i="4"/>
  <c r="S378" i="4"/>
  <c r="U378" i="4" s="1"/>
  <c r="S377" i="4"/>
  <c r="U377" i="4" s="1"/>
  <c r="J377" i="4"/>
  <c r="S376" i="4"/>
  <c r="U376" i="4" s="1"/>
  <c r="S375" i="4"/>
  <c r="U375" i="4" s="1"/>
  <c r="J375" i="4"/>
  <c r="S374" i="4"/>
  <c r="U374" i="4" s="1"/>
  <c r="J374" i="4"/>
  <c r="S373" i="4"/>
  <c r="U373" i="4" s="1"/>
  <c r="J373" i="4"/>
  <c r="S372" i="4"/>
  <c r="U372" i="4" s="1"/>
  <c r="S371" i="4"/>
  <c r="U371" i="4" s="1"/>
  <c r="J371" i="4"/>
  <c r="S370" i="4"/>
  <c r="U370" i="4" s="1"/>
  <c r="S369" i="4"/>
  <c r="U369" i="4" s="1"/>
  <c r="J369" i="4"/>
  <c r="S368" i="4"/>
  <c r="U368" i="4" s="1"/>
  <c r="J368" i="4"/>
  <c r="S367" i="4"/>
  <c r="U367" i="4" s="1"/>
  <c r="J367" i="4"/>
  <c r="S366" i="4"/>
  <c r="U366" i="4" s="1"/>
  <c r="S365" i="4"/>
  <c r="U365" i="4" s="1"/>
  <c r="J365" i="4"/>
  <c r="S400" i="3"/>
  <c r="U400" i="3" s="1"/>
  <c r="S399" i="3"/>
  <c r="U399" i="3" s="1"/>
  <c r="J399" i="3"/>
  <c r="S398" i="3"/>
  <c r="U398" i="3" s="1"/>
  <c r="J398" i="3"/>
  <c r="S397" i="3"/>
  <c r="U397" i="3" s="1"/>
  <c r="J397" i="3"/>
  <c r="S396" i="3"/>
  <c r="U396" i="3" s="1"/>
  <c r="S395" i="3"/>
  <c r="U395" i="3" s="1"/>
  <c r="J395" i="3"/>
  <c r="S394" i="3"/>
  <c r="U394" i="3" s="1"/>
  <c r="J394" i="3"/>
  <c r="S393" i="3"/>
  <c r="U393" i="3" s="1"/>
  <c r="J393" i="3"/>
  <c r="S392" i="3"/>
  <c r="U392" i="3" s="1"/>
  <c r="S391" i="3"/>
  <c r="U391" i="3" s="1"/>
  <c r="J391" i="3"/>
  <c r="S390" i="3"/>
  <c r="U390" i="3" s="1"/>
  <c r="J390" i="3"/>
  <c r="S389" i="3"/>
  <c r="U389" i="3" s="1"/>
  <c r="J389" i="3"/>
  <c r="S388" i="3"/>
  <c r="U388" i="3" s="1"/>
  <c r="S387" i="3"/>
  <c r="U387" i="3" s="1"/>
  <c r="J387" i="3"/>
  <c r="S386" i="3"/>
  <c r="U386" i="3" s="1"/>
  <c r="J386" i="3"/>
  <c r="S385" i="3"/>
  <c r="U385" i="3" s="1"/>
  <c r="J385" i="3"/>
  <c r="S384" i="3"/>
  <c r="U384" i="3" s="1"/>
  <c r="S383" i="3"/>
  <c r="U383" i="3" s="1"/>
  <c r="J383" i="3"/>
  <c r="S382" i="3"/>
  <c r="U382" i="3" s="1"/>
  <c r="J382" i="3"/>
  <c r="S381" i="3"/>
  <c r="U381" i="3" s="1"/>
  <c r="J381" i="3"/>
  <c r="S380" i="3"/>
  <c r="U380" i="3" s="1"/>
  <c r="S379" i="3"/>
  <c r="U379" i="3" s="1"/>
  <c r="J379" i="3"/>
  <c r="S378" i="3"/>
  <c r="U378" i="3" s="1"/>
  <c r="S377" i="3"/>
  <c r="U377" i="3" s="1"/>
  <c r="J377" i="3"/>
  <c r="S376" i="3"/>
  <c r="U376" i="3" s="1"/>
  <c r="J376" i="3"/>
  <c r="S375" i="3"/>
  <c r="U375" i="3" s="1"/>
  <c r="J375" i="3"/>
  <c r="S374" i="3"/>
  <c r="U374" i="3" s="1"/>
  <c r="S373" i="3"/>
  <c r="U373" i="3" s="1"/>
  <c r="S372" i="3"/>
  <c r="U372" i="3" s="1"/>
  <c r="J372" i="3"/>
  <c r="S371" i="3"/>
  <c r="U371" i="3" s="1"/>
  <c r="J371" i="3"/>
  <c r="S370" i="3"/>
  <c r="U370" i="3" s="1"/>
  <c r="S369" i="3"/>
  <c r="U369" i="3" s="1"/>
  <c r="S368" i="3"/>
  <c r="U368" i="3" s="1"/>
  <c r="J368" i="3"/>
  <c r="S367" i="3"/>
  <c r="U367" i="3" s="1"/>
  <c r="S366" i="3"/>
  <c r="U366" i="3" s="1"/>
  <c r="J366" i="3"/>
  <c r="S365" i="3"/>
  <c r="U365" i="3" s="1"/>
  <c r="J365" i="3"/>
  <c r="S400" i="2"/>
  <c r="U400" i="2" s="1"/>
  <c r="J400" i="2"/>
  <c r="S399" i="2"/>
  <c r="U399" i="2" s="1"/>
  <c r="S398" i="2"/>
  <c r="U398" i="2" s="1"/>
  <c r="J398" i="2"/>
  <c r="S397" i="2"/>
  <c r="U397" i="2" s="1"/>
  <c r="S396" i="2"/>
  <c r="U396" i="2" s="1"/>
  <c r="J396" i="2"/>
  <c r="S395" i="2"/>
  <c r="U395" i="2" s="1"/>
  <c r="J395" i="2"/>
  <c r="S394" i="2"/>
  <c r="U394" i="2" s="1"/>
  <c r="J394" i="2"/>
  <c r="S393" i="2"/>
  <c r="U393" i="2" s="1"/>
  <c r="J393" i="2"/>
  <c r="S392" i="2"/>
  <c r="U392" i="2" s="1"/>
  <c r="J392" i="2"/>
  <c r="S391" i="2"/>
  <c r="U391" i="2" s="1"/>
  <c r="J391" i="2"/>
  <c r="S390" i="2"/>
  <c r="U390" i="2" s="1"/>
  <c r="S389" i="2"/>
  <c r="U389" i="2" s="1"/>
  <c r="J389" i="2"/>
  <c r="S388" i="2"/>
  <c r="U388" i="2" s="1"/>
  <c r="J388" i="2"/>
  <c r="S387" i="2"/>
  <c r="U387" i="2" s="1"/>
  <c r="S386" i="2"/>
  <c r="U386" i="2" s="1"/>
  <c r="S385" i="2"/>
  <c r="U385" i="2" s="1"/>
  <c r="S384" i="2"/>
  <c r="U384" i="2" s="1"/>
  <c r="S383" i="2"/>
  <c r="U383" i="2" s="1"/>
  <c r="J383" i="2"/>
  <c r="S382" i="2"/>
  <c r="U382" i="2" s="1"/>
  <c r="J382" i="2"/>
  <c r="S381" i="2"/>
  <c r="U381" i="2" s="1"/>
  <c r="S380" i="2"/>
  <c r="U380" i="2" s="1"/>
  <c r="S379" i="2"/>
  <c r="U379" i="2" s="1"/>
  <c r="S378" i="2"/>
  <c r="U378" i="2" s="1"/>
  <c r="J378" i="2"/>
  <c r="S377" i="2"/>
  <c r="U377" i="2" s="1"/>
  <c r="S376" i="2"/>
  <c r="U376" i="2" s="1"/>
  <c r="J376" i="2"/>
  <c r="S375" i="2"/>
  <c r="U375" i="2" s="1"/>
  <c r="J375" i="2"/>
  <c r="S374" i="2"/>
  <c r="J374" i="2" s="1"/>
  <c r="S373" i="2"/>
  <c r="U373" i="2" s="1"/>
  <c r="S372" i="2"/>
  <c r="U372" i="2" s="1"/>
  <c r="S371" i="2"/>
  <c r="U371" i="2" s="1"/>
  <c r="J371" i="2"/>
  <c r="S370" i="2"/>
  <c r="U370" i="2" s="1"/>
  <c r="J370" i="2"/>
  <c r="S369" i="2"/>
  <c r="U369" i="2" s="1"/>
  <c r="J369" i="2"/>
  <c r="S368" i="2"/>
  <c r="U368" i="2" s="1"/>
  <c r="J368" i="2"/>
  <c r="S367" i="2"/>
  <c r="U367" i="2" s="1"/>
  <c r="S366" i="2"/>
  <c r="U366" i="2" s="1"/>
  <c r="S365" i="2"/>
  <c r="U365" i="2" s="1"/>
  <c r="J365" i="2"/>
  <c r="S400" i="1"/>
  <c r="U400" i="1" s="1"/>
  <c r="J400" i="1"/>
  <c r="S399" i="1"/>
  <c r="U399" i="1" s="1"/>
  <c r="S398" i="1"/>
  <c r="U398" i="1" s="1"/>
  <c r="J398" i="1"/>
  <c r="S397" i="1"/>
  <c r="U397" i="1" s="1"/>
  <c r="J397" i="1"/>
  <c r="S396" i="1"/>
  <c r="U396" i="1" s="1"/>
  <c r="S395" i="1"/>
  <c r="U395" i="1" s="1"/>
  <c r="J395" i="1"/>
  <c r="S394" i="1"/>
  <c r="U394" i="1" s="1"/>
  <c r="J394" i="1"/>
  <c r="S393" i="1"/>
  <c r="U393" i="1" s="1"/>
  <c r="J393" i="1"/>
  <c r="S392" i="1"/>
  <c r="U392" i="1" s="1"/>
  <c r="S391" i="1"/>
  <c r="U391" i="1" s="1"/>
  <c r="J391" i="1"/>
  <c r="S390" i="1"/>
  <c r="U390" i="1" s="1"/>
  <c r="J390" i="1"/>
  <c r="S389" i="1"/>
  <c r="U389" i="1" s="1"/>
  <c r="J389" i="1"/>
  <c r="S388" i="1"/>
  <c r="U388" i="1" s="1"/>
  <c r="J388" i="1"/>
  <c r="S387" i="1"/>
  <c r="U387" i="1" s="1"/>
  <c r="S386" i="1"/>
  <c r="U386" i="1" s="1"/>
  <c r="S385" i="1"/>
  <c r="U385" i="1" s="1"/>
  <c r="S384" i="1"/>
  <c r="U384" i="1" s="1"/>
  <c r="J384" i="1"/>
  <c r="S383" i="1"/>
  <c r="U383" i="1" s="1"/>
  <c r="J383" i="1"/>
  <c r="S382" i="1"/>
  <c r="U382" i="1" s="1"/>
  <c r="S381" i="1"/>
  <c r="U381" i="1" s="1"/>
  <c r="J381" i="1"/>
  <c r="S380" i="1"/>
  <c r="U380" i="1" s="1"/>
  <c r="J380" i="1"/>
  <c r="S379" i="1"/>
  <c r="U379" i="1" s="1"/>
  <c r="J379" i="1"/>
  <c r="S378" i="1"/>
  <c r="U378" i="1" s="1"/>
  <c r="S377" i="1"/>
  <c r="U377" i="1" s="1"/>
  <c r="J377" i="1"/>
  <c r="S376" i="1"/>
  <c r="U376" i="1" s="1"/>
  <c r="S375" i="1"/>
  <c r="U375" i="1" s="1"/>
  <c r="S374" i="1"/>
  <c r="U374" i="1" s="1"/>
  <c r="S373" i="1"/>
  <c r="U373" i="1" s="1"/>
  <c r="J373" i="1"/>
  <c r="U372" i="1"/>
  <c r="S372" i="1"/>
  <c r="J372" i="1"/>
  <c r="S371" i="1"/>
  <c r="U371" i="1" s="1"/>
  <c r="J371" i="1"/>
  <c r="S370" i="1"/>
  <c r="U370" i="1" s="1"/>
  <c r="J370" i="1"/>
  <c r="S369" i="1"/>
  <c r="U369" i="1" s="1"/>
  <c r="J369" i="1"/>
  <c r="S368" i="1"/>
  <c r="J368" i="1" s="1"/>
  <c r="U367" i="1"/>
  <c r="S367" i="1"/>
  <c r="J367" i="1"/>
  <c r="S366" i="1"/>
  <c r="U366" i="1" s="1"/>
  <c r="J366" i="1"/>
  <c r="S365" i="1"/>
  <c r="U365" i="1" s="1"/>
  <c r="J365" i="1"/>
  <c r="S364" i="4"/>
  <c r="U364" i="4" s="1"/>
  <c r="J364" i="4"/>
  <c r="S363" i="4"/>
  <c r="U363" i="4" s="1"/>
  <c r="J363" i="4"/>
  <c r="S362" i="4"/>
  <c r="U362" i="4" s="1"/>
  <c r="J362" i="4"/>
  <c r="S361" i="4"/>
  <c r="U361" i="4" s="1"/>
  <c r="J361" i="4"/>
  <c r="S360" i="4"/>
  <c r="U360" i="4" s="1"/>
  <c r="S359" i="4"/>
  <c r="U359" i="4" s="1"/>
  <c r="J359" i="4"/>
  <c r="S358" i="4"/>
  <c r="U358" i="4" s="1"/>
  <c r="J358" i="4"/>
  <c r="S357" i="4"/>
  <c r="U357" i="4" s="1"/>
  <c r="J357" i="4"/>
  <c r="S356" i="4"/>
  <c r="U356" i="4" s="1"/>
  <c r="J356" i="4"/>
  <c r="S355" i="4"/>
  <c r="U355" i="4" s="1"/>
  <c r="J355" i="4"/>
  <c r="S354" i="4"/>
  <c r="U354" i="4" s="1"/>
  <c r="S353" i="4"/>
  <c r="U353" i="4" s="1"/>
  <c r="J353" i="4"/>
  <c r="S352" i="4"/>
  <c r="U352" i="4" s="1"/>
  <c r="J352" i="4"/>
  <c r="S351" i="4"/>
  <c r="U351" i="4" s="1"/>
  <c r="S350" i="4"/>
  <c r="U350" i="4" s="1"/>
  <c r="J350" i="4"/>
  <c r="S349" i="4"/>
  <c r="U349" i="4" s="1"/>
  <c r="S348" i="4"/>
  <c r="U348" i="4" s="1"/>
  <c r="J348" i="4"/>
  <c r="S347" i="4"/>
  <c r="U347" i="4" s="1"/>
  <c r="S346" i="4"/>
  <c r="U346" i="4" s="1"/>
  <c r="J346" i="4"/>
  <c r="S345" i="4"/>
  <c r="U345" i="4" s="1"/>
  <c r="J345" i="4"/>
  <c r="S344" i="4"/>
  <c r="U344" i="4" s="1"/>
  <c r="J344" i="4"/>
  <c r="S343" i="4"/>
  <c r="U343" i="4" s="1"/>
  <c r="S342" i="4"/>
  <c r="U342" i="4" s="1"/>
  <c r="S341" i="4"/>
  <c r="U341" i="4" s="1"/>
  <c r="J341" i="4"/>
  <c r="S340" i="4"/>
  <c r="U340" i="4" s="1"/>
  <c r="S339" i="4"/>
  <c r="U339" i="4" s="1"/>
  <c r="J339" i="4"/>
  <c r="S338" i="4"/>
  <c r="U338" i="4" s="1"/>
  <c r="S337" i="4"/>
  <c r="U337" i="4" s="1"/>
  <c r="J337" i="4"/>
  <c r="S336" i="4"/>
  <c r="U336" i="4" s="1"/>
  <c r="S335" i="4"/>
  <c r="U335" i="4" s="1"/>
  <c r="J335" i="4"/>
  <c r="S334" i="4"/>
  <c r="U334" i="4" s="1"/>
  <c r="S333" i="4"/>
  <c r="U333" i="4" s="1"/>
  <c r="J333" i="4"/>
  <c r="S332" i="4"/>
  <c r="U332" i="4" s="1"/>
  <c r="S331" i="4"/>
  <c r="U331" i="4" s="1"/>
  <c r="J331" i="4"/>
  <c r="S330" i="4"/>
  <c r="U330" i="4" s="1"/>
  <c r="S329" i="4"/>
  <c r="U329" i="4" s="1"/>
  <c r="J329" i="4"/>
  <c r="S364" i="3"/>
  <c r="U364" i="3" s="1"/>
  <c r="S363" i="3"/>
  <c r="U363" i="3" s="1"/>
  <c r="S362" i="3"/>
  <c r="U362" i="3" s="1"/>
  <c r="J362" i="3"/>
  <c r="S361" i="3"/>
  <c r="U361" i="3" s="1"/>
  <c r="J361" i="3"/>
  <c r="S360" i="3"/>
  <c r="U360" i="3" s="1"/>
  <c r="J360" i="3"/>
  <c r="S359" i="3"/>
  <c r="U359" i="3" s="1"/>
  <c r="J359" i="3"/>
  <c r="S358" i="3"/>
  <c r="U358" i="3" s="1"/>
  <c r="S357" i="3"/>
  <c r="U357" i="3" s="1"/>
  <c r="S356" i="3"/>
  <c r="U356" i="3" s="1"/>
  <c r="S355" i="3"/>
  <c r="U355" i="3" s="1"/>
  <c r="S354" i="3"/>
  <c r="U354" i="3" s="1"/>
  <c r="S353" i="3"/>
  <c r="U353" i="3" s="1"/>
  <c r="S352" i="3"/>
  <c r="U352" i="3" s="1"/>
  <c r="S351" i="3"/>
  <c r="U351" i="3" s="1"/>
  <c r="J351" i="3"/>
  <c r="S350" i="3"/>
  <c r="U350" i="3" s="1"/>
  <c r="J350" i="3"/>
  <c r="S349" i="3"/>
  <c r="U349" i="3" s="1"/>
  <c r="J349" i="3"/>
  <c r="S348" i="3"/>
  <c r="U348" i="3" s="1"/>
  <c r="S347" i="3"/>
  <c r="U347" i="3" s="1"/>
  <c r="S346" i="3"/>
  <c r="U346" i="3" s="1"/>
  <c r="S345" i="3"/>
  <c r="U345" i="3" s="1"/>
  <c r="S344" i="3"/>
  <c r="U344" i="3" s="1"/>
  <c r="J344" i="3"/>
  <c r="S343" i="3"/>
  <c r="U343" i="3" s="1"/>
  <c r="J343" i="3"/>
  <c r="S342" i="3"/>
  <c r="U342" i="3" s="1"/>
  <c r="J342" i="3"/>
  <c r="S341" i="3"/>
  <c r="U341" i="3" s="1"/>
  <c r="J341" i="3"/>
  <c r="U340" i="3"/>
  <c r="S340" i="3"/>
  <c r="J340" i="3"/>
  <c r="S339" i="3"/>
  <c r="U339" i="3" s="1"/>
  <c r="J339" i="3"/>
  <c r="S338" i="3"/>
  <c r="U338" i="3" s="1"/>
  <c r="J338" i="3"/>
  <c r="S337" i="3"/>
  <c r="U337" i="3" s="1"/>
  <c r="J337" i="3"/>
  <c r="S336" i="3"/>
  <c r="U336" i="3" s="1"/>
  <c r="J336" i="3"/>
  <c r="S335" i="3"/>
  <c r="U335" i="3" s="1"/>
  <c r="J335" i="3"/>
  <c r="S334" i="3"/>
  <c r="U334" i="3" s="1"/>
  <c r="S333" i="3"/>
  <c r="U333" i="3" s="1"/>
  <c r="J333" i="3"/>
  <c r="S332" i="3"/>
  <c r="U332" i="3" s="1"/>
  <c r="J332" i="3"/>
  <c r="S331" i="3"/>
  <c r="U331" i="3" s="1"/>
  <c r="J331" i="3"/>
  <c r="S330" i="3"/>
  <c r="U330" i="3" s="1"/>
  <c r="J330" i="3"/>
  <c r="S329" i="3"/>
  <c r="U329" i="3" s="1"/>
  <c r="J329" i="3"/>
  <c r="S364" i="2"/>
  <c r="U364" i="2" s="1"/>
  <c r="S363" i="2"/>
  <c r="U363" i="2" s="1"/>
  <c r="S362" i="2"/>
  <c r="J362" i="2" s="1"/>
  <c r="S361" i="2"/>
  <c r="U361" i="2" s="1"/>
  <c r="J361" i="2"/>
  <c r="S360" i="2"/>
  <c r="U360" i="2" s="1"/>
  <c r="J360" i="2"/>
  <c r="S359" i="2"/>
  <c r="U359" i="2" s="1"/>
  <c r="S358" i="2"/>
  <c r="U358" i="2" s="1"/>
  <c r="S357" i="2"/>
  <c r="U357" i="2" s="1"/>
  <c r="J357" i="2"/>
  <c r="S356" i="2"/>
  <c r="U356" i="2" s="1"/>
  <c r="J356" i="2"/>
  <c r="S355" i="2"/>
  <c r="U355" i="2" s="1"/>
  <c r="S354" i="2"/>
  <c r="U354" i="2" s="1"/>
  <c r="J354" i="2"/>
  <c r="S353" i="2"/>
  <c r="U353" i="2" s="1"/>
  <c r="J353" i="2"/>
  <c r="S352" i="2"/>
  <c r="U352" i="2" s="1"/>
  <c r="J352" i="2"/>
  <c r="S351" i="2"/>
  <c r="U351" i="2" s="1"/>
  <c r="J351" i="2"/>
  <c r="S350" i="2"/>
  <c r="U350" i="2" s="1"/>
  <c r="S349" i="2"/>
  <c r="U349" i="2" s="1"/>
  <c r="J349" i="2"/>
  <c r="S348" i="2"/>
  <c r="U348" i="2" s="1"/>
  <c r="S347" i="2"/>
  <c r="U347" i="2" s="1"/>
  <c r="S346" i="2"/>
  <c r="U346" i="2" s="1"/>
  <c r="J346" i="2"/>
  <c r="S345" i="2"/>
  <c r="U345" i="2" s="1"/>
  <c r="S344" i="2"/>
  <c r="U344" i="2" s="1"/>
  <c r="J344" i="2"/>
  <c r="S343" i="2"/>
  <c r="U343" i="2" s="1"/>
  <c r="J343" i="2"/>
  <c r="S342" i="2"/>
  <c r="U342" i="2" s="1"/>
  <c r="J342" i="2"/>
  <c r="S341" i="2"/>
  <c r="U341" i="2" s="1"/>
  <c r="S340" i="2"/>
  <c r="U340" i="2" s="1"/>
  <c r="J340" i="2"/>
  <c r="S339" i="2"/>
  <c r="U339" i="2" s="1"/>
  <c r="S338" i="2"/>
  <c r="U338" i="2" s="1"/>
  <c r="J338" i="2"/>
  <c r="S337" i="2"/>
  <c r="U337" i="2" s="1"/>
  <c r="J337" i="2"/>
  <c r="S336" i="2"/>
  <c r="U336" i="2" s="1"/>
  <c r="J336" i="2"/>
  <c r="S335" i="2"/>
  <c r="U335" i="2" s="1"/>
  <c r="S334" i="2"/>
  <c r="U334" i="2" s="1"/>
  <c r="J334" i="2"/>
  <c r="S333" i="2"/>
  <c r="U333" i="2" s="1"/>
  <c r="J333" i="2"/>
  <c r="S332" i="2"/>
  <c r="U332" i="2" s="1"/>
  <c r="J332" i="2"/>
  <c r="S331" i="2"/>
  <c r="U331" i="2" s="1"/>
  <c r="J331" i="2"/>
  <c r="S330" i="2"/>
  <c r="U330" i="2" s="1"/>
  <c r="J330" i="2"/>
  <c r="S329" i="2"/>
  <c r="U329" i="2" s="1"/>
  <c r="S364" i="1"/>
  <c r="U364" i="1" s="1"/>
  <c r="J364" i="1"/>
  <c r="S363" i="1"/>
  <c r="U363" i="1" s="1"/>
  <c r="S362" i="1"/>
  <c r="U362" i="1" s="1"/>
  <c r="S361" i="1"/>
  <c r="U361" i="1" s="1"/>
  <c r="S360" i="1"/>
  <c r="U360" i="1" s="1"/>
  <c r="J360" i="1"/>
  <c r="S359" i="1"/>
  <c r="U359" i="1" s="1"/>
  <c r="J359" i="1"/>
  <c r="S358" i="1"/>
  <c r="U358" i="1" s="1"/>
  <c r="J358" i="1"/>
  <c r="S357" i="1"/>
  <c r="U357" i="1" s="1"/>
  <c r="J357" i="1"/>
  <c r="S356" i="1"/>
  <c r="U356" i="1" s="1"/>
  <c r="S355" i="1"/>
  <c r="U355" i="1" s="1"/>
  <c r="J355" i="1"/>
  <c r="S354" i="1"/>
  <c r="U354" i="1" s="1"/>
  <c r="J354" i="1"/>
  <c r="S353" i="1"/>
  <c r="U353" i="1" s="1"/>
  <c r="J353" i="1"/>
  <c r="S352" i="1"/>
  <c r="U352" i="1" s="1"/>
  <c r="J352" i="1"/>
  <c r="S351" i="1"/>
  <c r="U351" i="1" s="1"/>
  <c r="J351" i="1"/>
  <c r="S350" i="1"/>
  <c r="U350" i="1" s="1"/>
  <c r="S349" i="1"/>
  <c r="U349" i="1" s="1"/>
  <c r="J349" i="1"/>
  <c r="S348" i="1"/>
  <c r="U348" i="1" s="1"/>
  <c r="S347" i="1"/>
  <c r="U347" i="1" s="1"/>
  <c r="S346" i="1"/>
  <c r="U346" i="1" s="1"/>
  <c r="J346" i="1"/>
  <c r="S345" i="1"/>
  <c r="U345" i="1" s="1"/>
  <c r="J345" i="1"/>
  <c r="S344" i="1"/>
  <c r="U344" i="1" s="1"/>
  <c r="S343" i="1"/>
  <c r="U343" i="1" s="1"/>
  <c r="J343" i="1"/>
  <c r="S342" i="1"/>
  <c r="U342" i="1" s="1"/>
  <c r="J342" i="1"/>
  <c r="S341" i="1"/>
  <c r="U341" i="1" s="1"/>
  <c r="U340" i="1"/>
  <c r="S340" i="1"/>
  <c r="J340" i="1"/>
  <c r="S339" i="1"/>
  <c r="U339" i="1" s="1"/>
  <c r="S338" i="1"/>
  <c r="U338" i="1" s="1"/>
  <c r="S337" i="1"/>
  <c r="U337" i="1" s="1"/>
  <c r="J337" i="1"/>
  <c r="S336" i="1"/>
  <c r="J336" i="1" s="1"/>
  <c r="S335" i="1"/>
  <c r="J335" i="1" s="1"/>
  <c r="S334" i="1"/>
  <c r="U334" i="1" s="1"/>
  <c r="J334" i="1"/>
  <c r="S333" i="1"/>
  <c r="U333" i="1" s="1"/>
  <c r="S332" i="1"/>
  <c r="J332" i="1" s="1"/>
  <c r="S331" i="1"/>
  <c r="J331" i="1" s="1"/>
  <c r="S330" i="1"/>
  <c r="U330" i="1" s="1"/>
  <c r="J330" i="1"/>
  <c r="S329" i="1"/>
  <c r="U329" i="1" s="1"/>
  <c r="J329" i="1"/>
  <c r="S328" i="4"/>
  <c r="U328" i="4" s="1"/>
  <c r="S327" i="4"/>
  <c r="U327" i="4" s="1"/>
  <c r="S326" i="4"/>
  <c r="U326" i="4" s="1"/>
  <c r="J326" i="4"/>
  <c r="S325" i="4"/>
  <c r="U325" i="4" s="1"/>
  <c r="S324" i="4"/>
  <c r="U324" i="4" s="1"/>
  <c r="J324" i="4"/>
  <c r="S323" i="4"/>
  <c r="U323" i="4" s="1"/>
  <c r="S322" i="4"/>
  <c r="U322" i="4" s="1"/>
  <c r="J322" i="4"/>
  <c r="S321" i="4"/>
  <c r="U321" i="4" s="1"/>
  <c r="S320" i="4"/>
  <c r="U320" i="4" s="1"/>
  <c r="J320" i="4"/>
  <c r="S319" i="4"/>
  <c r="U319" i="4" s="1"/>
  <c r="S318" i="4"/>
  <c r="U318" i="4" s="1"/>
  <c r="J318" i="4"/>
  <c r="S317" i="4"/>
  <c r="U317" i="4" s="1"/>
  <c r="S316" i="4"/>
  <c r="U316" i="4" s="1"/>
  <c r="J316" i="4"/>
  <c r="S315" i="4"/>
  <c r="U315" i="4" s="1"/>
  <c r="S314" i="4"/>
  <c r="U314" i="4" s="1"/>
  <c r="J314" i="4"/>
  <c r="S313" i="4"/>
  <c r="U313" i="4" s="1"/>
  <c r="S312" i="4"/>
  <c r="U312" i="4" s="1"/>
  <c r="J312" i="4"/>
  <c r="S311" i="4"/>
  <c r="U311" i="4" s="1"/>
  <c r="S310" i="4"/>
  <c r="U310" i="4" s="1"/>
  <c r="S309" i="4"/>
  <c r="U309" i="4" s="1"/>
  <c r="J309" i="4"/>
  <c r="S308" i="4"/>
  <c r="U308" i="4" s="1"/>
  <c r="S307" i="4"/>
  <c r="U307" i="4" s="1"/>
  <c r="S306" i="4"/>
  <c r="U306" i="4" s="1"/>
  <c r="S305" i="4"/>
  <c r="U305" i="4" s="1"/>
  <c r="J305" i="4"/>
  <c r="S328" i="3"/>
  <c r="U328" i="3" s="1"/>
  <c r="S327" i="3"/>
  <c r="U327" i="3" s="1"/>
  <c r="S326" i="3"/>
  <c r="U326" i="3" s="1"/>
  <c r="J326" i="3"/>
  <c r="S325" i="3"/>
  <c r="U325" i="3" s="1"/>
  <c r="S324" i="3"/>
  <c r="U324" i="3" s="1"/>
  <c r="S323" i="3"/>
  <c r="U323" i="3" s="1"/>
  <c r="S322" i="3"/>
  <c r="U322" i="3" s="1"/>
  <c r="J322" i="3"/>
  <c r="S321" i="3"/>
  <c r="U321" i="3" s="1"/>
  <c r="S320" i="3"/>
  <c r="J320" i="3" s="1"/>
  <c r="S319" i="3"/>
  <c r="U319" i="3" s="1"/>
  <c r="S318" i="3"/>
  <c r="U318" i="3" s="1"/>
  <c r="J318" i="3"/>
  <c r="S317" i="3"/>
  <c r="U317" i="3" s="1"/>
  <c r="S316" i="3"/>
  <c r="U316" i="3" s="1"/>
  <c r="J316" i="3"/>
  <c r="S315" i="3"/>
  <c r="U315" i="3" s="1"/>
  <c r="J315" i="3"/>
  <c r="S314" i="3"/>
  <c r="U314" i="3" s="1"/>
  <c r="S313" i="3"/>
  <c r="U313" i="3" s="1"/>
  <c r="J313" i="3"/>
  <c r="S312" i="3"/>
  <c r="U312" i="3" s="1"/>
  <c r="J312" i="3"/>
  <c r="S311" i="3"/>
  <c r="U311" i="3" s="1"/>
  <c r="J311" i="3"/>
  <c r="S310" i="3"/>
  <c r="U310" i="3" s="1"/>
  <c r="J310" i="3"/>
  <c r="S309" i="3"/>
  <c r="U309" i="3" s="1"/>
  <c r="S308" i="3"/>
  <c r="U308" i="3" s="1"/>
  <c r="S307" i="3"/>
  <c r="U307" i="3" s="1"/>
  <c r="J307" i="3"/>
  <c r="S306" i="3"/>
  <c r="U306" i="3" s="1"/>
  <c r="J306" i="3"/>
  <c r="S305" i="3"/>
  <c r="U305" i="3" s="1"/>
  <c r="J305" i="3"/>
  <c r="S328" i="2"/>
  <c r="U328" i="2" s="1"/>
  <c r="J328" i="2"/>
  <c r="S327" i="2"/>
  <c r="U327" i="2" s="1"/>
  <c r="S326" i="2"/>
  <c r="U326" i="2" s="1"/>
  <c r="S325" i="2"/>
  <c r="U325" i="2" s="1"/>
  <c r="J325" i="2"/>
  <c r="S324" i="2"/>
  <c r="U324" i="2" s="1"/>
  <c r="J324" i="2"/>
  <c r="S323" i="2"/>
  <c r="U323" i="2" s="1"/>
  <c r="J323" i="2"/>
  <c r="S322" i="2"/>
  <c r="U322" i="2" s="1"/>
  <c r="J322" i="2"/>
  <c r="S321" i="2"/>
  <c r="U321" i="2" s="1"/>
  <c r="J321" i="2"/>
  <c r="S320" i="2"/>
  <c r="U320" i="2" s="1"/>
  <c r="S319" i="2"/>
  <c r="U319" i="2" s="1"/>
  <c r="J319" i="2"/>
  <c r="S318" i="2"/>
  <c r="U318" i="2" s="1"/>
  <c r="S317" i="2"/>
  <c r="U317" i="2" s="1"/>
  <c r="S316" i="2"/>
  <c r="U316" i="2" s="1"/>
  <c r="S315" i="2"/>
  <c r="U315" i="2" s="1"/>
  <c r="J315" i="2"/>
  <c r="S314" i="2"/>
  <c r="U314" i="2" s="1"/>
  <c r="J314" i="2"/>
  <c r="S313" i="2"/>
  <c r="U313" i="2" s="1"/>
  <c r="S312" i="2"/>
  <c r="U312" i="2" s="1"/>
  <c r="S311" i="2"/>
  <c r="U311" i="2" s="1"/>
  <c r="J311" i="2"/>
  <c r="S310" i="2"/>
  <c r="U310" i="2" s="1"/>
  <c r="J310" i="2"/>
  <c r="S309" i="2"/>
  <c r="U309" i="2" s="1"/>
  <c r="J309" i="2"/>
  <c r="S308" i="2"/>
  <c r="U308" i="2" s="1"/>
  <c r="J308" i="2"/>
  <c r="S307" i="2"/>
  <c r="U307" i="2" s="1"/>
  <c r="S306" i="2"/>
  <c r="U306" i="2" s="1"/>
  <c r="S305" i="2"/>
  <c r="U305" i="2" s="1"/>
  <c r="J305" i="2"/>
  <c r="S328" i="1"/>
  <c r="U328" i="1" s="1"/>
  <c r="S327" i="1"/>
  <c r="U327" i="1" s="1"/>
  <c r="J327" i="1"/>
  <c r="S326" i="1"/>
  <c r="U326" i="1" s="1"/>
  <c r="J326" i="1"/>
  <c r="S325" i="1"/>
  <c r="U325" i="1" s="1"/>
  <c r="S324" i="1"/>
  <c r="U324" i="1" s="1"/>
  <c r="S323" i="1"/>
  <c r="U323" i="1" s="1"/>
  <c r="S322" i="1"/>
  <c r="U322" i="1" s="1"/>
  <c r="J322" i="1"/>
  <c r="S321" i="1"/>
  <c r="U321" i="1" s="1"/>
  <c r="S320" i="1"/>
  <c r="U320" i="1" s="1"/>
  <c r="J320" i="1"/>
  <c r="S319" i="1"/>
  <c r="U319" i="1" s="1"/>
  <c r="J319" i="1"/>
  <c r="S318" i="1"/>
  <c r="U318" i="1" s="1"/>
  <c r="J318" i="1"/>
  <c r="S317" i="1"/>
  <c r="U317" i="1" s="1"/>
  <c r="S316" i="1"/>
  <c r="U316" i="1" s="1"/>
  <c r="S315" i="1"/>
  <c r="U315" i="1" s="1"/>
  <c r="S314" i="1"/>
  <c r="U314" i="1" s="1"/>
  <c r="S313" i="1"/>
  <c r="J313" i="1" s="1"/>
  <c r="S312" i="1"/>
  <c r="J312" i="1" s="1"/>
  <c r="S311" i="1"/>
  <c r="J311" i="1" s="1"/>
  <c r="S310" i="1"/>
  <c r="U310" i="1" s="1"/>
  <c r="J310" i="1"/>
  <c r="S309" i="1"/>
  <c r="J309" i="1" s="1"/>
  <c r="S308" i="1"/>
  <c r="J308" i="1" s="1"/>
  <c r="S307" i="1"/>
  <c r="J307" i="1" s="1"/>
  <c r="S306" i="1"/>
  <c r="U306" i="1" s="1"/>
  <c r="S305" i="1"/>
  <c r="J305" i="1" s="1"/>
  <c r="S304" i="4"/>
  <c r="U304" i="4" s="1"/>
  <c r="S303" i="4"/>
  <c r="U303" i="4" s="1"/>
  <c r="J303" i="4"/>
  <c r="S302" i="4"/>
  <c r="U302" i="4" s="1"/>
  <c r="S301" i="4"/>
  <c r="U301" i="4" s="1"/>
  <c r="J301" i="4"/>
  <c r="S300" i="4"/>
  <c r="U300" i="4" s="1"/>
  <c r="S299" i="4"/>
  <c r="U299" i="4" s="1"/>
  <c r="J299" i="4"/>
  <c r="S298" i="4"/>
  <c r="U298" i="4" s="1"/>
  <c r="S297" i="4"/>
  <c r="U297" i="4" s="1"/>
  <c r="J297" i="4"/>
  <c r="S296" i="4"/>
  <c r="U296" i="4" s="1"/>
  <c r="S295" i="4"/>
  <c r="U295" i="4" s="1"/>
  <c r="J295" i="4"/>
  <c r="S294" i="4"/>
  <c r="U294" i="4" s="1"/>
  <c r="S293" i="4"/>
  <c r="U293" i="4" s="1"/>
  <c r="J293" i="4"/>
  <c r="S292" i="4"/>
  <c r="U292" i="4" s="1"/>
  <c r="J292" i="4"/>
  <c r="S291" i="4"/>
  <c r="U291" i="4" s="1"/>
  <c r="S290" i="4"/>
  <c r="U290" i="4" s="1"/>
  <c r="J290" i="4"/>
  <c r="S289" i="4"/>
  <c r="U289" i="4" s="1"/>
  <c r="S288" i="4"/>
  <c r="U288" i="4" s="1"/>
  <c r="S287" i="4"/>
  <c r="U287" i="4" s="1"/>
  <c r="S286" i="4"/>
  <c r="U286" i="4" s="1"/>
  <c r="J286" i="4"/>
  <c r="S285" i="4"/>
  <c r="U285" i="4" s="1"/>
  <c r="J285" i="4"/>
  <c r="S284" i="4"/>
  <c r="U284" i="4" s="1"/>
  <c r="J284" i="4"/>
  <c r="S283" i="4"/>
  <c r="U283" i="4" s="1"/>
  <c r="S282" i="4"/>
  <c r="U282" i="4" s="1"/>
  <c r="S281" i="4"/>
  <c r="U281" i="4" s="1"/>
  <c r="S304" i="2"/>
  <c r="U304" i="2" s="1"/>
  <c r="J304" i="2"/>
  <c r="S303" i="2"/>
  <c r="U303" i="2" s="1"/>
  <c r="J303" i="2"/>
  <c r="S302" i="2"/>
  <c r="U302" i="2" s="1"/>
  <c r="J302" i="2"/>
  <c r="S301" i="2"/>
  <c r="U301" i="2" s="1"/>
  <c r="S300" i="2"/>
  <c r="U300" i="2" s="1"/>
  <c r="S299" i="2"/>
  <c r="U299" i="2" s="1"/>
  <c r="S298" i="2"/>
  <c r="U298" i="2" s="1"/>
  <c r="J298" i="2"/>
  <c r="S297" i="2"/>
  <c r="U297" i="2" s="1"/>
  <c r="J297" i="2"/>
  <c r="S296" i="2"/>
  <c r="U296" i="2" s="1"/>
  <c r="J296" i="2"/>
  <c r="S295" i="2"/>
  <c r="U295" i="2" s="1"/>
  <c r="S294" i="2"/>
  <c r="U294" i="2" s="1"/>
  <c r="S293" i="2"/>
  <c r="U293" i="2" s="1"/>
  <c r="S304" i="1"/>
  <c r="U304" i="1" s="1"/>
  <c r="J304" i="1"/>
  <c r="S303" i="1"/>
  <c r="U303" i="1" s="1"/>
  <c r="J303" i="1"/>
  <c r="S302" i="1"/>
  <c r="U302" i="1" s="1"/>
  <c r="S301" i="1"/>
  <c r="U301" i="1" s="1"/>
  <c r="S300" i="1"/>
  <c r="J300" i="1" s="1"/>
  <c r="S299" i="1"/>
  <c r="U299" i="1" s="1"/>
  <c r="S298" i="1"/>
  <c r="U298" i="1" s="1"/>
  <c r="J298" i="1"/>
  <c r="S297" i="1"/>
  <c r="U297" i="1" s="1"/>
  <c r="J297" i="1"/>
  <c r="S296" i="1"/>
  <c r="U296" i="1" s="1"/>
  <c r="J296" i="1"/>
  <c r="S295" i="1"/>
  <c r="U295" i="1" s="1"/>
  <c r="J295" i="1"/>
  <c r="S294" i="1"/>
  <c r="U294" i="1" s="1"/>
  <c r="U293" i="1"/>
  <c r="S293" i="1"/>
  <c r="J293" i="1"/>
  <c r="S292" i="1"/>
  <c r="J292" i="1" s="1"/>
  <c r="S291" i="1"/>
  <c r="J291" i="1" s="1"/>
  <c r="S290" i="1"/>
  <c r="U290" i="1" s="1"/>
  <c r="S289" i="1"/>
  <c r="U289" i="1" s="1"/>
  <c r="S288" i="1"/>
  <c r="U288" i="1" s="1"/>
  <c r="S287" i="1"/>
  <c r="U287" i="1" s="1"/>
  <c r="S286" i="1"/>
  <c r="U286" i="1" s="1"/>
  <c r="J286" i="1"/>
  <c r="S285" i="1"/>
  <c r="U285" i="1" s="1"/>
  <c r="S284" i="1"/>
  <c r="U284" i="1" s="1"/>
  <c r="J284" i="1"/>
  <c r="S283" i="1"/>
  <c r="J283" i="1" s="1"/>
  <c r="S282" i="1"/>
  <c r="J282" i="1" s="1"/>
  <c r="S281" i="1"/>
  <c r="U281" i="1" s="1"/>
  <c r="J281" i="1"/>
  <c r="S280" i="4"/>
  <c r="U280" i="4" s="1"/>
  <c r="S279" i="4"/>
  <c r="U279" i="4" s="1"/>
  <c r="S278" i="4"/>
  <c r="U278" i="4" s="1"/>
  <c r="S277" i="4"/>
  <c r="U277" i="4" s="1"/>
  <c r="J277" i="4"/>
  <c r="S276" i="4"/>
  <c r="U276" i="4" s="1"/>
  <c r="S275" i="4"/>
  <c r="U275" i="4" s="1"/>
  <c r="J275" i="4"/>
  <c r="S274" i="4"/>
  <c r="U274" i="4" s="1"/>
  <c r="J274" i="4"/>
  <c r="S273" i="4"/>
  <c r="U273" i="4" s="1"/>
  <c r="J273" i="4"/>
  <c r="S272" i="4"/>
  <c r="U272" i="4" s="1"/>
  <c r="S271" i="4"/>
  <c r="U271" i="4" s="1"/>
  <c r="S270" i="4"/>
  <c r="U270" i="4" s="1"/>
  <c r="J270" i="4"/>
  <c r="S269" i="4"/>
  <c r="U269" i="4" s="1"/>
  <c r="J269" i="4"/>
  <c r="S268" i="4"/>
  <c r="U268" i="4" s="1"/>
  <c r="J268" i="4"/>
  <c r="S267" i="4"/>
  <c r="U267" i="4" s="1"/>
  <c r="J267" i="4"/>
  <c r="S266" i="4"/>
  <c r="U266" i="4" s="1"/>
  <c r="S265" i="4"/>
  <c r="U265" i="4" s="1"/>
  <c r="S264" i="4"/>
  <c r="U264" i="4" s="1"/>
  <c r="S263" i="4"/>
  <c r="U263" i="4" s="1"/>
  <c r="J263" i="4"/>
  <c r="S262" i="4"/>
  <c r="U262" i="4" s="1"/>
  <c r="J262" i="4"/>
  <c r="S261" i="4"/>
  <c r="U261" i="4" s="1"/>
  <c r="S260" i="4"/>
  <c r="U260" i="4" s="1"/>
  <c r="J260" i="4"/>
  <c r="S259" i="4"/>
  <c r="U259" i="4" s="1"/>
  <c r="S258" i="4"/>
  <c r="U258" i="4" s="1"/>
  <c r="S257" i="4"/>
  <c r="U257" i="4" s="1"/>
  <c r="S256" i="4"/>
  <c r="U256" i="4" s="1"/>
  <c r="J256" i="4"/>
  <c r="S255" i="4"/>
  <c r="U255" i="4" s="1"/>
  <c r="S254" i="4"/>
  <c r="U254" i="4" s="1"/>
  <c r="S253" i="4"/>
  <c r="U253" i="4" s="1"/>
  <c r="S252" i="4"/>
  <c r="U252" i="4" s="1"/>
  <c r="S251" i="4"/>
  <c r="U251" i="4" s="1"/>
  <c r="S250" i="4"/>
  <c r="U250" i="4" s="1"/>
  <c r="S249" i="4"/>
  <c r="U249" i="4" s="1"/>
  <c r="S248" i="4"/>
  <c r="U248" i="4" s="1"/>
  <c r="J248" i="4"/>
  <c r="S247" i="4"/>
  <c r="U247" i="4" s="1"/>
  <c r="J247" i="4"/>
  <c r="S246" i="4"/>
  <c r="U246" i="4" s="1"/>
  <c r="J246" i="4"/>
  <c r="S245" i="4"/>
  <c r="U245" i="4" s="1"/>
  <c r="J245" i="4"/>
  <c r="S304" i="3"/>
  <c r="U304" i="3" s="1"/>
  <c r="J304" i="3"/>
  <c r="S303" i="3"/>
  <c r="J303" i="3" s="1"/>
  <c r="S302" i="3"/>
  <c r="U302" i="3" s="1"/>
  <c r="S301" i="3"/>
  <c r="U301" i="3" s="1"/>
  <c r="S300" i="3"/>
  <c r="U300" i="3" s="1"/>
  <c r="J300" i="3"/>
  <c r="S299" i="3"/>
  <c r="U299" i="3" s="1"/>
  <c r="J299" i="3"/>
  <c r="S298" i="3"/>
  <c r="U298" i="3" s="1"/>
  <c r="J298" i="3"/>
  <c r="S297" i="3"/>
  <c r="U297" i="3" s="1"/>
  <c r="J297" i="3"/>
  <c r="S296" i="3"/>
  <c r="U296" i="3" s="1"/>
  <c r="S295" i="3"/>
  <c r="U295" i="3" s="1"/>
  <c r="J295" i="3"/>
  <c r="S294" i="3"/>
  <c r="U294" i="3" s="1"/>
  <c r="J294" i="3"/>
  <c r="S293" i="3"/>
  <c r="U293" i="3" s="1"/>
  <c r="J293" i="3"/>
  <c r="S292" i="3"/>
  <c r="U292" i="3" s="1"/>
  <c r="S291" i="3"/>
  <c r="U291" i="3" s="1"/>
  <c r="J291" i="3"/>
  <c r="S290" i="3"/>
  <c r="U290" i="3" s="1"/>
  <c r="J290" i="3"/>
  <c r="S289" i="3"/>
  <c r="U289" i="3" s="1"/>
  <c r="J289" i="3"/>
  <c r="S288" i="3"/>
  <c r="U288" i="3" s="1"/>
  <c r="S287" i="3"/>
  <c r="U287" i="3" s="1"/>
  <c r="J287" i="3"/>
  <c r="S286" i="3"/>
  <c r="U286" i="3" s="1"/>
  <c r="J286" i="3"/>
  <c r="S285" i="3"/>
  <c r="U285" i="3" s="1"/>
  <c r="S284" i="3"/>
  <c r="U284" i="3" s="1"/>
  <c r="S283" i="3"/>
  <c r="U283" i="3" s="1"/>
  <c r="J283" i="3"/>
  <c r="S282" i="3"/>
  <c r="U282" i="3" s="1"/>
  <c r="J282" i="3"/>
  <c r="S281" i="3"/>
  <c r="U281" i="3" s="1"/>
  <c r="J281" i="3"/>
  <c r="S280" i="3"/>
  <c r="U280" i="3" s="1"/>
  <c r="J280" i="3"/>
  <c r="S279" i="3"/>
  <c r="U279" i="3" s="1"/>
  <c r="J279" i="3"/>
  <c r="S278" i="3"/>
  <c r="U278" i="3" s="1"/>
  <c r="S277" i="3"/>
  <c r="U277" i="3" s="1"/>
  <c r="J277" i="3"/>
  <c r="S276" i="3"/>
  <c r="U276" i="3" s="1"/>
  <c r="J276" i="3"/>
  <c r="S275" i="3"/>
  <c r="U275" i="3" s="1"/>
  <c r="J275" i="3"/>
  <c r="S274" i="3"/>
  <c r="U274" i="3" s="1"/>
  <c r="J274" i="3"/>
  <c r="S273" i="3"/>
  <c r="U273" i="3" s="1"/>
  <c r="J273" i="3"/>
  <c r="S272" i="3"/>
  <c r="U272" i="3" s="1"/>
  <c r="S271" i="3"/>
  <c r="U271" i="3" s="1"/>
  <c r="J271" i="3"/>
  <c r="S270" i="3"/>
  <c r="U270" i="3" s="1"/>
  <c r="J270" i="3"/>
  <c r="S269" i="3"/>
  <c r="U269" i="3" s="1"/>
  <c r="J269" i="3"/>
  <c r="S268" i="3"/>
  <c r="U268" i="3" s="1"/>
  <c r="S267" i="3"/>
  <c r="U267" i="3" s="1"/>
  <c r="S266" i="3"/>
  <c r="U266" i="3" s="1"/>
  <c r="J266" i="3"/>
  <c r="S265" i="3"/>
  <c r="U265" i="3" s="1"/>
  <c r="S264" i="3"/>
  <c r="U264" i="3" s="1"/>
  <c r="S263" i="3"/>
  <c r="U263" i="3" s="1"/>
  <c r="S262" i="3"/>
  <c r="U262" i="3" s="1"/>
  <c r="S261" i="3"/>
  <c r="U261" i="3" s="1"/>
  <c r="J261" i="3"/>
  <c r="S260" i="3"/>
  <c r="U260" i="3" s="1"/>
  <c r="J260" i="3"/>
  <c r="S259" i="3"/>
  <c r="U259" i="3" s="1"/>
  <c r="J259" i="3"/>
  <c r="S258" i="3"/>
  <c r="U258" i="3" s="1"/>
  <c r="S257" i="3"/>
  <c r="U257" i="3" s="1"/>
  <c r="S292" i="2"/>
  <c r="J292" i="2" s="1"/>
  <c r="S291" i="2"/>
  <c r="U291" i="2" s="1"/>
  <c r="S290" i="2"/>
  <c r="U290" i="2" s="1"/>
  <c r="S289" i="2"/>
  <c r="U289" i="2" s="1"/>
  <c r="J289" i="2"/>
  <c r="S288" i="2"/>
  <c r="U288" i="2" s="1"/>
  <c r="J288" i="2"/>
  <c r="S287" i="2"/>
  <c r="U287" i="2" s="1"/>
  <c r="J287" i="2"/>
  <c r="S286" i="2"/>
  <c r="U286" i="2" s="1"/>
  <c r="S285" i="2"/>
  <c r="U285" i="2" s="1"/>
  <c r="J285" i="2"/>
  <c r="S284" i="2"/>
  <c r="U284" i="2" s="1"/>
  <c r="J284" i="2"/>
  <c r="S283" i="2"/>
  <c r="U283" i="2" s="1"/>
  <c r="J283" i="2"/>
  <c r="S282" i="2"/>
  <c r="U282" i="2" s="1"/>
  <c r="S281" i="2"/>
  <c r="U281" i="2" s="1"/>
  <c r="J281" i="2"/>
  <c r="S280" i="2"/>
  <c r="U280" i="2" s="1"/>
  <c r="S279" i="2"/>
  <c r="U279" i="2" s="1"/>
  <c r="J279" i="2"/>
  <c r="S278" i="2"/>
  <c r="U278" i="2" s="1"/>
  <c r="S277" i="2"/>
  <c r="U277" i="2" s="1"/>
  <c r="S276" i="2"/>
  <c r="U276" i="2" s="1"/>
  <c r="J276" i="2"/>
  <c r="S275" i="2"/>
  <c r="U275" i="2" s="1"/>
  <c r="J275" i="2"/>
  <c r="S274" i="2"/>
  <c r="U274" i="2" s="1"/>
  <c r="S273" i="2"/>
  <c r="U273" i="2" s="1"/>
  <c r="J273" i="2"/>
  <c r="S272" i="2"/>
  <c r="U272" i="2" s="1"/>
  <c r="S271" i="2"/>
  <c r="U271" i="2" s="1"/>
  <c r="S270" i="2"/>
  <c r="U270" i="2" s="1"/>
  <c r="J270" i="2"/>
  <c r="S269" i="2"/>
  <c r="U269" i="2" s="1"/>
  <c r="J269" i="2"/>
  <c r="S268" i="2"/>
  <c r="U268" i="2" s="1"/>
  <c r="S267" i="2"/>
  <c r="U267" i="2" s="1"/>
  <c r="J267" i="2"/>
  <c r="S266" i="2"/>
  <c r="U266" i="2" s="1"/>
  <c r="S265" i="2"/>
  <c r="U265" i="2" s="1"/>
  <c r="S264" i="2"/>
  <c r="U264" i="2" s="1"/>
  <c r="J264" i="2"/>
  <c r="S263" i="2"/>
  <c r="U263" i="2" s="1"/>
  <c r="J263" i="2"/>
  <c r="S262" i="2"/>
  <c r="U262" i="2" s="1"/>
  <c r="S261" i="2"/>
  <c r="U261" i="2" s="1"/>
  <c r="J261" i="2"/>
  <c r="S260" i="2"/>
  <c r="U260" i="2" s="1"/>
  <c r="J260" i="2"/>
  <c r="S259" i="2"/>
  <c r="U259" i="2" s="1"/>
  <c r="S258" i="2"/>
  <c r="U258" i="2" s="1"/>
  <c r="J258" i="2"/>
  <c r="S257" i="2"/>
  <c r="U257" i="2" s="1"/>
  <c r="J257" i="2"/>
  <c r="S256" i="2"/>
  <c r="U256" i="2" s="1"/>
  <c r="S255" i="2"/>
  <c r="U255" i="2" s="1"/>
  <c r="J255" i="2"/>
  <c r="S254" i="2"/>
  <c r="U254" i="2" s="1"/>
  <c r="J254" i="2"/>
  <c r="S253" i="2"/>
  <c r="U253" i="2" s="1"/>
  <c r="J253" i="2"/>
  <c r="S252" i="2"/>
  <c r="U252" i="2" s="1"/>
  <c r="J252" i="2"/>
  <c r="S251" i="2"/>
  <c r="U251" i="2" s="1"/>
  <c r="S250" i="2"/>
  <c r="U250" i="2" s="1"/>
  <c r="S249" i="2"/>
  <c r="U249" i="2" s="1"/>
  <c r="J249" i="2"/>
  <c r="S248" i="2"/>
  <c r="U248" i="2" s="1"/>
  <c r="J248" i="2"/>
  <c r="S247" i="2"/>
  <c r="U247" i="2" s="1"/>
  <c r="J247" i="2"/>
  <c r="S246" i="2"/>
  <c r="U246" i="2" s="1"/>
  <c r="J246" i="2"/>
  <c r="S245" i="2"/>
  <c r="U245" i="2" s="1"/>
  <c r="S244" i="2"/>
  <c r="U244" i="2" s="1"/>
  <c r="S243" i="2"/>
  <c r="U243" i="2" s="1"/>
  <c r="J243" i="2"/>
  <c r="S242" i="2"/>
  <c r="U242" i="2" s="1"/>
  <c r="J242" i="2"/>
  <c r="S241" i="2"/>
  <c r="U241" i="2" s="1"/>
  <c r="J241" i="2"/>
  <c r="S240" i="2"/>
  <c r="U240" i="2" s="1"/>
  <c r="J240" i="2"/>
  <c r="S239" i="2"/>
  <c r="U239" i="2" s="1"/>
  <c r="S238" i="2"/>
  <c r="U238" i="2" s="1"/>
  <c r="S237" i="2"/>
  <c r="U237" i="2" s="1"/>
  <c r="J237" i="2"/>
  <c r="S236" i="2"/>
  <c r="U236" i="2" s="1"/>
  <c r="J236" i="2"/>
  <c r="S235" i="2"/>
  <c r="U235" i="2" s="1"/>
  <c r="J235" i="2"/>
  <c r="S234" i="2"/>
  <c r="U234" i="2" s="1"/>
  <c r="J234" i="2"/>
  <c r="S233" i="2"/>
  <c r="U233" i="2" s="1"/>
  <c r="S232" i="2"/>
  <c r="U232" i="2" s="1"/>
  <c r="J232" i="2"/>
  <c r="S231" i="2"/>
  <c r="U231" i="2" s="1"/>
  <c r="J231" i="2"/>
  <c r="S230" i="2"/>
  <c r="U230" i="2" s="1"/>
  <c r="J230" i="2"/>
  <c r="S229" i="2"/>
  <c r="U229" i="2" s="1"/>
  <c r="S228" i="2"/>
  <c r="U228" i="2" s="1"/>
  <c r="S227" i="2"/>
  <c r="U227" i="2" s="1"/>
  <c r="J227" i="2"/>
  <c r="S226" i="2"/>
  <c r="U226" i="2" s="1"/>
  <c r="J226" i="2"/>
  <c r="S225" i="2"/>
  <c r="U225" i="2" s="1"/>
  <c r="J225" i="2"/>
  <c r="S224" i="2"/>
  <c r="U224" i="2" s="1"/>
  <c r="J224" i="2"/>
  <c r="S223" i="2"/>
  <c r="U223" i="2" s="1"/>
  <c r="S222" i="2"/>
  <c r="U222" i="2" s="1"/>
  <c r="J222" i="2"/>
  <c r="S221" i="2"/>
  <c r="U221" i="2" s="1"/>
  <c r="J221" i="2"/>
  <c r="S280" i="1"/>
  <c r="J280" i="1" s="1"/>
  <c r="S279" i="1"/>
  <c r="U279" i="1" s="1"/>
  <c r="J279" i="1"/>
  <c r="S278" i="1"/>
  <c r="U278" i="1" s="1"/>
  <c r="S277" i="1"/>
  <c r="U277" i="1" s="1"/>
  <c r="S276" i="1"/>
  <c r="J276" i="1" s="1"/>
  <c r="S275" i="1"/>
  <c r="U275" i="1" s="1"/>
  <c r="J275" i="1"/>
  <c r="S274" i="1"/>
  <c r="U274" i="1" s="1"/>
  <c r="J274" i="1"/>
  <c r="S273" i="1"/>
  <c r="U273" i="1" s="1"/>
  <c r="S272" i="1"/>
  <c r="J272" i="1" s="1"/>
  <c r="S271" i="1"/>
  <c r="U271" i="1" s="1"/>
  <c r="S270" i="1"/>
  <c r="U270" i="1" s="1"/>
  <c r="S269" i="1"/>
  <c r="U269" i="1" s="1"/>
  <c r="J269" i="1"/>
  <c r="S268" i="1"/>
  <c r="U268" i="1" s="1"/>
  <c r="S267" i="1"/>
  <c r="U267" i="1" s="1"/>
  <c r="S266" i="1"/>
  <c r="U266" i="1" s="1"/>
  <c r="S265" i="1"/>
  <c r="U265" i="1" s="1"/>
  <c r="S264" i="1"/>
  <c r="U264" i="1" s="1"/>
  <c r="S263" i="1"/>
  <c r="U263" i="1" s="1"/>
  <c r="S262" i="1"/>
  <c r="U262" i="1" s="1"/>
  <c r="U261" i="1"/>
  <c r="S261" i="1"/>
  <c r="J261" i="1"/>
  <c r="S260" i="1"/>
  <c r="U260" i="1" s="1"/>
  <c r="J260" i="1"/>
  <c r="S259" i="1"/>
  <c r="U259" i="1" s="1"/>
  <c r="J259" i="1"/>
  <c r="S258" i="1"/>
  <c r="U258" i="1" s="1"/>
  <c r="S257" i="1"/>
  <c r="U257" i="1" s="1"/>
  <c r="U256" i="1"/>
  <c r="S256" i="1"/>
  <c r="J256" i="1"/>
  <c r="S255" i="1"/>
  <c r="U255" i="1" s="1"/>
  <c r="S254" i="1"/>
  <c r="U254" i="1" s="1"/>
  <c r="J254" i="1"/>
  <c r="S253" i="1"/>
  <c r="U253" i="1" s="1"/>
  <c r="J253" i="1"/>
  <c r="S252" i="1"/>
  <c r="U252" i="1" s="1"/>
  <c r="S251" i="1"/>
  <c r="U251" i="1" s="1"/>
  <c r="J251" i="1"/>
  <c r="S250" i="1"/>
  <c r="U250" i="1" s="1"/>
  <c r="S249" i="1"/>
  <c r="U249" i="1" s="1"/>
  <c r="J249" i="1"/>
  <c r="S248" i="1"/>
  <c r="J248" i="1" s="1"/>
  <c r="S247" i="1"/>
  <c r="U247" i="1" s="1"/>
  <c r="J247" i="1"/>
  <c r="S246" i="1"/>
  <c r="U246" i="1" s="1"/>
  <c r="S245" i="1"/>
  <c r="U245" i="1" s="1"/>
  <c r="J245" i="1"/>
  <c r="S244" i="4"/>
  <c r="U244" i="4" s="1"/>
  <c r="S243" i="4"/>
  <c r="U243" i="4" s="1"/>
  <c r="S242" i="4"/>
  <c r="U242" i="4" s="1"/>
  <c r="S241" i="4"/>
  <c r="U241" i="4" s="1"/>
  <c r="S240" i="4"/>
  <c r="U240" i="4" s="1"/>
  <c r="S239" i="4"/>
  <c r="U239" i="4" s="1"/>
  <c r="S238" i="4"/>
  <c r="U238" i="4" s="1"/>
  <c r="S237" i="4"/>
  <c r="U237" i="4" s="1"/>
  <c r="J237" i="4"/>
  <c r="S236" i="4"/>
  <c r="U236" i="4" s="1"/>
  <c r="J236" i="4"/>
  <c r="S235" i="4"/>
  <c r="U235" i="4" s="1"/>
  <c r="J235" i="4"/>
  <c r="S234" i="4"/>
  <c r="U234" i="4" s="1"/>
  <c r="J234" i="4"/>
  <c r="S233" i="4"/>
  <c r="U233" i="4" s="1"/>
  <c r="J233" i="4"/>
  <c r="S256" i="3"/>
  <c r="U256" i="3" s="1"/>
  <c r="S255" i="3"/>
  <c r="U255" i="3" s="1"/>
  <c r="S254" i="3"/>
  <c r="U254" i="3" s="1"/>
  <c r="J254" i="3"/>
  <c r="S253" i="3"/>
  <c r="U253" i="3" s="1"/>
  <c r="J253" i="3"/>
  <c r="S252" i="3"/>
  <c r="U252" i="3" s="1"/>
  <c r="J252" i="3"/>
  <c r="S251" i="3"/>
  <c r="U251" i="3" s="1"/>
  <c r="J251" i="3"/>
  <c r="S250" i="3"/>
  <c r="U250" i="3" s="1"/>
  <c r="S249" i="3"/>
  <c r="U249" i="3" s="1"/>
  <c r="S248" i="3"/>
  <c r="U248" i="3" s="1"/>
  <c r="J248" i="3"/>
  <c r="S247" i="3"/>
  <c r="U247" i="3" s="1"/>
  <c r="J247" i="3"/>
  <c r="S246" i="3"/>
  <c r="U246" i="3" s="1"/>
  <c r="J246" i="3"/>
  <c r="S245" i="3"/>
  <c r="U245" i="3" s="1"/>
  <c r="S244" i="3"/>
  <c r="U244" i="3" s="1"/>
  <c r="S243" i="3"/>
  <c r="U243" i="3" s="1"/>
  <c r="S242" i="3"/>
  <c r="U242" i="3" s="1"/>
  <c r="S241" i="3"/>
  <c r="U241" i="3" s="1"/>
  <c r="S240" i="3"/>
  <c r="U240" i="3" s="1"/>
  <c r="J240" i="3"/>
  <c r="S239" i="3"/>
  <c r="U239" i="3" s="1"/>
  <c r="J239" i="3"/>
  <c r="S238" i="3"/>
  <c r="U238" i="3" s="1"/>
  <c r="J238" i="3"/>
  <c r="S237" i="3"/>
  <c r="U237" i="3" s="1"/>
  <c r="J237" i="3"/>
  <c r="U236" i="3"/>
  <c r="S236" i="3"/>
  <c r="J236" i="3" s="1"/>
  <c r="S235" i="3"/>
  <c r="U235" i="3" s="1"/>
  <c r="S234" i="3"/>
  <c r="U234" i="3" s="1"/>
  <c r="J234" i="3"/>
  <c r="S233" i="3"/>
  <c r="U233" i="3" s="1"/>
  <c r="J233" i="3"/>
  <c r="S232" i="3"/>
  <c r="U232" i="3" s="1"/>
  <c r="J232" i="3"/>
  <c r="S231" i="3"/>
  <c r="U231" i="3" s="1"/>
  <c r="J231" i="3"/>
  <c r="S230" i="3"/>
  <c r="U230" i="3" s="1"/>
  <c r="S229" i="3"/>
  <c r="U229" i="3" s="1"/>
  <c r="S228" i="3"/>
  <c r="U228" i="3" s="1"/>
  <c r="S227" i="3"/>
  <c r="U227" i="3" s="1"/>
  <c r="S226" i="3"/>
  <c r="U226" i="3" s="1"/>
  <c r="J226" i="3"/>
  <c r="S225" i="3"/>
  <c r="U225" i="3" s="1"/>
  <c r="S224" i="3"/>
  <c r="U224" i="3" s="1"/>
  <c r="J224" i="3"/>
  <c r="S223" i="3"/>
  <c r="U223" i="3" s="1"/>
  <c r="J223" i="3"/>
  <c r="S222" i="3"/>
  <c r="U222" i="3" s="1"/>
  <c r="S221" i="3"/>
  <c r="U221" i="3" s="1"/>
  <c r="S244" i="1"/>
  <c r="U244" i="1" s="1"/>
  <c r="S243" i="1"/>
  <c r="U243" i="1" s="1"/>
  <c r="S242" i="1"/>
  <c r="U242" i="1" s="1"/>
  <c r="S241" i="1"/>
  <c r="J241" i="1" s="1"/>
  <c r="S240" i="1"/>
  <c r="U240" i="1" s="1"/>
  <c r="S239" i="1"/>
  <c r="U239" i="1" s="1"/>
  <c r="J239" i="1"/>
  <c r="S238" i="1"/>
  <c r="U238" i="1" s="1"/>
  <c r="J238" i="1"/>
  <c r="S237" i="1"/>
  <c r="J237" i="1" s="1"/>
  <c r="S236" i="1"/>
  <c r="U236" i="1" s="1"/>
  <c r="S235" i="1"/>
  <c r="U235" i="1" s="1"/>
  <c r="S234" i="1"/>
  <c r="U234" i="1" s="1"/>
  <c r="S233" i="1"/>
  <c r="J233" i="1" s="1"/>
  <c r="S232" i="1"/>
  <c r="U232" i="1" s="1"/>
  <c r="S231" i="1"/>
  <c r="U231" i="1" s="1"/>
  <c r="J231" i="1"/>
  <c r="S230" i="1"/>
  <c r="U230" i="1" s="1"/>
  <c r="J230" i="1"/>
  <c r="S229" i="1"/>
  <c r="U229" i="1" s="1"/>
  <c r="S228" i="1"/>
  <c r="J228" i="1" s="1"/>
  <c r="S227" i="1"/>
  <c r="U227" i="1" s="1"/>
  <c r="S226" i="1"/>
  <c r="U226" i="1" s="1"/>
  <c r="S225" i="1"/>
  <c r="U225" i="1" s="1"/>
  <c r="S224" i="1"/>
  <c r="J224" i="1" s="1"/>
  <c r="S223" i="1"/>
  <c r="J223" i="1" s="1"/>
  <c r="S222" i="1"/>
  <c r="U222" i="1" s="1"/>
  <c r="S221" i="1"/>
  <c r="J221" i="1" s="1"/>
  <c r="S232" i="4"/>
  <c r="U232" i="4" s="1"/>
  <c r="J232" i="4"/>
  <c r="S231" i="4"/>
  <c r="U231" i="4" s="1"/>
  <c r="S230" i="4"/>
  <c r="U230" i="4" s="1"/>
  <c r="S229" i="4"/>
  <c r="U229" i="4" s="1"/>
  <c r="S228" i="4"/>
  <c r="U228" i="4" s="1"/>
  <c r="S227" i="4"/>
  <c r="U227" i="4" s="1"/>
  <c r="S226" i="4"/>
  <c r="U226" i="4" s="1"/>
  <c r="J226" i="4"/>
  <c r="S225" i="4"/>
  <c r="U225" i="4" s="1"/>
  <c r="J225" i="4"/>
  <c r="S224" i="4"/>
  <c r="U224" i="4" s="1"/>
  <c r="S223" i="4"/>
  <c r="U223" i="4" s="1"/>
  <c r="S222" i="4"/>
  <c r="U222" i="4" s="1"/>
  <c r="J222" i="4"/>
  <c r="S221" i="4"/>
  <c r="U221" i="4" s="1"/>
  <c r="S220" i="4"/>
  <c r="U220" i="4" s="1"/>
  <c r="S219" i="4"/>
  <c r="J219" i="4" s="1"/>
  <c r="S218" i="4"/>
  <c r="U218" i="4" s="1"/>
  <c r="J218" i="4"/>
  <c r="S217" i="4"/>
  <c r="U217" i="4" s="1"/>
  <c r="S216" i="4"/>
  <c r="U216" i="4" s="1"/>
  <c r="S215" i="4"/>
  <c r="U215" i="4" s="1"/>
  <c r="S214" i="4"/>
  <c r="U214" i="4" s="1"/>
  <c r="S213" i="4"/>
  <c r="U213" i="4" s="1"/>
  <c r="J213" i="4"/>
  <c r="S212" i="4"/>
  <c r="U212" i="4" s="1"/>
  <c r="S211" i="4"/>
  <c r="U211" i="4" s="1"/>
  <c r="J211" i="4"/>
  <c r="S210" i="4"/>
  <c r="U210" i="4" s="1"/>
  <c r="S209" i="4"/>
  <c r="U209" i="4" s="1"/>
  <c r="J479" i="2" l="1"/>
  <c r="J481" i="1"/>
  <c r="J493" i="1"/>
  <c r="U485" i="1"/>
  <c r="J486" i="1"/>
  <c r="J490" i="1"/>
  <c r="J494" i="1"/>
  <c r="J495" i="1"/>
  <c r="J488" i="1"/>
  <c r="J492" i="1"/>
  <c r="J496" i="1"/>
  <c r="J384" i="2"/>
  <c r="J358" i="2"/>
  <c r="J366" i="2"/>
  <c r="J372" i="2"/>
  <c r="J379" i="2"/>
  <c r="J386" i="2"/>
  <c r="J367" i="2"/>
  <c r="J373" i="2"/>
  <c r="J380" i="2"/>
  <c r="J387" i="2"/>
  <c r="J294" i="4"/>
  <c r="J300" i="4"/>
  <c r="J308" i="4"/>
  <c r="J321" i="4"/>
  <c r="J327" i="4"/>
  <c r="J330" i="4"/>
  <c r="J336" i="4"/>
  <c r="J342" i="4"/>
  <c r="J349" i="4"/>
  <c r="J370" i="4"/>
  <c r="J376" i="4"/>
  <c r="J382" i="4"/>
  <c r="J388" i="4"/>
  <c r="J296" i="4"/>
  <c r="J302" i="4"/>
  <c r="J310" i="4"/>
  <c r="J317" i="4"/>
  <c r="J323" i="4"/>
  <c r="J332" i="4"/>
  <c r="J338" i="4"/>
  <c r="J366" i="4"/>
  <c r="J372" i="4"/>
  <c r="J378" i="4"/>
  <c r="J384" i="4"/>
  <c r="J298" i="4"/>
  <c r="J304" i="4"/>
  <c r="J319" i="4"/>
  <c r="J325" i="4"/>
  <c r="J334" i="4"/>
  <c r="J340" i="4"/>
  <c r="J306" i="4"/>
  <c r="J313" i="4"/>
  <c r="J354" i="4"/>
  <c r="J360" i="4"/>
  <c r="J355" i="3"/>
  <c r="J356" i="3"/>
  <c r="J363" i="3"/>
  <c r="J358" i="3"/>
  <c r="J364" i="3"/>
  <c r="J369" i="3"/>
  <c r="U461" i="2"/>
  <c r="U461" i="1"/>
  <c r="J459" i="3"/>
  <c r="J455" i="2"/>
  <c r="J450" i="2"/>
  <c r="J458" i="1"/>
  <c r="U482" i="3"/>
  <c r="J464" i="3"/>
  <c r="J468" i="3"/>
  <c r="J472" i="3"/>
  <c r="U469" i="2"/>
  <c r="J465" i="2"/>
  <c r="J469" i="1"/>
  <c r="J471" i="1"/>
  <c r="J472" i="1"/>
  <c r="J424" i="1"/>
  <c r="J423" i="1"/>
  <c r="J415" i="1"/>
  <c r="U368" i="1"/>
  <c r="J387" i="1"/>
  <c r="J453" i="4"/>
  <c r="U437" i="4"/>
  <c r="J441" i="4"/>
  <c r="J445" i="4"/>
  <c r="J437" i="3"/>
  <c r="J441" i="3"/>
  <c r="J445" i="3"/>
  <c r="J440" i="3"/>
  <c r="J444" i="3"/>
  <c r="J448" i="3"/>
  <c r="U425" i="3"/>
  <c r="J429" i="3"/>
  <c r="J433" i="3"/>
  <c r="J438" i="2"/>
  <c r="J442" i="2"/>
  <c r="J446" i="2"/>
  <c r="J426" i="2"/>
  <c r="J430" i="2"/>
  <c r="J434" i="2"/>
  <c r="J427" i="2"/>
  <c r="J431" i="2"/>
  <c r="J435" i="2"/>
  <c r="U437" i="1"/>
  <c r="U445" i="1"/>
  <c r="J441" i="1"/>
  <c r="U428" i="1"/>
  <c r="U432" i="1"/>
  <c r="J425" i="1"/>
  <c r="J429" i="1"/>
  <c r="J433" i="1"/>
  <c r="J426" i="1"/>
  <c r="J430" i="1"/>
  <c r="J434" i="1"/>
  <c r="J427" i="1"/>
  <c r="J431" i="1"/>
  <c r="J435" i="1"/>
  <c r="J436" i="1"/>
  <c r="J415" i="3"/>
  <c r="J419" i="3"/>
  <c r="J423" i="3"/>
  <c r="J424" i="3"/>
  <c r="J401" i="2"/>
  <c r="J409" i="1"/>
  <c r="J407" i="1"/>
  <c r="J308" i="3"/>
  <c r="J334" i="3"/>
  <c r="J345" i="3"/>
  <c r="J352" i="3"/>
  <c r="U303" i="3"/>
  <c r="U320" i="3"/>
  <c r="J296" i="3"/>
  <c r="J309" i="3"/>
  <c r="J346" i="3"/>
  <c r="J401" i="3"/>
  <c r="J405" i="3"/>
  <c r="J409" i="3"/>
  <c r="J399" i="2"/>
  <c r="J397" i="2"/>
  <c r="J390" i="2"/>
  <c r="J306" i="2"/>
  <c r="J312" i="2"/>
  <c r="J320" i="2"/>
  <c r="J326" i="2"/>
  <c r="J341" i="2"/>
  <c r="J347" i="2"/>
  <c r="J294" i="2"/>
  <c r="J301" i="2"/>
  <c r="J307" i="2"/>
  <c r="J313" i="2"/>
  <c r="J329" i="2"/>
  <c r="J335" i="2"/>
  <c r="J404" i="2"/>
  <c r="J408" i="2"/>
  <c r="J412" i="2"/>
  <c r="J399" i="1"/>
  <c r="J396" i="1"/>
  <c r="J392" i="1"/>
  <c r="U331" i="1"/>
  <c r="U308" i="1"/>
  <c r="U312" i="1"/>
  <c r="J294" i="1"/>
  <c r="J301" i="1"/>
  <c r="J316" i="1"/>
  <c r="J323" i="1"/>
  <c r="J333" i="1"/>
  <c r="J361" i="1"/>
  <c r="J401" i="1"/>
  <c r="U411" i="1"/>
  <c r="J404" i="1"/>
  <c r="J408" i="1"/>
  <c r="J412" i="1"/>
  <c r="J378" i="3"/>
  <c r="J385" i="1"/>
  <c r="J374" i="3"/>
  <c r="J373" i="3"/>
  <c r="J357" i="3"/>
  <c r="J370" i="3"/>
  <c r="J367" i="3"/>
  <c r="J354" i="3"/>
  <c r="J353" i="3"/>
  <c r="J392" i="3"/>
  <c r="J396" i="3"/>
  <c r="J400" i="3"/>
  <c r="J380" i="3"/>
  <c r="J384" i="3"/>
  <c r="J388" i="3"/>
  <c r="J377" i="2"/>
  <c r="J381" i="2"/>
  <c r="J385" i="2"/>
  <c r="U374" i="2"/>
  <c r="J378" i="1"/>
  <c r="J382" i="1"/>
  <c r="J386" i="1"/>
  <c r="J374" i="1"/>
  <c r="J375" i="1"/>
  <c r="J376" i="1"/>
  <c r="J348" i="3"/>
  <c r="J350" i="2"/>
  <c r="J348" i="2"/>
  <c r="J345" i="2"/>
  <c r="J348" i="1"/>
  <c r="J341" i="1"/>
  <c r="J225" i="1"/>
  <c r="J243" i="1"/>
  <c r="J363" i="1"/>
  <c r="J250" i="1"/>
  <c r="J236" i="1"/>
  <c r="J244" i="1"/>
  <c r="J264" i="1"/>
  <c r="J273" i="1"/>
  <c r="J347" i="1"/>
  <c r="U283" i="1"/>
  <c r="J270" i="1"/>
  <c r="J278" i="1"/>
  <c r="J285" i="1"/>
  <c r="J299" i="1"/>
  <c r="J338" i="1"/>
  <c r="J344" i="1"/>
  <c r="J350" i="1"/>
  <c r="J356" i="1"/>
  <c r="J362" i="1"/>
  <c r="J339" i="2"/>
  <c r="U336" i="1"/>
  <c r="U335" i="1"/>
  <c r="U332" i="1"/>
  <c r="J318" i="2"/>
  <c r="J327" i="2"/>
  <c r="J324" i="1"/>
  <c r="J240" i="1"/>
  <c r="U272" i="1"/>
  <c r="J234" i="1"/>
  <c r="J287" i="1"/>
  <c r="J252" i="1"/>
  <c r="J257" i="1"/>
  <c r="J262" i="1"/>
  <c r="U276" i="1"/>
  <c r="J235" i="1"/>
  <c r="J242" i="1"/>
  <c r="J271" i="1"/>
  <c r="J277" i="1"/>
  <c r="U280" i="1"/>
  <c r="J258" i="1"/>
  <c r="J289" i="1"/>
  <c r="J262" i="2"/>
  <c r="J268" i="2"/>
  <c r="J274" i="2"/>
  <c r="J280" i="2"/>
  <c r="J286" i="2"/>
  <c r="J259" i="2"/>
  <c r="J265" i="2"/>
  <c r="J271" i="2"/>
  <c r="J277" i="2"/>
  <c r="J266" i="2"/>
  <c r="J272" i="2"/>
  <c r="J278" i="2"/>
  <c r="J290" i="2"/>
  <c r="U292" i="2"/>
  <c r="J291" i="2"/>
  <c r="J263" i="3"/>
  <c r="J228" i="3"/>
  <c r="J235" i="3"/>
  <c r="J249" i="3"/>
  <c r="J264" i="3"/>
  <c r="J222" i="3"/>
  <c r="J256" i="3"/>
  <c r="J258" i="3"/>
  <c r="J272" i="3"/>
  <c r="J278" i="3"/>
  <c r="J250" i="3"/>
  <c r="J285" i="3"/>
  <c r="J238" i="4"/>
  <c r="J264" i="4"/>
  <c r="J249" i="4"/>
  <c r="J258" i="4"/>
  <c r="J271" i="4"/>
  <c r="J278" i="4"/>
  <c r="J281" i="4"/>
  <c r="J250" i="4"/>
  <c r="J259" i="4"/>
  <c r="J266" i="4"/>
  <c r="J279" i="4"/>
  <c r="J282" i="4"/>
  <c r="J289" i="4"/>
  <c r="J343" i="4"/>
  <c r="J347" i="4"/>
  <c r="J351" i="4"/>
  <c r="J347" i="3"/>
  <c r="U362" i="2"/>
  <c r="J355" i="2"/>
  <c r="J359" i="2"/>
  <c r="J363" i="2"/>
  <c r="J364" i="2"/>
  <c r="J339" i="1"/>
  <c r="J314" i="3"/>
  <c r="J316" i="2"/>
  <c r="J314" i="1"/>
  <c r="J306" i="1"/>
  <c r="J302" i="3"/>
  <c r="J301" i="3"/>
  <c r="J300" i="2"/>
  <c r="J299" i="2"/>
  <c r="J293" i="2"/>
  <c r="J302" i="1"/>
  <c r="U300" i="1"/>
  <c r="J328" i="4"/>
  <c r="J307" i="4"/>
  <c r="J311" i="4"/>
  <c r="J315" i="4"/>
  <c r="J317" i="3"/>
  <c r="J321" i="3"/>
  <c r="J325" i="3"/>
  <c r="J319" i="3"/>
  <c r="J323" i="3"/>
  <c r="J327" i="3"/>
  <c r="J324" i="3"/>
  <c r="J328" i="3"/>
  <c r="J238" i="2"/>
  <c r="J244" i="2"/>
  <c r="J250" i="2"/>
  <c r="J256" i="2"/>
  <c r="J233" i="2"/>
  <c r="J239" i="2"/>
  <c r="J245" i="2"/>
  <c r="J251" i="2"/>
  <c r="J317" i="2"/>
  <c r="J317" i="1"/>
  <c r="J321" i="1"/>
  <c r="J325" i="1"/>
  <c r="J328" i="1"/>
  <c r="U305" i="1"/>
  <c r="U309" i="1"/>
  <c r="U313" i="1"/>
  <c r="U307" i="1"/>
  <c r="U311" i="1"/>
  <c r="J315" i="1"/>
  <c r="J229" i="4"/>
  <c r="J214" i="4"/>
  <c r="J223" i="4"/>
  <c r="J231" i="4"/>
  <c r="J224" i="4"/>
  <c r="J288" i="4"/>
  <c r="J283" i="4"/>
  <c r="J287" i="4"/>
  <c r="J291" i="4"/>
  <c r="J228" i="2"/>
  <c r="J223" i="2"/>
  <c r="J229" i="2"/>
  <c r="J282" i="2"/>
  <c r="J295" i="2"/>
  <c r="U291" i="1"/>
  <c r="J290" i="1"/>
  <c r="J288" i="1"/>
  <c r="U282" i="1"/>
  <c r="J226" i="1"/>
  <c r="J232" i="1"/>
  <c r="J222" i="1"/>
  <c r="J227" i="1"/>
  <c r="U223" i="1"/>
  <c r="U292" i="1"/>
  <c r="J254" i="4"/>
  <c r="J253" i="4"/>
  <c r="J252" i="4"/>
  <c r="J251" i="4"/>
  <c r="J268" i="3"/>
  <c r="J267" i="3"/>
  <c r="J265" i="3"/>
  <c r="J262" i="3"/>
  <c r="J257" i="3"/>
  <c r="J268" i="1"/>
  <c r="J267" i="1"/>
  <c r="J266" i="1"/>
  <c r="J265" i="1"/>
  <c r="J263" i="1"/>
  <c r="J255" i="3"/>
  <c r="J245" i="3"/>
  <c r="J255" i="1"/>
  <c r="U248" i="1"/>
  <c r="J246" i="1"/>
  <c r="J244" i="4"/>
  <c r="J243" i="4"/>
  <c r="J242" i="4"/>
  <c r="J241" i="4"/>
  <c r="J240" i="4"/>
  <c r="J239" i="4"/>
  <c r="J244" i="3"/>
  <c r="J243" i="3"/>
  <c r="J242" i="3"/>
  <c r="J241" i="3"/>
  <c r="J272" i="4"/>
  <c r="J276" i="4"/>
  <c r="J280" i="4"/>
  <c r="J257" i="4"/>
  <c r="J261" i="4"/>
  <c r="J265" i="4"/>
  <c r="J255" i="4"/>
  <c r="J284" i="3"/>
  <c r="J288" i="3"/>
  <c r="J292" i="3"/>
  <c r="J230" i="4"/>
  <c r="J228" i="4"/>
  <c r="J227" i="4"/>
  <c r="J221" i="4"/>
  <c r="J230" i="3"/>
  <c r="J229" i="3"/>
  <c r="J227" i="3"/>
  <c r="J225" i="3"/>
  <c r="J221" i="3"/>
  <c r="J229" i="1"/>
  <c r="U228" i="1"/>
  <c r="U224" i="1"/>
  <c r="U221" i="1"/>
  <c r="J217" i="4"/>
  <c r="J215" i="4"/>
  <c r="J210" i="4"/>
  <c r="J209" i="4"/>
  <c r="U233" i="1"/>
  <c r="U237" i="1"/>
  <c r="U241" i="1"/>
  <c r="U219" i="4"/>
  <c r="J212" i="4"/>
  <c r="J216" i="4"/>
  <c r="J220" i="4"/>
  <c r="S208" i="4"/>
  <c r="U208" i="4" s="1"/>
  <c r="J208" i="4"/>
  <c r="S207" i="4"/>
  <c r="U207" i="4" s="1"/>
  <c r="J207" i="4"/>
  <c r="S206" i="4"/>
  <c r="U206" i="4" s="1"/>
  <c r="J206" i="4"/>
  <c r="S205" i="4"/>
  <c r="U205" i="4" s="1"/>
  <c r="J205" i="4"/>
  <c r="S204" i="4"/>
  <c r="U204" i="4" s="1"/>
  <c r="S203" i="4"/>
  <c r="U203" i="4" s="1"/>
  <c r="J203" i="4"/>
  <c r="S202" i="4"/>
  <c r="U202" i="4" s="1"/>
  <c r="J202" i="4"/>
  <c r="S201" i="4"/>
  <c r="U201" i="4" s="1"/>
  <c r="J201" i="4"/>
  <c r="S200" i="4"/>
  <c r="U200" i="4" s="1"/>
  <c r="J200" i="4"/>
  <c r="S199" i="4"/>
  <c r="U199" i="4" s="1"/>
  <c r="J199" i="4"/>
  <c r="S198" i="4"/>
  <c r="U198" i="4" s="1"/>
  <c r="S197" i="4"/>
  <c r="U197" i="4" s="1"/>
  <c r="S196" i="4"/>
  <c r="U196" i="4" s="1"/>
  <c r="J196" i="4"/>
  <c r="S195" i="4"/>
  <c r="U195" i="4" s="1"/>
  <c r="S194" i="4"/>
  <c r="U194" i="4" s="1"/>
  <c r="S193" i="4"/>
  <c r="U193" i="4" s="1"/>
  <c r="J193" i="4"/>
  <c r="S192" i="4"/>
  <c r="U192" i="4" s="1"/>
  <c r="J192" i="4"/>
  <c r="S191" i="4"/>
  <c r="U191" i="4" s="1"/>
  <c r="J191" i="4"/>
  <c r="S190" i="4"/>
  <c r="U190" i="4" s="1"/>
  <c r="J190" i="4"/>
  <c r="S189" i="4"/>
  <c r="U189" i="4" s="1"/>
  <c r="S188" i="4"/>
  <c r="U188" i="4" s="1"/>
  <c r="S187" i="4"/>
  <c r="U187" i="4" s="1"/>
  <c r="J187" i="4"/>
  <c r="S186" i="4"/>
  <c r="U186" i="4" s="1"/>
  <c r="J186" i="4"/>
  <c r="S185" i="4"/>
  <c r="U185" i="4" s="1"/>
  <c r="J185" i="4"/>
  <c r="S184" i="4"/>
  <c r="U184" i="4" s="1"/>
  <c r="J184" i="4"/>
  <c r="S183" i="4"/>
  <c r="U183" i="4" s="1"/>
  <c r="S182" i="4"/>
  <c r="U182" i="4" s="1"/>
  <c r="S181" i="4"/>
  <c r="U181" i="4" s="1"/>
  <c r="J181" i="4"/>
  <c r="S180" i="4"/>
  <c r="U180" i="4" s="1"/>
  <c r="J180" i="4"/>
  <c r="S179" i="4"/>
  <c r="U179" i="4" s="1"/>
  <c r="S178" i="4"/>
  <c r="U178" i="4" s="1"/>
  <c r="S177" i="4"/>
  <c r="U177" i="4" s="1"/>
  <c r="S176" i="4"/>
  <c r="U176" i="4" s="1"/>
  <c r="J176" i="4"/>
  <c r="S175" i="4"/>
  <c r="U175" i="4" s="1"/>
  <c r="J175" i="4"/>
  <c r="S174" i="4"/>
  <c r="U174" i="4" s="1"/>
  <c r="J174" i="4"/>
  <c r="S173" i="4"/>
  <c r="U173" i="4" s="1"/>
  <c r="S172" i="4"/>
  <c r="U172" i="4" s="1"/>
  <c r="S171" i="4"/>
  <c r="U171" i="4" s="1"/>
  <c r="S170" i="4"/>
  <c r="U170" i="4" s="1"/>
  <c r="J170" i="4"/>
  <c r="S169" i="4"/>
  <c r="U169" i="4" s="1"/>
  <c r="J169" i="4"/>
  <c r="S168" i="4"/>
  <c r="U168" i="4" s="1"/>
  <c r="S167" i="4"/>
  <c r="U167" i="4" s="1"/>
  <c r="S166" i="4"/>
  <c r="U166" i="4" s="1"/>
  <c r="J166" i="4"/>
  <c r="S165" i="4"/>
  <c r="U165" i="4" s="1"/>
  <c r="J165" i="4"/>
  <c r="S164" i="4"/>
  <c r="U164" i="4" s="1"/>
  <c r="S163" i="4"/>
  <c r="U163" i="4" s="1"/>
  <c r="J163" i="4"/>
  <c r="S162" i="4"/>
  <c r="U162" i="4" s="1"/>
  <c r="S161" i="4"/>
  <c r="U161" i="4" s="1"/>
  <c r="S220" i="3"/>
  <c r="U220" i="3" s="1"/>
  <c r="S219" i="3"/>
  <c r="U219" i="3" s="1"/>
  <c r="S218" i="3"/>
  <c r="U218" i="3" s="1"/>
  <c r="S217" i="3"/>
  <c r="J217" i="3" s="1"/>
  <c r="S216" i="3"/>
  <c r="U216" i="3" s="1"/>
  <c r="J216" i="3"/>
  <c r="S215" i="3"/>
  <c r="U215" i="3" s="1"/>
  <c r="S214" i="3"/>
  <c r="U214" i="3" s="1"/>
  <c r="S213" i="3"/>
  <c r="J213" i="3" s="1"/>
  <c r="U212" i="3"/>
  <c r="S212" i="3"/>
  <c r="J212" i="3" s="1"/>
  <c r="S211" i="3"/>
  <c r="U211" i="3" s="1"/>
  <c r="S210" i="3"/>
  <c r="U210" i="3" s="1"/>
  <c r="S209" i="3"/>
  <c r="J209" i="3" s="1"/>
  <c r="S208" i="3"/>
  <c r="U208" i="3" s="1"/>
  <c r="J208" i="3"/>
  <c r="S207" i="3"/>
  <c r="U207" i="3" s="1"/>
  <c r="J207" i="3"/>
  <c r="S206" i="3"/>
  <c r="U206" i="3" s="1"/>
  <c r="J206" i="3"/>
  <c r="S205" i="3"/>
  <c r="U205" i="3" s="1"/>
  <c r="S204" i="3"/>
  <c r="U204" i="3" s="1"/>
  <c r="S203" i="3"/>
  <c r="U203" i="3" s="1"/>
  <c r="J203" i="3"/>
  <c r="S202" i="3"/>
  <c r="U202" i="3" s="1"/>
  <c r="S201" i="3"/>
  <c r="U201" i="3" s="1"/>
  <c r="J201" i="3"/>
  <c r="S200" i="3"/>
  <c r="U200" i="3" s="1"/>
  <c r="J200" i="3"/>
  <c r="S199" i="3"/>
  <c r="U199" i="3" s="1"/>
  <c r="S198" i="3"/>
  <c r="U198" i="3" s="1"/>
  <c r="S197" i="3"/>
  <c r="U197" i="3" s="1"/>
  <c r="S196" i="3"/>
  <c r="U196" i="3" s="1"/>
  <c r="J196" i="3"/>
  <c r="S195" i="3"/>
  <c r="U195" i="3" s="1"/>
  <c r="J195" i="3"/>
  <c r="S194" i="3"/>
  <c r="U194" i="3" s="1"/>
  <c r="J194" i="3"/>
  <c r="S193" i="3"/>
  <c r="U193" i="3" s="1"/>
  <c r="S192" i="3"/>
  <c r="U192" i="3" s="1"/>
  <c r="J192" i="3"/>
  <c r="S191" i="3"/>
  <c r="U191" i="3" s="1"/>
  <c r="J191" i="3"/>
  <c r="S190" i="3"/>
  <c r="U190" i="3" s="1"/>
  <c r="S189" i="3"/>
  <c r="U189" i="3" s="1"/>
  <c r="S188" i="3"/>
  <c r="U188" i="3" s="1"/>
  <c r="S187" i="3"/>
  <c r="U187" i="3" s="1"/>
  <c r="J187" i="3"/>
  <c r="S186" i="3"/>
  <c r="U186" i="3" s="1"/>
  <c r="S185" i="3"/>
  <c r="U185" i="3" s="1"/>
  <c r="S220" i="2"/>
  <c r="U220" i="2" s="1"/>
  <c r="S219" i="2"/>
  <c r="U219" i="2" s="1"/>
  <c r="S218" i="2"/>
  <c r="J218" i="2" s="1"/>
  <c r="S217" i="2"/>
  <c r="U217" i="2" s="1"/>
  <c r="S216" i="2"/>
  <c r="U216" i="2" s="1"/>
  <c r="S215" i="2"/>
  <c r="U215" i="2" s="1"/>
  <c r="J215" i="2"/>
  <c r="S214" i="2"/>
  <c r="U214" i="2" s="1"/>
  <c r="J214" i="2"/>
  <c r="S213" i="2"/>
  <c r="U213" i="2" s="1"/>
  <c r="J213" i="2"/>
  <c r="S212" i="2"/>
  <c r="U212" i="2" s="1"/>
  <c r="J212" i="2"/>
  <c r="S211" i="2"/>
  <c r="U211" i="2" s="1"/>
  <c r="S210" i="2"/>
  <c r="U210" i="2" s="1"/>
  <c r="S209" i="2"/>
  <c r="U209" i="2" s="1"/>
  <c r="J209" i="2"/>
  <c r="S208" i="2"/>
  <c r="U208" i="2" s="1"/>
  <c r="J208" i="2"/>
  <c r="S207" i="2"/>
  <c r="U207" i="2" s="1"/>
  <c r="J207" i="2"/>
  <c r="S206" i="2"/>
  <c r="U206" i="2" s="1"/>
  <c r="J206" i="2"/>
  <c r="S205" i="2"/>
  <c r="U205" i="2" s="1"/>
  <c r="S204" i="2"/>
  <c r="U204" i="2" s="1"/>
  <c r="S203" i="2"/>
  <c r="U203" i="2" s="1"/>
  <c r="J203" i="2"/>
  <c r="S202" i="2"/>
  <c r="U202" i="2" s="1"/>
  <c r="J202" i="2"/>
  <c r="S201" i="2"/>
  <c r="U201" i="2" s="1"/>
  <c r="J201" i="2"/>
  <c r="S200" i="2"/>
  <c r="U200" i="2" s="1"/>
  <c r="J200" i="2"/>
  <c r="S199" i="2"/>
  <c r="U199" i="2" s="1"/>
  <c r="S198" i="2"/>
  <c r="U198" i="2" s="1"/>
  <c r="S197" i="2"/>
  <c r="U197" i="2" s="1"/>
  <c r="J197" i="2"/>
  <c r="S196" i="2"/>
  <c r="U196" i="2" s="1"/>
  <c r="S195" i="2"/>
  <c r="U195" i="2" s="1"/>
  <c r="S194" i="2"/>
  <c r="U194" i="2" s="1"/>
  <c r="S193" i="2"/>
  <c r="U193" i="2" s="1"/>
  <c r="S192" i="2"/>
  <c r="U192" i="2" s="1"/>
  <c r="J192" i="2"/>
  <c r="S191" i="2"/>
  <c r="U191" i="2" s="1"/>
  <c r="S190" i="2"/>
  <c r="U190" i="2" s="1"/>
  <c r="J190" i="2"/>
  <c r="S189" i="2"/>
  <c r="J189" i="2" s="1"/>
  <c r="S188" i="2"/>
  <c r="U188" i="2" s="1"/>
  <c r="J188" i="2"/>
  <c r="S187" i="2"/>
  <c r="U187" i="2" s="1"/>
  <c r="S186" i="2"/>
  <c r="U186" i="2" s="1"/>
  <c r="S185" i="2"/>
  <c r="U185" i="2" s="1"/>
  <c r="S220" i="1"/>
  <c r="U220" i="1" s="1"/>
  <c r="S219" i="1"/>
  <c r="U219" i="1" s="1"/>
  <c r="J219" i="1"/>
  <c r="S218" i="1"/>
  <c r="U218" i="1" s="1"/>
  <c r="J218" i="1"/>
  <c r="S217" i="1"/>
  <c r="U217" i="1" s="1"/>
  <c r="S216" i="1"/>
  <c r="U216" i="1" s="1"/>
  <c r="J216" i="1"/>
  <c r="S215" i="1"/>
  <c r="U215" i="1" s="1"/>
  <c r="S214" i="1"/>
  <c r="U214" i="1" s="1"/>
  <c r="S213" i="1"/>
  <c r="U213" i="1" s="1"/>
  <c r="S212" i="1"/>
  <c r="U212" i="1" s="1"/>
  <c r="S211" i="1"/>
  <c r="U211" i="1" s="1"/>
  <c r="S210" i="1"/>
  <c r="U210" i="1" s="1"/>
  <c r="S209" i="1"/>
  <c r="U209" i="1" s="1"/>
  <c r="S208" i="1"/>
  <c r="U208" i="1" s="1"/>
  <c r="S207" i="1"/>
  <c r="U207" i="1" s="1"/>
  <c r="S206" i="1"/>
  <c r="U206" i="1" s="1"/>
  <c r="J206" i="1"/>
  <c r="S205" i="1"/>
  <c r="U205" i="1" s="1"/>
  <c r="S204" i="1"/>
  <c r="U204" i="1" s="1"/>
  <c r="S203" i="1"/>
  <c r="U203" i="1" s="1"/>
  <c r="S202" i="1"/>
  <c r="U202" i="1" s="1"/>
  <c r="S201" i="1"/>
  <c r="U201" i="1" s="1"/>
  <c r="S200" i="1"/>
  <c r="U200" i="1" s="1"/>
  <c r="S199" i="1"/>
  <c r="U199" i="1" s="1"/>
  <c r="S198" i="1"/>
  <c r="U198" i="1" s="1"/>
  <c r="S197" i="1"/>
  <c r="U197" i="1" s="1"/>
  <c r="S196" i="1"/>
  <c r="U196" i="1" s="1"/>
  <c r="S195" i="1"/>
  <c r="U195" i="1" s="1"/>
  <c r="S194" i="1"/>
  <c r="U194" i="1" s="1"/>
  <c r="S193" i="1"/>
  <c r="U193" i="1" s="1"/>
  <c r="S192" i="1"/>
  <c r="U192" i="1" s="1"/>
  <c r="J192" i="1"/>
  <c r="S191" i="1"/>
  <c r="U191" i="1" s="1"/>
  <c r="S190" i="1"/>
  <c r="U190" i="1" s="1"/>
  <c r="J190" i="1"/>
  <c r="S189" i="1"/>
  <c r="U189" i="1" s="1"/>
  <c r="S188" i="1"/>
  <c r="U188" i="1" s="1"/>
  <c r="S187" i="1"/>
  <c r="U187" i="1" s="1"/>
  <c r="J187" i="1"/>
  <c r="S186" i="1"/>
  <c r="U186" i="1" s="1"/>
  <c r="J186" i="1"/>
  <c r="S185" i="1"/>
  <c r="U185" i="1" s="1"/>
  <c r="S184" i="3"/>
  <c r="U184" i="3" s="1"/>
  <c r="J184" i="3"/>
  <c r="S183" i="3"/>
  <c r="U183" i="3" s="1"/>
  <c r="S182" i="3"/>
  <c r="U182" i="3" s="1"/>
  <c r="S181" i="3"/>
  <c r="U181" i="3" s="1"/>
  <c r="J181" i="3"/>
  <c r="S180" i="3"/>
  <c r="U180" i="3" s="1"/>
  <c r="J180" i="3"/>
  <c r="S179" i="3"/>
  <c r="U179" i="3" s="1"/>
  <c r="S178" i="3"/>
  <c r="U178" i="3" s="1"/>
  <c r="J178" i="3"/>
  <c r="S177" i="3"/>
  <c r="U177" i="3" s="1"/>
  <c r="S176" i="3"/>
  <c r="U176" i="3" s="1"/>
  <c r="S175" i="3"/>
  <c r="U175" i="3" s="1"/>
  <c r="S174" i="3"/>
  <c r="U174" i="3" s="1"/>
  <c r="J174" i="3"/>
  <c r="S173" i="3"/>
  <c r="U173" i="3" s="1"/>
  <c r="J173" i="3"/>
  <c r="S172" i="3"/>
  <c r="U172" i="3" s="1"/>
  <c r="J172" i="3"/>
  <c r="S171" i="3"/>
  <c r="U171" i="3" s="1"/>
  <c r="J171" i="3"/>
  <c r="S170" i="3"/>
  <c r="U170" i="3" s="1"/>
  <c r="S169" i="3"/>
  <c r="U169" i="3" s="1"/>
  <c r="S168" i="3"/>
  <c r="U168" i="3" s="1"/>
  <c r="J168" i="3"/>
  <c r="S167" i="3"/>
  <c r="U167" i="3" s="1"/>
  <c r="S166" i="3"/>
  <c r="U166" i="3" s="1"/>
  <c r="J166" i="3"/>
  <c r="S165" i="3"/>
  <c r="U165" i="3" s="1"/>
  <c r="J165" i="3"/>
  <c r="S164" i="3"/>
  <c r="U164" i="3" s="1"/>
  <c r="J164" i="3"/>
  <c r="S163" i="3"/>
  <c r="U163" i="3" s="1"/>
  <c r="S162" i="3"/>
  <c r="U162" i="3" s="1"/>
  <c r="S161" i="3"/>
  <c r="U161" i="3" s="1"/>
  <c r="J161" i="3"/>
  <c r="S184" i="2"/>
  <c r="U184" i="2" s="1"/>
  <c r="S183" i="2"/>
  <c r="U183" i="2" s="1"/>
  <c r="J183" i="2"/>
  <c r="S182" i="2"/>
  <c r="U182" i="2" s="1"/>
  <c r="J182" i="2"/>
  <c r="S181" i="2"/>
  <c r="U181" i="2" s="1"/>
  <c r="S180" i="2"/>
  <c r="U180" i="2" s="1"/>
  <c r="S179" i="2"/>
  <c r="U179" i="2" s="1"/>
  <c r="S178" i="2"/>
  <c r="U178" i="2" s="1"/>
  <c r="S177" i="2"/>
  <c r="U177" i="2" s="1"/>
  <c r="J177" i="2"/>
  <c r="S176" i="2"/>
  <c r="U176" i="2" s="1"/>
  <c r="J176" i="2"/>
  <c r="S175" i="2"/>
  <c r="U175" i="2" s="1"/>
  <c r="J175" i="2"/>
  <c r="S174" i="2"/>
  <c r="U174" i="2" s="1"/>
  <c r="S173" i="2"/>
  <c r="U173" i="2" s="1"/>
  <c r="S172" i="2"/>
  <c r="U172" i="2" s="1"/>
  <c r="S171" i="2"/>
  <c r="U171" i="2" s="1"/>
  <c r="J171" i="2"/>
  <c r="S170" i="2"/>
  <c r="U170" i="2" s="1"/>
  <c r="J170" i="2"/>
  <c r="S169" i="2"/>
  <c r="U169" i="2" s="1"/>
  <c r="J169" i="2"/>
  <c r="S168" i="2"/>
  <c r="U168" i="2" s="1"/>
  <c r="J168" i="2"/>
  <c r="S167" i="2"/>
  <c r="U167" i="2" s="1"/>
  <c r="S166" i="2"/>
  <c r="U166" i="2" s="1"/>
  <c r="S165" i="2"/>
  <c r="U165" i="2" s="1"/>
  <c r="S164" i="2"/>
  <c r="U164" i="2" s="1"/>
  <c r="J164" i="2"/>
  <c r="S163" i="2"/>
  <c r="U163" i="2" s="1"/>
  <c r="J163" i="2"/>
  <c r="S162" i="2"/>
  <c r="U162" i="2" s="1"/>
  <c r="J162" i="2"/>
  <c r="S161" i="2"/>
  <c r="U161" i="2" s="1"/>
  <c r="S184" i="1"/>
  <c r="U184" i="1" s="1"/>
  <c r="S183" i="1"/>
  <c r="U183" i="1" s="1"/>
  <c r="S182" i="1"/>
  <c r="U182" i="1" s="1"/>
  <c r="J182" i="1"/>
  <c r="S181" i="1"/>
  <c r="U181" i="1" s="1"/>
  <c r="S180" i="1"/>
  <c r="U180" i="1" s="1"/>
  <c r="S179" i="1"/>
  <c r="U179" i="1" s="1"/>
  <c r="S178" i="1"/>
  <c r="U178" i="1" s="1"/>
  <c r="J178" i="1"/>
  <c r="S177" i="1"/>
  <c r="U177" i="1" s="1"/>
  <c r="J177" i="1"/>
  <c r="S176" i="1"/>
  <c r="U176" i="1" s="1"/>
  <c r="S175" i="1"/>
  <c r="J175" i="1" s="1"/>
  <c r="S174" i="1"/>
  <c r="U174" i="1" s="1"/>
  <c r="S173" i="1"/>
  <c r="U173" i="1" s="1"/>
  <c r="S172" i="1"/>
  <c r="U172" i="1" s="1"/>
  <c r="S171" i="1"/>
  <c r="U171" i="1" s="1"/>
  <c r="S170" i="1"/>
  <c r="U170" i="1" s="1"/>
  <c r="S169" i="1"/>
  <c r="U169" i="1" s="1"/>
  <c r="S168" i="1"/>
  <c r="U168" i="1" s="1"/>
  <c r="S167" i="1"/>
  <c r="J167" i="1" s="1"/>
  <c r="S166" i="1"/>
  <c r="U166" i="1" s="1"/>
  <c r="S165" i="1"/>
  <c r="U165" i="1" s="1"/>
  <c r="J165" i="1"/>
  <c r="S164" i="1"/>
  <c r="U164" i="1" s="1"/>
  <c r="S163" i="1"/>
  <c r="U163" i="1" s="1"/>
  <c r="J163" i="1"/>
  <c r="S162" i="1"/>
  <c r="U162" i="1" s="1"/>
  <c r="J162" i="1"/>
  <c r="S161" i="1"/>
  <c r="U161" i="1" s="1"/>
  <c r="J161" i="1"/>
  <c r="S160" i="1"/>
  <c r="U160" i="1" s="1"/>
  <c r="J160" i="1"/>
  <c r="S159" i="1"/>
  <c r="U159" i="1" s="1"/>
  <c r="J159" i="1"/>
  <c r="S158" i="1"/>
  <c r="U158" i="1" s="1"/>
  <c r="S157" i="1"/>
  <c r="U157" i="1" s="1"/>
  <c r="J157" i="1"/>
  <c r="S156" i="1"/>
  <c r="U156" i="1" s="1"/>
  <c r="S155" i="1"/>
  <c r="U155" i="1" s="1"/>
  <c r="J155" i="1"/>
  <c r="S154" i="1"/>
  <c r="U154" i="1" s="1"/>
  <c r="J154" i="1"/>
  <c r="S153" i="1"/>
  <c r="U153" i="1" s="1"/>
  <c r="J153" i="1"/>
  <c r="S152" i="1"/>
  <c r="U152" i="1" s="1"/>
  <c r="S151" i="1"/>
  <c r="U151" i="1" s="1"/>
  <c r="S150" i="1"/>
  <c r="U150" i="1" s="1"/>
  <c r="S149" i="1"/>
  <c r="U149" i="1" s="1"/>
  <c r="J149" i="1"/>
  <c r="S160" i="2"/>
  <c r="U160" i="2" s="1"/>
  <c r="J160" i="2"/>
  <c r="S159" i="2"/>
  <c r="U159" i="2" s="1"/>
  <c r="J159" i="2"/>
  <c r="S158" i="2"/>
  <c r="U158" i="2" s="1"/>
  <c r="S157" i="2"/>
  <c r="U157" i="2" s="1"/>
  <c r="S156" i="2"/>
  <c r="U156" i="2" s="1"/>
  <c r="S155" i="2"/>
  <c r="U155" i="2" s="1"/>
  <c r="S154" i="2"/>
  <c r="U154" i="2" s="1"/>
  <c r="S153" i="2"/>
  <c r="U153" i="2" s="1"/>
  <c r="S152" i="2"/>
  <c r="U152" i="2" s="1"/>
  <c r="S151" i="2"/>
  <c r="U151" i="2" s="1"/>
  <c r="J151" i="2"/>
  <c r="S150" i="2"/>
  <c r="U150" i="2" s="1"/>
  <c r="J150" i="2"/>
  <c r="S149" i="2"/>
  <c r="U149" i="2" s="1"/>
  <c r="J149" i="2"/>
  <c r="S160" i="3"/>
  <c r="U160" i="3" s="1"/>
  <c r="J160" i="3"/>
  <c r="S159" i="3"/>
  <c r="U159" i="3" s="1"/>
  <c r="J159" i="3"/>
  <c r="S158" i="3"/>
  <c r="U158" i="3" s="1"/>
  <c r="S157" i="3"/>
  <c r="U157" i="3" s="1"/>
  <c r="S156" i="3"/>
  <c r="U156" i="3" s="1"/>
  <c r="S155" i="3"/>
  <c r="U155" i="3" s="1"/>
  <c r="S154" i="3"/>
  <c r="U154" i="3" s="1"/>
  <c r="S153" i="3"/>
  <c r="U153" i="3" s="1"/>
  <c r="J153" i="3"/>
  <c r="S152" i="3"/>
  <c r="U152" i="3" s="1"/>
  <c r="J152" i="3"/>
  <c r="S151" i="3"/>
  <c r="U151" i="3" s="1"/>
  <c r="S150" i="3"/>
  <c r="U150" i="3" s="1"/>
  <c r="S149" i="3"/>
  <c r="U149" i="3" s="1"/>
  <c r="J149" i="3"/>
  <c r="S160" i="4"/>
  <c r="U160" i="4" s="1"/>
  <c r="J160" i="4"/>
  <c r="S159" i="4"/>
  <c r="U159" i="4" s="1"/>
  <c r="S158" i="4"/>
  <c r="U158" i="4" s="1"/>
  <c r="S157" i="4"/>
  <c r="U157" i="4" s="1"/>
  <c r="S156" i="4"/>
  <c r="U156" i="4" s="1"/>
  <c r="S155" i="4"/>
  <c r="U155" i="4" s="1"/>
  <c r="J155" i="4"/>
  <c r="S154" i="4"/>
  <c r="U154" i="4" s="1"/>
  <c r="J154" i="4"/>
  <c r="S153" i="4"/>
  <c r="U153" i="4" s="1"/>
  <c r="J153" i="4"/>
  <c r="S152" i="4"/>
  <c r="U152" i="4" s="1"/>
  <c r="J152" i="4"/>
  <c r="S151" i="4"/>
  <c r="U151" i="4" s="1"/>
  <c r="S150" i="4"/>
  <c r="U150" i="4" s="1"/>
  <c r="J150" i="4"/>
  <c r="S149" i="4"/>
  <c r="U149" i="4" s="1"/>
  <c r="J149" i="4"/>
  <c r="S22" i="1"/>
  <c r="J164" i="1" l="1"/>
  <c r="J196" i="1"/>
  <c r="J156" i="1"/>
  <c r="J194" i="1"/>
  <c r="J203" i="1"/>
  <c r="J212" i="1"/>
  <c r="J171" i="1"/>
  <c r="J195" i="1"/>
  <c r="J204" i="1"/>
  <c r="J172" i="1"/>
  <c r="J181" i="1"/>
  <c r="J188" i="1"/>
  <c r="J214" i="1"/>
  <c r="J205" i="3"/>
  <c r="J197" i="3"/>
  <c r="J204" i="3"/>
  <c r="J220" i="3"/>
  <c r="J198" i="3"/>
  <c r="J198" i="4"/>
  <c r="J204" i="4"/>
  <c r="J198" i="2"/>
  <c r="J204" i="2"/>
  <c r="J210" i="2"/>
  <c r="J216" i="2"/>
  <c r="J199" i="2"/>
  <c r="J205" i="2"/>
  <c r="J211" i="2"/>
  <c r="J217" i="2"/>
  <c r="J205" i="1"/>
  <c r="J213" i="1"/>
  <c r="J220" i="1"/>
  <c r="J182" i="4"/>
  <c r="J188" i="4"/>
  <c r="J194" i="4"/>
  <c r="J159" i="4"/>
  <c r="J168" i="4"/>
  <c r="J183" i="4"/>
  <c r="J189" i="4"/>
  <c r="J195" i="4"/>
  <c r="J162" i="3"/>
  <c r="J175" i="3"/>
  <c r="J182" i="3"/>
  <c r="J179" i="3"/>
  <c r="J156" i="3"/>
  <c r="J169" i="3"/>
  <c r="J193" i="3"/>
  <c r="J163" i="3"/>
  <c r="J176" i="3"/>
  <c r="J183" i="3"/>
  <c r="J186" i="3"/>
  <c r="J165" i="2"/>
  <c r="J180" i="2"/>
  <c r="J185" i="2"/>
  <c r="J193" i="2"/>
  <c r="J157" i="2"/>
  <c r="J174" i="2"/>
  <c r="J181" i="2"/>
  <c r="J194" i="2"/>
  <c r="J170" i="1"/>
  <c r="J166" i="1"/>
  <c r="J152" i="1"/>
  <c r="J158" i="1"/>
  <c r="J169" i="1"/>
  <c r="J191" i="1"/>
  <c r="J218" i="3"/>
  <c r="U217" i="3"/>
  <c r="J214" i="3"/>
  <c r="U213" i="3"/>
  <c r="J210" i="3"/>
  <c r="U209" i="3"/>
  <c r="J217" i="1"/>
  <c r="J215" i="1"/>
  <c r="J211" i="1"/>
  <c r="J210" i="1"/>
  <c r="J209" i="1"/>
  <c r="J199" i="3"/>
  <c r="J202" i="3"/>
  <c r="J197" i="4"/>
  <c r="J190" i="3"/>
  <c r="J189" i="3"/>
  <c r="J188" i="3"/>
  <c r="J208" i="1"/>
  <c r="J198" i="1"/>
  <c r="J185" i="3"/>
  <c r="J202" i="1"/>
  <c r="J201" i="1"/>
  <c r="J200" i="1"/>
  <c r="J199" i="1"/>
  <c r="J197" i="1"/>
  <c r="J179" i="4"/>
  <c r="J151" i="4"/>
  <c r="J158" i="4"/>
  <c r="J164" i="4"/>
  <c r="J162" i="4"/>
  <c r="J171" i="4"/>
  <c r="J178" i="4"/>
  <c r="J172" i="4"/>
  <c r="J177" i="4"/>
  <c r="J161" i="4"/>
  <c r="J167" i="4"/>
  <c r="J173" i="4"/>
  <c r="J157" i="4"/>
  <c r="J156" i="4"/>
  <c r="J177" i="3"/>
  <c r="J170" i="3"/>
  <c r="J167" i="3"/>
  <c r="J173" i="1"/>
  <c r="J168" i="1"/>
  <c r="U167" i="1"/>
  <c r="J211" i="3"/>
  <c r="J215" i="3"/>
  <c r="J219" i="3"/>
  <c r="J154" i="2"/>
  <c r="J166" i="2"/>
  <c r="J172" i="2"/>
  <c r="J178" i="2"/>
  <c r="J184" i="2"/>
  <c r="J186" i="2"/>
  <c r="J220" i="2"/>
  <c r="J161" i="2"/>
  <c r="J167" i="2"/>
  <c r="J173" i="2"/>
  <c r="J179" i="2"/>
  <c r="U218" i="2"/>
  <c r="J219" i="2"/>
  <c r="U189" i="2"/>
  <c r="J187" i="2"/>
  <c r="J191" i="2"/>
  <c r="J195" i="2"/>
  <c r="J196" i="2"/>
  <c r="J207" i="1"/>
  <c r="J185" i="1"/>
  <c r="J189" i="1"/>
  <c r="J193" i="1"/>
  <c r="J158" i="3"/>
  <c r="J157" i="3"/>
  <c r="J155" i="3"/>
  <c r="J154" i="3"/>
  <c r="J151" i="3"/>
  <c r="J150" i="3"/>
  <c r="J158" i="2"/>
  <c r="J156" i="2"/>
  <c r="J155" i="2"/>
  <c r="J153" i="2"/>
  <c r="J152" i="2"/>
  <c r="J151" i="1"/>
  <c r="J150" i="1"/>
  <c r="J183" i="1"/>
  <c r="J174" i="1"/>
  <c r="J179" i="1"/>
  <c r="U175" i="1"/>
  <c r="J176" i="1"/>
  <c r="J180" i="1"/>
  <c r="J184" i="1"/>
  <c r="S148" i="4"/>
  <c r="U148" i="4" s="1"/>
  <c r="J148" i="4"/>
  <c r="S147" i="4"/>
  <c r="U147" i="4" s="1"/>
  <c r="J147" i="4"/>
  <c r="S146" i="4"/>
  <c r="U146" i="4" s="1"/>
  <c r="S145" i="4"/>
  <c r="J145" i="4" s="1"/>
  <c r="S144" i="4"/>
  <c r="J144" i="4" s="1"/>
  <c r="S143" i="4"/>
  <c r="J143" i="4" s="1"/>
  <c r="S142" i="4"/>
  <c r="U142" i="4" s="1"/>
  <c r="U141" i="4"/>
  <c r="S141" i="4"/>
  <c r="J141" i="4"/>
  <c r="S140" i="4"/>
  <c r="U140" i="4" s="1"/>
  <c r="J140" i="4"/>
  <c r="S139" i="4"/>
  <c r="U139" i="4" s="1"/>
  <c r="J139" i="4"/>
  <c r="S138" i="4"/>
  <c r="J138" i="4" s="1"/>
  <c r="S137" i="4"/>
  <c r="U137" i="4" s="1"/>
  <c r="S148" i="3"/>
  <c r="U148" i="3" s="1"/>
  <c r="J148" i="3"/>
  <c r="S147" i="3"/>
  <c r="U147" i="3" s="1"/>
  <c r="S146" i="3"/>
  <c r="J146" i="3" s="1"/>
  <c r="S145" i="3"/>
  <c r="U145" i="3" s="1"/>
  <c r="J145" i="3"/>
  <c r="S144" i="3"/>
  <c r="J144" i="3" s="1"/>
  <c r="S143" i="3"/>
  <c r="U143" i="3" s="1"/>
  <c r="U142" i="3"/>
  <c r="S142" i="3"/>
  <c r="J142" i="3"/>
  <c r="S141" i="3"/>
  <c r="U141" i="3" s="1"/>
  <c r="S140" i="3"/>
  <c r="U140" i="3" s="1"/>
  <c r="J140" i="3"/>
  <c r="S139" i="3"/>
  <c r="U139" i="3" s="1"/>
  <c r="J139" i="3"/>
  <c r="S138" i="3"/>
  <c r="J138" i="3" s="1"/>
  <c r="S137" i="3"/>
  <c r="U137" i="3" s="1"/>
  <c r="S148" i="2"/>
  <c r="J148" i="2" s="1"/>
  <c r="S147" i="2"/>
  <c r="U147" i="2" s="1"/>
  <c r="J147" i="2"/>
  <c r="S146" i="2"/>
  <c r="U146" i="2" s="1"/>
  <c r="S145" i="2"/>
  <c r="U145" i="2" s="1"/>
  <c r="J145" i="2"/>
  <c r="S144" i="2"/>
  <c r="J144" i="2" s="1"/>
  <c r="S143" i="2"/>
  <c r="U143" i="2" s="1"/>
  <c r="J143" i="2"/>
  <c r="S142" i="2"/>
  <c r="U142" i="2" s="1"/>
  <c r="S141" i="2"/>
  <c r="U141" i="2" s="1"/>
  <c r="J141" i="2"/>
  <c r="S140" i="2"/>
  <c r="J140" i="2" s="1"/>
  <c r="S139" i="2"/>
  <c r="U139" i="2" s="1"/>
  <c r="S138" i="2"/>
  <c r="U138" i="2" s="1"/>
  <c r="J138" i="2"/>
  <c r="S137" i="2"/>
  <c r="U137" i="2" s="1"/>
  <c r="J137" i="2"/>
  <c r="S148" i="1"/>
  <c r="U148" i="1" s="1"/>
  <c r="S147" i="1"/>
  <c r="J147" i="1" s="1"/>
  <c r="S146" i="1"/>
  <c r="J146" i="1" s="1"/>
  <c r="S145" i="1"/>
  <c r="U145" i="1" s="1"/>
  <c r="S144" i="1"/>
  <c r="U144" i="1" s="1"/>
  <c r="S143" i="1"/>
  <c r="U143" i="1" s="1"/>
  <c r="S142" i="1"/>
  <c r="J142" i="1" s="1"/>
  <c r="S141" i="1"/>
  <c r="U141" i="1" s="1"/>
  <c r="S140" i="1"/>
  <c r="U140" i="1" s="1"/>
  <c r="S139" i="1"/>
  <c r="U139" i="1" s="1"/>
  <c r="S138" i="1"/>
  <c r="U138" i="1" s="1"/>
  <c r="S137" i="1"/>
  <c r="U137" i="1" s="1"/>
  <c r="J142" i="4" l="1"/>
  <c r="J143" i="3"/>
  <c r="U146" i="3"/>
  <c r="J139" i="2"/>
  <c r="U143" i="4"/>
  <c r="J137" i="4"/>
  <c r="J144" i="1"/>
  <c r="J148" i="1"/>
  <c r="J138" i="1"/>
  <c r="J145" i="1"/>
  <c r="J140" i="1"/>
  <c r="J139" i="1"/>
  <c r="U142" i="1"/>
  <c r="U146" i="1"/>
  <c r="U147" i="1"/>
  <c r="J143" i="1"/>
  <c r="U144" i="4"/>
  <c r="U145" i="4"/>
  <c r="J146" i="4"/>
  <c r="U138" i="4"/>
  <c r="U144" i="3"/>
  <c r="U138" i="3"/>
  <c r="J141" i="3"/>
  <c r="J147" i="3"/>
  <c r="J137" i="3"/>
  <c r="U148" i="2"/>
  <c r="U144" i="2"/>
  <c r="U140" i="2"/>
  <c r="J146" i="2"/>
  <c r="J142" i="2"/>
  <c r="J137" i="1"/>
  <c r="J141" i="1"/>
  <c r="S136" i="4" l="1"/>
  <c r="U136" i="4" s="1"/>
  <c r="S135" i="4"/>
  <c r="U135" i="4" s="1"/>
  <c r="S134" i="4"/>
  <c r="J134" i="4" s="1"/>
  <c r="S133" i="4"/>
  <c r="U133" i="4" s="1"/>
  <c r="U132" i="4"/>
  <c r="S132" i="4"/>
  <c r="J132" i="4"/>
  <c r="S131" i="4"/>
  <c r="U131" i="4" s="1"/>
  <c r="S130" i="4"/>
  <c r="U130" i="4" s="1"/>
  <c r="J130" i="4"/>
  <c r="S129" i="4"/>
  <c r="U129" i="4" s="1"/>
  <c r="J129" i="4"/>
  <c r="S128" i="4"/>
  <c r="J128" i="4" s="1"/>
  <c r="S127" i="4"/>
  <c r="U127" i="4" s="1"/>
  <c r="S126" i="4"/>
  <c r="U126" i="4" s="1"/>
  <c r="S125" i="4"/>
  <c r="U125" i="4" s="1"/>
  <c r="U124" i="4"/>
  <c r="S124" i="4"/>
  <c r="J124" i="4"/>
  <c r="S123" i="4"/>
  <c r="J123" i="4" s="1"/>
  <c r="S122" i="4"/>
  <c r="U122" i="4" s="1"/>
  <c r="J122" i="4"/>
  <c r="S121" i="4"/>
  <c r="U121" i="4" s="1"/>
  <c r="S120" i="4"/>
  <c r="U120" i="4" s="1"/>
  <c r="S119" i="4"/>
  <c r="U119" i="4" s="1"/>
  <c r="S118" i="4"/>
  <c r="J118" i="4" s="1"/>
  <c r="S117" i="4"/>
  <c r="U117" i="4" s="1"/>
  <c r="S116" i="4"/>
  <c r="U116" i="4" s="1"/>
  <c r="S115" i="4"/>
  <c r="U115" i="4" s="1"/>
  <c r="S114" i="4"/>
  <c r="U114" i="4" s="1"/>
  <c r="J114" i="4"/>
  <c r="S113" i="4"/>
  <c r="U113" i="4" s="1"/>
  <c r="J113" i="4"/>
  <c r="U112" i="4"/>
  <c r="S112" i="4"/>
  <c r="J112" i="4"/>
  <c r="S111" i="4"/>
  <c r="U111" i="4" s="1"/>
  <c r="S110" i="4"/>
  <c r="U110" i="4" s="1"/>
  <c r="S109" i="4"/>
  <c r="U109" i="4" s="1"/>
  <c r="S108" i="4"/>
  <c r="U108" i="4" s="1"/>
  <c r="S107" i="4"/>
  <c r="J107" i="4" s="1"/>
  <c r="S106" i="4"/>
  <c r="U106" i="4" s="1"/>
  <c r="J106" i="4"/>
  <c r="S105" i="4"/>
  <c r="U105" i="4" s="1"/>
  <c r="J105" i="4"/>
  <c r="S104" i="4"/>
  <c r="U104" i="4" s="1"/>
  <c r="J104" i="4"/>
  <c r="S103" i="4"/>
  <c r="U103" i="4" s="1"/>
  <c r="S102" i="4"/>
  <c r="J102" i="4" s="1"/>
  <c r="S101" i="4"/>
  <c r="U101" i="4" s="1"/>
  <c r="U100" i="4"/>
  <c r="S100" i="4"/>
  <c r="J100" i="4"/>
  <c r="S99" i="4"/>
  <c r="U99" i="4" s="1"/>
  <c r="J99" i="4"/>
  <c r="S98" i="4"/>
  <c r="U98" i="4" s="1"/>
  <c r="S97" i="4"/>
  <c r="U97" i="4" s="1"/>
  <c r="S96" i="4"/>
  <c r="J96" i="4" s="1"/>
  <c r="S95" i="4"/>
  <c r="U95" i="4" s="1"/>
  <c r="S94" i="4"/>
  <c r="U94" i="4" s="1"/>
  <c r="J94" i="4"/>
  <c r="S93" i="4"/>
  <c r="U93" i="4" s="1"/>
  <c r="S92" i="4"/>
  <c r="U92" i="4" s="1"/>
  <c r="J92" i="4"/>
  <c r="U91" i="4"/>
  <c r="S91" i="4"/>
  <c r="J91" i="4" s="1"/>
  <c r="U90" i="4"/>
  <c r="S90" i="4"/>
  <c r="J90" i="4"/>
  <c r="S89" i="4"/>
  <c r="U89" i="4" s="1"/>
  <c r="S88" i="4"/>
  <c r="U88" i="4" s="1"/>
  <c r="J88" i="4"/>
  <c r="S87" i="4"/>
  <c r="U87" i="4" s="1"/>
  <c r="J87" i="4"/>
  <c r="S86" i="4"/>
  <c r="J86" i="4" s="1"/>
  <c r="S85" i="4"/>
  <c r="U85" i="4" s="1"/>
  <c r="S84" i="4"/>
  <c r="U84" i="4" s="1"/>
  <c r="J84" i="4"/>
  <c r="S83" i="4"/>
  <c r="U83" i="4" s="1"/>
  <c r="S82" i="4"/>
  <c r="U82" i="4" s="1"/>
  <c r="J82" i="4"/>
  <c r="S81" i="4"/>
  <c r="U81" i="4" s="1"/>
  <c r="J81" i="4"/>
  <c r="U80" i="4"/>
  <c r="S80" i="4"/>
  <c r="J80" i="4"/>
  <c r="S79" i="4"/>
  <c r="U79" i="4" s="1"/>
  <c r="S78" i="4"/>
  <c r="U78" i="4" s="1"/>
  <c r="S77" i="4"/>
  <c r="U77" i="4" s="1"/>
  <c r="J77" i="4"/>
  <c r="S76" i="4"/>
  <c r="U76" i="4" s="1"/>
  <c r="S75" i="4"/>
  <c r="J75" i="4" s="1"/>
  <c r="S74" i="4"/>
  <c r="U74" i="4" s="1"/>
  <c r="J74" i="4"/>
  <c r="S73" i="4"/>
  <c r="U73" i="4" s="1"/>
  <c r="S72" i="4"/>
  <c r="U72" i="4" s="1"/>
  <c r="S71" i="4"/>
  <c r="U71" i="4" s="1"/>
  <c r="S70" i="4"/>
  <c r="J70" i="4" s="1"/>
  <c r="S69" i="4"/>
  <c r="U69" i="4" s="1"/>
  <c r="S68" i="4"/>
  <c r="U68" i="4" s="1"/>
  <c r="J68" i="4"/>
  <c r="S67" i="4"/>
  <c r="U67" i="4" s="1"/>
  <c r="S66" i="4"/>
  <c r="U66" i="4" s="1"/>
  <c r="J66" i="4"/>
  <c r="S65" i="4"/>
  <c r="U65" i="4" s="1"/>
  <c r="S64" i="4"/>
  <c r="U64" i="4" s="1"/>
  <c r="S63" i="4"/>
  <c r="U63" i="4" s="1"/>
  <c r="S62" i="4"/>
  <c r="U62" i="4" s="1"/>
  <c r="S61" i="4"/>
  <c r="U61" i="4" s="1"/>
  <c r="S60" i="4"/>
  <c r="U60" i="4" s="1"/>
  <c r="S59" i="4"/>
  <c r="J59" i="4" s="1"/>
  <c r="S58" i="4"/>
  <c r="U58" i="4" s="1"/>
  <c r="J58" i="4"/>
  <c r="S57" i="4"/>
  <c r="U57" i="4" s="1"/>
  <c r="S56" i="4"/>
  <c r="U56" i="4" s="1"/>
  <c r="J56" i="4"/>
  <c r="S55" i="4"/>
  <c r="U55" i="4" s="1"/>
  <c r="S54" i="4"/>
  <c r="J54" i="4" s="1"/>
  <c r="S53" i="4"/>
  <c r="U53" i="4" s="1"/>
  <c r="U52" i="4"/>
  <c r="S52" i="4"/>
  <c r="J52" i="4"/>
  <c r="S51" i="4"/>
  <c r="U51" i="4" s="1"/>
  <c r="J51" i="4"/>
  <c r="S50" i="4"/>
  <c r="U50" i="4" s="1"/>
  <c r="J50" i="4"/>
  <c r="S49" i="4"/>
  <c r="U49" i="4" s="1"/>
  <c r="J49" i="4"/>
  <c r="U48" i="4"/>
  <c r="S48" i="4"/>
  <c r="J48" i="4"/>
  <c r="S47" i="4"/>
  <c r="U47" i="4" s="1"/>
  <c r="S46" i="4"/>
  <c r="U46" i="4" s="1"/>
  <c r="J46" i="4"/>
  <c r="S45" i="4"/>
  <c r="U45" i="4" s="1"/>
  <c r="J45" i="4"/>
  <c r="S44" i="4"/>
  <c r="U44" i="4" s="1"/>
  <c r="J44" i="4"/>
  <c r="S43" i="4"/>
  <c r="J43" i="4" s="1"/>
  <c r="U42" i="4"/>
  <c r="S42" i="4"/>
  <c r="J42" i="4"/>
  <c r="S41" i="4"/>
  <c r="U41" i="4" s="1"/>
  <c r="S40" i="4"/>
  <c r="U40" i="4" s="1"/>
  <c r="S39" i="4"/>
  <c r="U39" i="4" s="1"/>
  <c r="S38" i="4"/>
  <c r="J38" i="4" s="1"/>
  <c r="S37" i="4"/>
  <c r="U37" i="4" s="1"/>
  <c r="S36" i="4"/>
  <c r="U36" i="4" s="1"/>
  <c r="S35" i="4"/>
  <c r="U35" i="4" s="1"/>
  <c r="S34" i="4"/>
  <c r="U34" i="4" s="1"/>
  <c r="S33" i="4"/>
  <c r="U33" i="4" s="1"/>
  <c r="S32" i="4"/>
  <c r="U32" i="4" s="1"/>
  <c r="J32" i="4"/>
  <c r="S31" i="4"/>
  <c r="U31" i="4" s="1"/>
  <c r="S30" i="4"/>
  <c r="U30" i="4" s="1"/>
  <c r="S29" i="4"/>
  <c r="U29" i="4" s="1"/>
  <c r="J29" i="4"/>
  <c r="S28" i="4"/>
  <c r="U28" i="4" s="1"/>
  <c r="J28" i="4"/>
  <c r="S27" i="4"/>
  <c r="J27" i="4" s="1"/>
  <c r="S26" i="4"/>
  <c r="U26" i="4" s="1"/>
  <c r="J26" i="4"/>
  <c r="S25" i="4"/>
  <c r="U25" i="4" s="1"/>
  <c r="S24" i="4"/>
  <c r="U24" i="4" s="1"/>
  <c r="J24" i="4"/>
  <c r="S23" i="4"/>
  <c r="U23" i="4" s="1"/>
  <c r="J23" i="4"/>
  <c r="S22" i="4"/>
  <c r="U22" i="4" s="1"/>
  <c r="S21" i="4"/>
  <c r="U21" i="4" s="1"/>
  <c r="S20" i="4"/>
  <c r="U20" i="4" s="1"/>
  <c r="J20" i="4"/>
  <c r="S19" i="4"/>
  <c r="U19" i="4" s="1"/>
  <c r="S18" i="4"/>
  <c r="U18" i="4" s="1"/>
  <c r="S17" i="4"/>
  <c r="U17" i="4" s="1"/>
  <c r="S136" i="3"/>
  <c r="U136" i="3" s="1"/>
  <c r="S135" i="3"/>
  <c r="U135" i="3" s="1"/>
  <c r="S134" i="3"/>
  <c r="U134" i="3" s="1"/>
  <c r="S133" i="3"/>
  <c r="U133" i="3" s="1"/>
  <c r="S132" i="3"/>
  <c r="U132" i="3" s="1"/>
  <c r="S131" i="3"/>
  <c r="U131" i="3" s="1"/>
  <c r="S130" i="3"/>
  <c r="U130" i="3" s="1"/>
  <c r="S129" i="3"/>
  <c r="J129" i="3" s="1"/>
  <c r="S128" i="3"/>
  <c r="U128" i="3" s="1"/>
  <c r="S127" i="3"/>
  <c r="J127" i="3" s="1"/>
  <c r="S126" i="3"/>
  <c r="J126" i="3" s="1"/>
  <c r="S125" i="3"/>
  <c r="U125" i="3" s="1"/>
  <c r="S124" i="3"/>
  <c r="U124" i="3" s="1"/>
  <c r="S123" i="3"/>
  <c r="U123" i="3" s="1"/>
  <c r="S122" i="3"/>
  <c r="U122" i="3" s="1"/>
  <c r="S121" i="3"/>
  <c r="U121" i="3" s="1"/>
  <c r="S120" i="3"/>
  <c r="U120" i="3" s="1"/>
  <c r="S119" i="3"/>
  <c r="U119" i="3" s="1"/>
  <c r="S118" i="3"/>
  <c r="U118" i="3" s="1"/>
  <c r="S117" i="3"/>
  <c r="U117" i="3" s="1"/>
  <c r="J117" i="3"/>
  <c r="S116" i="3"/>
  <c r="U116" i="3" s="1"/>
  <c r="S115" i="3"/>
  <c r="J115" i="3" s="1"/>
  <c r="S114" i="3"/>
  <c r="U114" i="3" s="1"/>
  <c r="S113" i="3"/>
  <c r="U113" i="3" s="1"/>
  <c r="S112" i="3"/>
  <c r="U112" i="3" s="1"/>
  <c r="J112" i="3"/>
  <c r="U111" i="3"/>
  <c r="S111" i="3"/>
  <c r="J111" i="3" s="1"/>
  <c r="S110" i="3"/>
  <c r="J110" i="3" s="1"/>
  <c r="S109" i="3"/>
  <c r="U109" i="3" s="1"/>
  <c r="J109" i="3"/>
  <c r="S108" i="3"/>
  <c r="U108" i="3" s="1"/>
  <c r="S107" i="3"/>
  <c r="U107" i="3" s="1"/>
  <c r="S106" i="3"/>
  <c r="U106" i="3" s="1"/>
  <c r="S105" i="3"/>
  <c r="U105" i="3" s="1"/>
  <c r="J105" i="3"/>
  <c r="S104" i="3"/>
  <c r="U104" i="3" s="1"/>
  <c r="S103" i="3"/>
  <c r="U103" i="3" s="1"/>
  <c r="J103" i="3"/>
  <c r="S102" i="3"/>
  <c r="U102" i="3" s="1"/>
  <c r="J102" i="3"/>
  <c r="S101" i="3"/>
  <c r="U101" i="3" s="1"/>
  <c r="J101" i="3"/>
  <c r="S100" i="3"/>
  <c r="U100" i="3" s="1"/>
  <c r="J100" i="3"/>
  <c r="U99" i="3"/>
  <c r="S99" i="3"/>
  <c r="J99" i="3" s="1"/>
  <c r="S98" i="3"/>
  <c r="U98" i="3" s="1"/>
  <c r="S97" i="3"/>
  <c r="J97" i="3" s="1"/>
  <c r="S96" i="3"/>
  <c r="U96" i="3" s="1"/>
  <c r="J96" i="3"/>
  <c r="S95" i="3"/>
  <c r="J95" i="3" s="1"/>
  <c r="S94" i="3"/>
  <c r="J94" i="3" s="1"/>
  <c r="S93" i="3"/>
  <c r="U93" i="3" s="1"/>
  <c r="J93" i="3"/>
  <c r="S92" i="3"/>
  <c r="U92" i="3" s="1"/>
  <c r="S91" i="3"/>
  <c r="U91" i="3" s="1"/>
  <c r="S90" i="3"/>
  <c r="U90" i="3" s="1"/>
  <c r="S89" i="3"/>
  <c r="U89" i="3" s="1"/>
  <c r="S88" i="3"/>
  <c r="U88" i="3" s="1"/>
  <c r="S87" i="3"/>
  <c r="U87" i="3" s="1"/>
  <c r="J87" i="3"/>
  <c r="S86" i="3"/>
  <c r="U86" i="3" s="1"/>
  <c r="J86" i="3"/>
  <c r="S85" i="3"/>
  <c r="U85" i="3" s="1"/>
  <c r="S84" i="3"/>
  <c r="U84" i="3" s="1"/>
  <c r="J84" i="3"/>
  <c r="S83" i="3"/>
  <c r="U83" i="3" s="1"/>
  <c r="S82" i="3"/>
  <c r="U82" i="3" s="1"/>
  <c r="J82" i="3"/>
  <c r="S81" i="3"/>
  <c r="U81" i="3" s="1"/>
  <c r="S80" i="3"/>
  <c r="U80" i="3" s="1"/>
  <c r="J80" i="3"/>
  <c r="S79" i="3"/>
  <c r="J79" i="3" s="1"/>
  <c r="S78" i="3"/>
  <c r="J78" i="3" s="1"/>
  <c r="S77" i="3"/>
  <c r="U77" i="3" s="1"/>
  <c r="J77" i="3"/>
  <c r="S76" i="3"/>
  <c r="U76" i="3" s="1"/>
  <c r="S75" i="3"/>
  <c r="U75" i="3" s="1"/>
  <c r="S74" i="3"/>
  <c r="U74" i="3" s="1"/>
  <c r="S73" i="3"/>
  <c r="U73" i="3" s="1"/>
  <c r="J73" i="3"/>
  <c r="S72" i="3"/>
  <c r="U72" i="3" s="1"/>
  <c r="S71" i="3"/>
  <c r="U71" i="3" s="1"/>
  <c r="J71" i="3"/>
  <c r="U70" i="3"/>
  <c r="S70" i="3"/>
  <c r="J70" i="3" s="1"/>
  <c r="S69" i="3"/>
  <c r="U69" i="3" s="1"/>
  <c r="S68" i="3"/>
  <c r="U68" i="3" s="1"/>
  <c r="J68" i="3"/>
  <c r="S67" i="3"/>
  <c r="J67" i="3" s="1"/>
  <c r="S66" i="3"/>
  <c r="U66" i="3" s="1"/>
  <c r="J66" i="3"/>
  <c r="S65" i="3"/>
  <c r="J65" i="3" s="1"/>
  <c r="U64" i="3"/>
  <c r="S64" i="3"/>
  <c r="J64" i="3"/>
  <c r="S63" i="3"/>
  <c r="J63" i="3" s="1"/>
  <c r="S62" i="3"/>
  <c r="J62" i="3" s="1"/>
  <c r="S61" i="3"/>
  <c r="U61" i="3" s="1"/>
  <c r="S60" i="3"/>
  <c r="U60" i="3" s="1"/>
  <c r="S59" i="3"/>
  <c r="U59" i="3" s="1"/>
  <c r="S58" i="3"/>
  <c r="U58" i="3" s="1"/>
  <c r="S57" i="3"/>
  <c r="U57" i="3" s="1"/>
  <c r="J57" i="3"/>
  <c r="S56" i="3"/>
  <c r="U56" i="3" s="1"/>
  <c r="S55" i="3"/>
  <c r="U55" i="3" s="1"/>
  <c r="J55" i="3"/>
  <c r="S54" i="3"/>
  <c r="U54" i="3" s="1"/>
  <c r="J54" i="3"/>
  <c r="S53" i="3"/>
  <c r="U53" i="3" s="1"/>
  <c r="S52" i="3"/>
  <c r="U52" i="3" s="1"/>
  <c r="J52" i="3"/>
  <c r="S51" i="3"/>
  <c r="U51" i="3" s="1"/>
  <c r="J51" i="3"/>
  <c r="S50" i="3"/>
  <c r="U50" i="3" s="1"/>
  <c r="S49" i="3"/>
  <c r="U49" i="3" s="1"/>
  <c r="S48" i="3"/>
  <c r="J48" i="3" s="1"/>
  <c r="S47" i="3"/>
  <c r="J47" i="3" s="1"/>
  <c r="S46" i="3"/>
  <c r="J46" i="3" s="1"/>
  <c r="S45" i="3"/>
  <c r="U45" i="3" s="1"/>
  <c r="J45" i="3"/>
  <c r="S44" i="3"/>
  <c r="U44" i="3" s="1"/>
  <c r="S43" i="3"/>
  <c r="U43" i="3" s="1"/>
  <c r="S42" i="3"/>
  <c r="U42" i="3" s="1"/>
  <c r="S41" i="3"/>
  <c r="U41" i="3" s="1"/>
  <c r="S40" i="3"/>
  <c r="U40" i="3" s="1"/>
  <c r="S39" i="3"/>
  <c r="U39" i="3" s="1"/>
  <c r="S38" i="3"/>
  <c r="U38" i="3" s="1"/>
  <c r="J38" i="3"/>
  <c r="S37" i="3"/>
  <c r="U37" i="3" s="1"/>
  <c r="J37" i="3"/>
  <c r="S36" i="3"/>
  <c r="U36" i="3" s="1"/>
  <c r="J36" i="3"/>
  <c r="S35" i="3"/>
  <c r="J35" i="3" s="1"/>
  <c r="S34" i="3"/>
  <c r="U34" i="3" s="1"/>
  <c r="S33" i="3"/>
  <c r="U33" i="3" s="1"/>
  <c r="J33" i="3"/>
  <c r="S32" i="3"/>
  <c r="J32" i="3" s="1"/>
  <c r="S31" i="3"/>
  <c r="J31" i="3" s="1"/>
  <c r="S30" i="3"/>
  <c r="J30" i="3" s="1"/>
  <c r="S29" i="3"/>
  <c r="U29" i="3" s="1"/>
  <c r="J29" i="3"/>
  <c r="S28" i="3"/>
  <c r="U28" i="3" s="1"/>
  <c r="J28" i="3"/>
  <c r="S27" i="3"/>
  <c r="J27" i="3" s="1"/>
  <c r="S26" i="3"/>
  <c r="U26" i="3" s="1"/>
  <c r="S25" i="3"/>
  <c r="U25" i="3" s="1"/>
  <c r="J25" i="3"/>
  <c r="S24" i="3"/>
  <c r="U24" i="3" s="1"/>
  <c r="S23" i="3"/>
  <c r="U23" i="3" s="1"/>
  <c r="J23" i="3"/>
  <c r="S22" i="3"/>
  <c r="U22" i="3" s="1"/>
  <c r="J22" i="3"/>
  <c r="S21" i="3"/>
  <c r="U21" i="3" s="1"/>
  <c r="J21" i="3"/>
  <c r="S20" i="3"/>
  <c r="J20" i="3" s="1"/>
  <c r="S19" i="3"/>
  <c r="U19" i="3" s="1"/>
  <c r="S18" i="3"/>
  <c r="U18" i="3" s="1"/>
  <c r="J18" i="3"/>
  <c r="S17" i="3"/>
  <c r="U17" i="3" s="1"/>
  <c r="J17" i="3"/>
  <c r="S136" i="2"/>
  <c r="U136" i="2" s="1"/>
  <c r="J136" i="2"/>
  <c r="S135" i="2"/>
  <c r="U135" i="2" s="1"/>
  <c r="S134" i="2"/>
  <c r="U134" i="2" s="1"/>
  <c r="S133" i="2"/>
  <c r="U133" i="2" s="1"/>
  <c r="S132" i="2"/>
  <c r="U132" i="2" s="1"/>
  <c r="J132" i="2"/>
  <c r="S131" i="2"/>
  <c r="U131" i="2" s="1"/>
  <c r="S130" i="2"/>
  <c r="J130" i="2" s="1"/>
  <c r="S129" i="2"/>
  <c r="J129" i="2" s="1"/>
  <c r="S128" i="2"/>
  <c r="U128" i="2" s="1"/>
  <c r="S127" i="2"/>
  <c r="U127" i="2" s="1"/>
  <c r="S126" i="2"/>
  <c r="J126" i="2" s="1"/>
  <c r="S125" i="2"/>
  <c r="U125" i="2" s="1"/>
  <c r="S124" i="2"/>
  <c r="U124" i="2" s="1"/>
  <c r="S123" i="2"/>
  <c r="U123" i="2" s="1"/>
  <c r="S122" i="2"/>
  <c r="U122" i="2" s="1"/>
  <c r="S121" i="2"/>
  <c r="U121" i="2" s="1"/>
  <c r="S120" i="2"/>
  <c r="U120" i="2" s="1"/>
  <c r="S119" i="2"/>
  <c r="U119" i="2" s="1"/>
  <c r="S118" i="2"/>
  <c r="U118" i="2" s="1"/>
  <c r="J118" i="2"/>
  <c r="S117" i="2"/>
  <c r="U117" i="2" s="1"/>
  <c r="S116" i="2"/>
  <c r="U116" i="2" s="1"/>
  <c r="J116" i="2"/>
  <c r="S115" i="2"/>
  <c r="U115" i="2" s="1"/>
  <c r="J115" i="2"/>
  <c r="S114" i="2"/>
  <c r="J114" i="2" s="1"/>
  <c r="S113" i="2"/>
  <c r="J113" i="2" s="1"/>
  <c r="S112" i="2"/>
  <c r="U112" i="2" s="1"/>
  <c r="S111" i="2"/>
  <c r="U111" i="2" s="1"/>
  <c r="J111" i="2"/>
  <c r="S110" i="2"/>
  <c r="J110" i="2" s="1"/>
  <c r="S109" i="2"/>
  <c r="U109" i="2" s="1"/>
  <c r="S108" i="2"/>
  <c r="U108" i="2" s="1"/>
  <c r="S107" i="2"/>
  <c r="U107" i="2" s="1"/>
  <c r="S106" i="2"/>
  <c r="U106" i="2" s="1"/>
  <c r="S105" i="2"/>
  <c r="U105" i="2" s="1"/>
  <c r="J105" i="2"/>
  <c r="S104" i="2"/>
  <c r="U104" i="2" s="1"/>
  <c r="S103" i="2"/>
  <c r="U103" i="2" s="1"/>
  <c r="J103" i="2"/>
  <c r="S102" i="2"/>
  <c r="U102" i="2" s="1"/>
  <c r="S101" i="2"/>
  <c r="U101" i="2" s="1"/>
  <c r="J101" i="2"/>
  <c r="S100" i="2"/>
  <c r="U100" i="2" s="1"/>
  <c r="J100" i="2"/>
  <c r="S99" i="2"/>
  <c r="U99" i="2" s="1"/>
  <c r="J99" i="2"/>
  <c r="S98" i="2"/>
  <c r="J98" i="2" s="1"/>
  <c r="S97" i="2"/>
  <c r="J97" i="2" s="1"/>
  <c r="S96" i="2"/>
  <c r="U96" i="2" s="1"/>
  <c r="S95" i="2"/>
  <c r="U95" i="2" s="1"/>
  <c r="S94" i="2"/>
  <c r="J94" i="2" s="1"/>
  <c r="S93" i="2"/>
  <c r="U93" i="2" s="1"/>
  <c r="S92" i="2"/>
  <c r="U92" i="2" s="1"/>
  <c r="S91" i="2"/>
  <c r="U91" i="2" s="1"/>
  <c r="S90" i="2"/>
  <c r="U90" i="2" s="1"/>
  <c r="S89" i="2"/>
  <c r="U89" i="2" s="1"/>
  <c r="J89" i="2"/>
  <c r="S88" i="2"/>
  <c r="U88" i="2" s="1"/>
  <c r="S87" i="2"/>
  <c r="U87" i="2" s="1"/>
  <c r="S86" i="2"/>
  <c r="U86" i="2" s="1"/>
  <c r="J86" i="2"/>
  <c r="S85" i="2"/>
  <c r="U85" i="2" s="1"/>
  <c r="J85" i="2"/>
  <c r="S84" i="2"/>
  <c r="U84" i="2" s="1"/>
  <c r="S83" i="2"/>
  <c r="J83" i="2" s="1"/>
  <c r="S82" i="2"/>
  <c r="U82" i="2" s="1"/>
  <c r="J82" i="2"/>
  <c r="S81" i="2"/>
  <c r="U81" i="2" s="1"/>
  <c r="S80" i="2"/>
  <c r="U80" i="2" s="1"/>
  <c r="J80" i="2"/>
  <c r="S79" i="2"/>
  <c r="U79" i="2" s="1"/>
  <c r="S78" i="2"/>
  <c r="J78" i="2" s="1"/>
  <c r="S77" i="2"/>
  <c r="U77" i="2" s="1"/>
  <c r="S76" i="2"/>
  <c r="U76" i="2" s="1"/>
  <c r="S75" i="2"/>
  <c r="U75" i="2" s="1"/>
  <c r="S74" i="2"/>
  <c r="U74" i="2" s="1"/>
  <c r="S73" i="2"/>
  <c r="U73" i="2" s="1"/>
  <c r="S72" i="2"/>
  <c r="U72" i="2" s="1"/>
  <c r="S71" i="2"/>
  <c r="U71" i="2" s="1"/>
  <c r="S70" i="2"/>
  <c r="U70" i="2" s="1"/>
  <c r="J70" i="2"/>
  <c r="S69" i="2"/>
  <c r="U69" i="2" s="1"/>
  <c r="S68" i="2"/>
  <c r="U68" i="2" s="1"/>
  <c r="S67" i="2"/>
  <c r="U67" i="2" s="1"/>
  <c r="S66" i="2"/>
  <c r="U66" i="2" s="1"/>
  <c r="J66" i="2"/>
  <c r="S65" i="2"/>
  <c r="U65" i="2" s="1"/>
  <c r="S64" i="2"/>
  <c r="U64" i="2" s="1"/>
  <c r="J64" i="2"/>
  <c r="S63" i="2"/>
  <c r="U63" i="2" s="1"/>
  <c r="J63" i="2"/>
  <c r="S62" i="2"/>
  <c r="J62" i="2" s="1"/>
  <c r="S61" i="2"/>
  <c r="U61" i="2" s="1"/>
  <c r="S60" i="2"/>
  <c r="U60" i="2" s="1"/>
  <c r="S59" i="2"/>
  <c r="U59" i="2" s="1"/>
  <c r="S58" i="2"/>
  <c r="U58" i="2" s="1"/>
  <c r="S57" i="2"/>
  <c r="U57" i="2" s="1"/>
  <c r="S56" i="2"/>
  <c r="U56" i="2" s="1"/>
  <c r="S55" i="2"/>
  <c r="U55" i="2" s="1"/>
  <c r="J55" i="2"/>
  <c r="S54" i="2"/>
  <c r="U54" i="2" s="1"/>
  <c r="J54" i="2"/>
  <c r="S53" i="2"/>
  <c r="U53" i="2" s="1"/>
  <c r="S52" i="2"/>
  <c r="U52" i="2" s="1"/>
  <c r="S51" i="2"/>
  <c r="U51" i="2" s="1"/>
  <c r="J51" i="2"/>
  <c r="U50" i="2"/>
  <c r="S50" i="2"/>
  <c r="J50" i="2" s="1"/>
  <c r="S49" i="2"/>
  <c r="U49" i="2" s="1"/>
  <c r="S48" i="2"/>
  <c r="U48" i="2" s="1"/>
  <c r="J48" i="2"/>
  <c r="S47" i="2"/>
  <c r="U47" i="2" s="1"/>
  <c r="J47" i="2"/>
  <c r="S46" i="2"/>
  <c r="J46" i="2" s="1"/>
  <c r="S45" i="2"/>
  <c r="U45" i="2" s="1"/>
  <c r="S44" i="2"/>
  <c r="U44" i="2" s="1"/>
  <c r="S43" i="2"/>
  <c r="U43" i="2" s="1"/>
  <c r="S42" i="2"/>
  <c r="U42" i="2" s="1"/>
  <c r="S41" i="2"/>
  <c r="U41" i="2" s="1"/>
  <c r="J41" i="2"/>
  <c r="S40" i="2"/>
  <c r="U40" i="2" s="1"/>
  <c r="J40" i="2"/>
  <c r="S39" i="2"/>
  <c r="U39" i="2" s="1"/>
  <c r="S38" i="2"/>
  <c r="U38" i="2" s="1"/>
  <c r="J38" i="2"/>
  <c r="S37" i="2"/>
  <c r="U37" i="2" s="1"/>
  <c r="J37" i="2"/>
  <c r="S36" i="2"/>
  <c r="U36" i="2" s="1"/>
  <c r="S35" i="2"/>
  <c r="U35" i="2" s="1"/>
  <c r="J35" i="2"/>
  <c r="S34" i="2"/>
  <c r="U34" i="2" s="1"/>
  <c r="J34" i="2"/>
  <c r="S33" i="2"/>
  <c r="U33" i="2" s="1"/>
  <c r="J33" i="2"/>
  <c r="S32" i="2"/>
  <c r="U32" i="2" s="1"/>
  <c r="S31" i="2"/>
  <c r="U31" i="2" s="1"/>
  <c r="S30" i="2"/>
  <c r="J30" i="2" s="1"/>
  <c r="S29" i="2"/>
  <c r="U29" i="2" s="1"/>
  <c r="S28" i="2"/>
  <c r="U28" i="2" s="1"/>
  <c r="S27" i="2"/>
  <c r="U27" i="2" s="1"/>
  <c r="S26" i="2"/>
  <c r="U26" i="2" s="1"/>
  <c r="S25" i="2"/>
  <c r="U25" i="2" s="1"/>
  <c r="S24" i="2"/>
  <c r="U24" i="2" s="1"/>
  <c r="J24" i="2"/>
  <c r="S23" i="2"/>
  <c r="U23" i="2" s="1"/>
  <c r="J23" i="2"/>
  <c r="S22" i="2"/>
  <c r="U22" i="2" s="1"/>
  <c r="J22" i="2"/>
  <c r="S21" i="2"/>
  <c r="U21" i="2" s="1"/>
  <c r="S20" i="2"/>
  <c r="U20" i="2" s="1"/>
  <c r="S19" i="2"/>
  <c r="J19" i="2" s="1"/>
  <c r="S18" i="2"/>
  <c r="U18" i="2" s="1"/>
  <c r="J18" i="2"/>
  <c r="S17" i="2"/>
  <c r="U17" i="2" s="1"/>
  <c r="J17" i="2"/>
  <c r="U115" i="3" l="1"/>
  <c r="J116" i="4"/>
  <c r="J104" i="2"/>
  <c r="J117" i="2"/>
  <c r="J112" i="2"/>
  <c r="J90" i="2"/>
  <c r="J106" i="2"/>
  <c r="U113" i="2"/>
  <c r="J91" i="2"/>
  <c r="J107" i="2"/>
  <c r="U114" i="2"/>
  <c r="J25" i="2"/>
  <c r="J49" i="2"/>
  <c r="J20" i="2"/>
  <c r="J26" i="2"/>
  <c r="J58" i="2"/>
  <c r="J120" i="2"/>
  <c r="U97" i="2"/>
  <c r="U98" i="2"/>
  <c r="J21" i="2"/>
  <c r="J27" i="2"/>
  <c r="J69" i="2"/>
  <c r="J102" i="2"/>
  <c r="J122" i="2"/>
  <c r="U19" i="2"/>
  <c r="J52" i="2"/>
  <c r="J67" i="2"/>
  <c r="J31" i="2"/>
  <c r="J42" i="2"/>
  <c r="J81" i="2"/>
  <c r="J87" i="2"/>
  <c r="J36" i="2"/>
  <c r="J65" i="2"/>
  <c r="J32" i="2"/>
  <c r="J43" i="2"/>
  <c r="J88" i="2"/>
  <c r="U79" i="3"/>
  <c r="J19" i="3"/>
  <c r="J39" i="3"/>
  <c r="U47" i="3"/>
  <c r="U63" i="3"/>
  <c r="J69" i="3"/>
  <c r="J98" i="3"/>
  <c r="U67" i="3"/>
  <c r="J92" i="3"/>
  <c r="U20" i="3"/>
  <c r="J34" i="3"/>
  <c r="J41" i="3"/>
  <c r="J50" i="3"/>
  <c r="J85" i="3"/>
  <c r="U43" i="4"/>
  <c r="J57" i="4"/>
  <c r="J39" i="4"/>
  <c r="J33" i="4"/>
  <c r="J40" i="4"/>
  <c r="J34" i="4"/>
  <c r="J41" i="4"/>
  <c r="J35" i="4"/>
  <c r="U27" i="4"/>
  <c r="J30" i="4"/>
  <c r="J36" i="4"/>
  <c r="J73" i="4"/>
  <c r="J19" i="4"/>
  <c r="J25" i="4"/>
  <c r="J131" i="4"/>
  <c r="J136" i="4"/>
  <c r="J115" i="4"/>
  <c r="U107" i="4"/>
  <c r="J110" i="4"/>
  <c r="J109" i="4"/>
  <c r="J108" i="4"/>
  <c r="J103" i="4"/>
  <c r="J98" i="4"/>
  <c r="J97" i="4"/>
  <c r="U96" i="4"/>
  <c r="J89" i="4"/>
  <c r="J93" i="4"/>
  <c r="J83" i="4"/>
  <c r="J78" i="4"/>
  <c r="U95" i="3"/>
  <c r="J89" i="3"/>
  <c r="J83" i="3"/>
  <c r="J96" i="2"/>
  <c r="J95" i="2"/>
  <c r="J84" i="2"/>
  <c r="U83" i="2"/>
  <c r="J79" i="2"/>
  <c r="J65" i="4"/>
  <c r="J76" i="4"/>
  <c r="U75" i="4"/>
  <c r="J72" i="4"/>
  <c r="J71" i="4"/>
  <c r="J67" i="4"/>
  <c r="J76" i="3"/>
  <c r="J75" i="2"/>
  <c r="J74" i="2"/>
  <c r="J73" i="2"/>
  <c r="J72" i="2"/>
  <c r="J71" i="2"/>
  <c r="J68" i="2"/>
  <c r="J64" i="4"/>
  <c r="J62" i="4"/>
  <c r="J61" i="4"/>
  <c r="J60" i="4"/>
  <c r="U59" i="4"/>
  <c r="J55" i="4"/>
  <c r="J61" i="3"/>
  <c r="J60" i="3"/>
  <c r="J53" i="3"/>
  <c r="U48" i="3"/>
  <c r="J44" i="3"/>
  <c r="U35" i="3"/>
  <c r="U32" i="3"/>
  <c r="U31" i="3"/>
  <c r="J59" i="2"/>
  <c r="J57" i="2"/>
  <c r="J56" i="2"/>
  <c r="J53" i="2"/>
  <c r="J18" i="4"/>
  <c r="U130" i="2"/>
  <c r="J131" i="2"/>
  <c r="J135" i="2"/>
  <c r="J133" i="2"/>
  <c r="J134" i="2"/>
  <c r="J135" i="3"/>
  <c r="J133" i="3"/>
  <c r="J134" i="3"/>
  <c r="J114" i="3"/>
  <c r="J128" i="3"/>
  <c r="J108" i="3"/>
  <c r="J132" i="3"/>
  <c r="J116" i="3"/>
  <c r="J125" i="3"/>
  <c r="J118" i="3"/>
  <c r="U127" i="3"/>
  <c r="J121" i="3"/>
  <c r="J130" i="3"/>
  <c r="J131" i="3"/>
  <c r="J124" i="3"/>
  <c r="U128" i="4"/>
  <c r="J121" i="4"/>
  <c r="U123" i="4"/>
  <c r="J125" i="4"/>
  <c r="J119" i="4"/>
  <c r="J126" i="4"/>
  <c r="J120" i="4"/>
  <c r="J121" i="2"/>
  <c r="U129" i="2"/>
  <c r="J123" i="2"/>
  <c r="J127" i="2"/>
  <c r="J128" i="2"/>
  <c r="J17" i="4"/>
  <c r="J119" i="2"/>
  <c r="J119" i="3"/>
  <c r="U70" i="4"/>
  <c r="U118" i="4"/>
  <c r="J31" i="4"/>
  <c r="J47" i="4"/>
  <c r="J63" i="4"/>
  <c r="J79" i="4"/>
  <c r="J95" i="4"/>
  <c r="J111" i="4"/>
  <c r="J127" i="4"/>
  <c r="U102" i="4"/>
  <c r="J21" i="4"/>
  <c r="J37" i="4"/>
  <c r="J53" i="4"/>
  <c r="J69" i="4"/>
  <c r="J85" i="4"/>
  <c r="J101" i="4"/>
  <c r="J117" i="4"/>
  <c r="J133" i="4"/>
  <c r="U86" i="4"/>
  <c r="U134" i="4"/>
  <c r="U38" i="4"/>
  <c r="U54" i="4"/>
  <c r="J22" i="4"/>
  <c r="J135" i="4"/>
  <c r="U65" i="3"/>
  <c r="U129" i="3"/>
  <c r="U30" i="3"/>
  <c r="U46" i="3"/>
  <c r="U62" i="3"/>
  <c r="U94" i="3"/>
  <c r="U110" i="3"/>
  <c r="U126" i="3"/>
  <c r="U78" i="3"/>
  <c r="J26" i="3"/>
  <c r="J42" i="3"/>
  <c r="J58" i="3"/>
  <c r="J74" i="3"/>
  <c r="J90" i="3"/>
  <c r="J106" i="3"/>
  <c r="J122" i="3"/>
  <c r="U27" i="3"/>
  <c r="U97" i="3"/>
  <c r="J43" i="3"/>
  <c r="J59" i="3"/>
  <c r="J75" i="3"/>
  <c r="J91" i="3"/>
  <c r="J107" i="3"/>
  <c r="J123" i="3"/>
  <c r="J49" i="3"/>
  <c r="J81" i="3"/>
  <c r="J113" i="3"/>
  <c r="J24" i="3"/>
  <c r="J40" i="3"/>
  <c r="J56" i="3"/>
  <c r="J72" i="3"/>
  <c r="J88" i="3"/>
  <c r="J104" i="3"/>
  <c r="J120" i="3"/>
  <c r="J136" i="3"/>
  <c r="U110" i="2"/>
  <c r="U62" i="2"/>
  <c r="U30" i="2"/>
  <c r="U94" i="2"/>
  <c r="J28" i="2"/>
  <c r="J44" i="2"/>
  <c r="J60" i="2"/>
  <c r="J76" i="2"/>
  <c r="J92" i="2"/>
  <c r="J108" i="2"/>
  <c r="J124" i="2"/>
  <c r="J39" i="2"/>
  <c r="U46" i="2"/>
  <c r="U78" i="2"/>
  <c r="U126" i="2"/>
  <c r="J29" i="2"/>
  <c r="J45" i="2"/>
  <c r="J61" i="2"/>
  <c r="J77" i="2"/>
  <c r="J93" i="2"/>
  <c r="J109" i="2"/>
  <c r="J125" i="2"/>
  <c r="S136" i="1"/>
  <c r="U136" i="1" s="1"/>
  <c r="S135" i="1"/>
  <c r="U135" i="1" s="1"/>
  <c r="S134" i="1"/>
  <c r="U134" i="1" s="1"/>
  <c r="S133" i="1"/>
  <c r="U133" i="1" s="1"/>
  <c r="S132" i="1"/>
  <c r="U132" i="1" s="1"/>
  <c r="S131" i="1"/>
  <c r="J131" i="1" s="1"/>
  <c r="S130" i="1"/>
  <c r="U130" i="1" s="1"/>
  <c r="S129" i="1"/>
  <c r="U129" i="1" s="1"/>
  <c r="S128" i="1"/>
  <c r="J128" i="1" s="1"/>
  <c r="S127" i="1"/>
  <c r="J127" i="1" s="1"/>
  <c r="S126" i="1"/>
  <c r="J126" i="1" s="1"/>
  <c r="S125" i="1"/>
  <c r="U125" i="1" s="1"/>
  <c r="S124" i="1"/>
  <c r="U124" i="1" s="1"/>
  <c r="S123" i="1"/>
  <c r="U123" i="1" s="1"/>
  <c r="S122" i="1"/>
  <c r="U122" i="1" s="1"/>
  <c r="S121" i="1"/>
  <c r="U121" i="1" s="1"/>
  <c r="S120" i="1"/>
  <c r="U120" i="1" s="1"/>
  <c r="S119" i="1"/>
  <c r="J119" i="1" s="1"/>
  <c r="S118" i="1"/>
  <c r="U118" i="1" s="1"/>
  <c r="S117" i="1"/>
  <c r="U117" i="1" s="1"/>
  <c r="S116" i="1"/>
  <c r="J116" i="1" s="1"/>
  <c r="S115" i="1"/>
  <c r="J115" i="1" s="1"/>
  <c r="S114" i="1"/>
  <c r="J114" i="1" s="1"/>
  <c r="S113" i="1"/>
  <c r="U113" i="1" s="1"/>
  <c r="S112" i="1"/>
  <c r="U112" i="1" s="1"/>
  <c r="S111" i="1"/>
  <c r="U111" i="1" s="1"/>
  <c r="S110" i="1"/>
  <c r="U110" i="1" s="1"/>
  <c r="S109" i="1"/>
  <c r="U109" i="1" s="1"/>
  <c r="S108" i="1"/>
  <c r="U108" i="1" s="1"/>
  <c r="S107" i="1"/>
  <c r="U107" i="1" s="1"/>
  <c r="S106" i="1"/>
  <c r="U106" i="1" s="1"/>
  <c r="S105" i="1"/>
  <c r="U105" i="1" s="1"/>
  <c r="S104" i="1"/>
  <c r="U104" i="1" s="1"/>
  <c r="S103" i="1"/>
  <c r="J103" i="1" s="1"/>
  <c r="S102" i="1"/>
  <c r="J102" i="1" s="1"/>
  <c r="S101" i="1"/>
  <c r="U101" i="1" s="1"/>
  <c r="S100" i="1"/>
  <c r="U100" i="1" s="1"/>
  <c r="S99" i="1"/>
  <c r="U99" i="1" s="1"/>
  <c r="S98" i="1"/>
  <c r="U98" i="1" s="1"/>
  <c r="S97" i="1"/>
  <c r="J97" i="1" s="1"/>
  <c r="S96" i="1"/>
  <c r="U96" i="1" s="1"/>
  <c r="S95" i="1"/>
  <c r="J95" i="1" s="1"/>
  <c r="S94" i="1"/>
  <c r="U94" i="1" s="1"/>
  <c r="S93" i="1"/>
  <c r="U93" i="1" s="1"/>
  <c r="S92" i="1"/>
  <c r="J92" i="1" s="1"/>
  <c r="S91" i="1"/>
  <c r="U91" i="1" s="1"/>
  <c r="S90" i="1"/>
  <c r="J90" i="1" s="1"/>
  <c r="S89" i="1"/>
  <c r="U89" i="1" s="1"/>
  <c r="S88" i="1"/>
  <c r="U88" i="1" s="1"/>
  <c r="S87" i="1"/>
  <c r="U87" i="1" s="1"/>
  <c r="S86" i="1"/>
  <c r="U86" i="1" s="1"/>
  <c r="S85" i="1"/>
  <c r="U85" i="1" s="1"/>
  <c r="S84" i="1"/>
  <c r="U84" i="1" s="1"/>
  <c r="S83" i="1"/>
  <c r="U83" i="1" s="1"/>
  <c r="S82" i="1"/>
  <c r="U82" i="1" s="1"/>
  <c r="S81" i="1"/>
  <c r="U81" i="1" s="1"/>
  <c r="S80" i="1"/>
  <c r="J80" i="1" s="1"/>
  <c r="S79" i="1"/>
  <c r="U79" i="1" s="1"/>
  <c r="S78" i="1"/>
  <c r="U78" i="1" s="1"/>
  <c r="S77" i="1"/>
  <c r="U77" i="1" s="1"/>
  <c r="S76" i="1"/>
  <c r="U76" i="1" s="1"/>
  <c r="S75" i="1"/>
  <c r="U75" i="1" s="1"/>
  <c r="S74" i="1"/>
  <c r="U74" i="1" s="1"/>
  <c r="S73" i="1"/>
  <c r="J73" i="1" s="1"/>
  <c r="S72" i="1"/>
  <c r="U72" i="1" s="1"/>
  <c r="S71" i="1"/>
  <c r="J71" i="1" s="1"/>
  <c r="S70" i="1"/>
  <c r="U70" i="1" s="1"/>
  <c r="S69" i="1"/>
  <c r="U69" i="1" s="1"/>
  <c r="S68" i="1"/>
  <c r="J68" i="1" s="1"/>
  <c r="S67" i="1"/>
  <c r="U67" i="1" s="1"/>
  <c r="S66" i="1"/>
  <c r="J66" i="1" s="1"/>
  <c r="S65" i="1"/>
  <c r="U65" i="1" s="1"/>
  <c r="S64" i="1"/>
  <c r="U64" i="1" s="1"/>
  <c r="S63" i="1"/>
  <c r="U63" i="1" s="1"/>
  <c r="S62" i="1"/>
  <c r="U62" i="1" s="1"/>
  <c r="S61" i="1"/>
  <c r="J61" i="1" s="1"/>
  <c r="S60" i="1"/>
  <c r="U60" i="1" s="1"/>
  <c r="S59" i="1"/>
  <c r="U59" i="1" s="1"/>
  <c r="S58" i="1"/>
  <c r="U58" i="1" s="1"/>
  <c r="S57" i="1"/>
  <c r="U57" i="1" s="1"/>
  <c r="S56" i="1"/>
  <c r="J56" i="1" s="1"/>
  <c r="S55" i="1"/>
  <c r="U55" i="1" s="1"/>
  <c r="S54" i="1"/>
  <c r="U54" i="1" s="1"/>
  <c r="S53" i="1"/>
  <c r="U53" i="1" s="1"/>
  <c r="S52" i="1"/>
  <c r="U52" i="1" s="1"/>
  <c r="S51" i="1"/>
  <c r="U51" i="1" s="1"/>
  <c r="S50" i="1"/>
  <c r="U50" i="1" s="1"/>
  <c r="S49" i="1"/>
  <c r="J49" i="1" s="1"/>
  <c r="S48" i="1"/>
  <c r="U48" i="1" s="1"/>
  <c r="S47" i="1"/>
  <c r="U47" i="1" s="1"/>
  <c r="S46" i="1"/>
  <c r="U46" i="1" s="1"/>
  <c r="S45" i="1"/>
  <c r="U45" i="1" s="1"/>
  <c r="S44" i="1"/>
  <c r="J44" i="1" s="1"/>
  <c r="S43" i="1"/>
  <c r="U43" i="1" s="1"/>
  <c r="S42" i="1"/>
  <c r="J42" i="1" s="1"/>
  <c r="S41" i="1"/>
  <c r="U41" i="1" s="1"/>
  <c r="S40" i="1"/>
  <c r="U40" i="1" s="1"/>
  <c r="S39" i="1"/>
  <c r="U39" i="1" s="1"/>
  <c r="S38" i="1"/>
  <c r="U38" i="1" s="1"/>
  <c r="S37" i="1"/>
  <c r="U37" i="1" s="1"/>
  <c r="S36" i="1"/>
  <c r="U36" i="1" s="1"/>
  <c r="S35" i="1"/>
  <c r="U35" i="1" s="1"/>
  <c r="S34" i="1"/>
  <c r="J34" i="1" s="1"/>
  <c r="S33" i="1"/>
  <c r="U33" i="1" s="1"/>
  <c r="S32" i="1"/>
  <c r="U32" i="1" s="1"/>
  <c r="S31" i="1"/>
  <c r="U31" i="1" s="1"/>
  <c r="S30" i="1"/>
  <c r="J30" i="1" s="1"/>
  <c r="S29" i="1"/>
  <c r="U29" i="1" s="1"/>
  <c r="S28" i="1"/>
  <c r="J28" i="1" s="1"/>
  <c r="S27" i="1"/>
  <c r="U27" i="1" s="1"/>
  <c r="S26" i="1"/>
  <c r="U26" i="1" s="1"/>
  <c r="S25" i="1"/>
  <c r="U25" i="1" s="1"/>
  <c r="S24" i="1"/>
  <c r="U24" i="1" s="1"/>
  <c r="S23" i="1"/>
  <c r="J23" i="1" s="1"/>
  <c r="J22" i="1"/>
  <c r="S21" i="1"/>
  <c r="U21" i="1" s="1"/>
  <c r="S20" i="1"/>
  <c r="J20" i="1" s="1"/>
  <c r="S19" i="1"/>
  <c r="J19" i="1" s="1"/>
  <c r="S18" i="1"/>
  <c r="U18" i="1" s="1"/>
  <c r="S17" i="1"/>
  <c r="U17" i="1" s="1"/>
  <c r="J74" i="1" l="1"/>
  <c r="J38" i="1"/>
  <c r="J39" i="1"/>
  <c r="J55" i="1"/>
  <c r="J84" i="1"/>
  <c r="J87" i="1"/>
  <c r="J100" i="1"/>
  <c r="J40" i="1"/>
  <c r="J41" i="1"/>
  <c r="J88" i="1"/>
  <c r="J52" i="1"/>
  <c r="J89" i="1"/>
  <c r="J54" i="1"/>
  <c r="J57" i="1"/>
  <c r="J58" i="1"/>
  <c r="J104" i="1"/>
  <c r="J105" i="1"/>
  <c r="J24" i="1"/>
  <c r="J70" i="1"/>
  <c r="J106" i="1"/>
  <c r="J25" i="1"/>
  <c r="J120" i="1"/>
  <c r="J118" i="1"/>
  <c r="J26" i="1"/>
  <c r="J72" i="1"/>
  <c r="J36" i="1"/>
  <c r="J122" i="1"/>
  <c r="J86" i="1"/>
  <c r="J129" i="1"/>
  <c r="J27" i="1"/>
  <c r="J130" i="1"/>
  <c r="J59" i="1"/>
  <c r="J17" i="1"/>
  <c r="J33" i="1"/>
  <c r="J65" i="1"/>
  <c r="J81" i="1"/>
  <c r="J113" i="1"/>
  <c r="J18" i="1"/>
  <c r="J50" i="1"/>
  <c r="J82" i="1"/>
  <c r="J98" i="1"/>
  <c r="J35" i="1"/>
  <c r="J51" i="1"/>
  <c r="J67" i="1"/>
  <c r="J83" i="1"/>
  <c r="J99" i="1"/>
  <c r="J132" i="1"/>
  <c r="J21" i="1"/>
  <c r="J37" i="1"/>
  <c r="J53" i="1"/>
  <c r="J69" i="1"/>
  <c r="J85" i="1"/>
  <c r="J101" i="1"/>
  <c r="J117" i="1"/>
  <c r="J133" i="1"/>
  <c r="J134" i="1"/>
  <c r="J135" i="1"/>
  <c r="J136" i="1"/>
  <c r="J121" i="1"/>
  <c r="J124" i="1"/>
  <c r="J60" i="1"/>
  <c r="J76" i="1"/>
  <c r="J108" i="1"/>
  <c r="J29" i="1"/>
  <c r="J45" i="1"/>
  <c r="J77" i="1"/>
  <c r="J93" i="1"/>
  <c r="J109" i="1"/>
  <c r="J125" i="1"/>
  <c r="J43" i="1"/>
  <c r="J75" i="1"/>
  <c r="J91" i="1"/>
  <c r="J107" i="1"/>
  <c r="J123" i="1"/>
  <c r="J46" i="1"/>
  <c r="J62" i="1"/>
  <c r="J78" i="1"/>
  <c r="J94" i="1"/>
  <c r="J110" i="1"/>
  <c r="J31" i="1"/>
  <c r="J47" i="1"/>
  <c r="J63" i="1"/>
  <c r="J79" i="1"/>
  <c r="J111" i="1"/>
  <c r="J32" i="1"/>
  <c r="J48" i="1"/>
  <c r="J64" i="1"/>
  <c r="J96" i="1"/>
  <c r="J112" i="1"/>
  <c r="U131" i="1"/>
  <c r="U49" i="1"/>
  <c r="U61" i="1"/>
  <c r="U71" i="1"/>
  <c r="U127" i="1"/>
  <c r="U80" i="1"/>
  <c r="U97" i="1"/>
  <c r="U95" i="1"/>
  <c r="U103" i="1"/>
  <c r="U119" i="1"/>
  <c r="U128" i="1"/>
  <c r="U73" i="1"/>
  <c r="U28" i="1"/>
  <c r="U115" i="1"/>
  <c r="U22" i="1"/>
  <c r="U20" i="1"/>
  <c r="U126" i="1"/>
  <c r="U114" i="1"/>
  <c r="U116" i="1"/>
  <c r="U102" i="1"/>
  <c r="U90" i="1"/>
  <c r="U92" i="1"/>
  <c r="U66" i="1"/>
  <c r="U68" i="1"/>
  <c r="U56" i="1"/>
  <c r="U42" i="1"/>
  <c r="U44" i="1"/>
  <c r="U30" i="1"/>
  <c r="U34" i="1"/>
  <c r="U19" i="1"/>
  <c r="U23" i="1"/>
</calcChain>
</file>

<file path=xl/sharedStrings.xml><?xml version="1.0" encoding="utf-8"?>
<sst xmlns="http://schemas.openxmlformats.org/spreadsheetml/2006/main" count="3108" uniqueCount="112">
  <si>
    <t>작업조</t>
  </si>
  <si>
    <t>작업자명</t>
  </si>
  <si>
    <t>불량유형</t>
  </si>
  <si>
    <t>손실금액(VND)</t>
  </si>
  <si>
    <t>스크래치</t>
  </si>
  <si>
    <t>오염</t>
  </si>
  <si>
    <t>일자</t>
  </si>
  <si>
    <t>TIME</t>
  </si>
  <si>
    <t>사출기</t>
  </si>
  <si>
    <t>1호기(ENGEL)</t>
  </si>
  <si>
    <t>2호기(ENGEL)</t>
  </si>
  <si>
    <t>3호기(우진)</t>
  </si>
  <si>
    <t>4호기(우진)</t>
  </si>
  <si>
    <t>가동</t>
  </si>
  <si>
    <t>1 호기(ENGEL)</t>
  </si>
  <si>
    <t>2 호기(ENGEL)</t>
  </si>
  <si>
    <t>3 호기(우진)</t>
  </si>
  <si>
    <t>4 호기(우진)</t>
  </si>
  <si>
    <t>-</t>
  </si>
  <si>
    <t>흑점</t>
  </si>
  <si>
    <t>기타</t>
  </si>
  <si>
    <t>색상차이</t>
  </si>
  <si>
    <t>조건 조정</t>
  </si>
  <si>
    <t>시작불량</t>
  </si>
  <si>
    <t>합계</t>
  </si>
  <si>
    <t>개당 금액</t>
  </si>
  <si>
    <t>양품 수량</t>
  </si>
  <si>
    <t>불량율</t>
  </si>
  <si>
    <t>A조</t>
  </si>
  <si>
    <t>B조</t>
  </si>
  <si>
    <t>구분</t>
  </si>
  <si>
    <t>■사출기 불량 실적 현황</t>
  </si>
  <si>
    <t>비고</t>
  </si>
  <si>
    <t xml:space="preserve">3. 사출 실적 현황 </t>
  </si>
  <si>
    <t>설비수리</t>
  </si>
  <si>
    <t>계획정지</t>
  </si>
  <si>
    <t>금형 청소</t>
  </si>
  <si>
    <t>기종</t>
  </si>
  <si>
    <t>T50 LIGHT</t>
    <phoneticPr fontId="3" type="noConversion"/>
  </si>
  <si>
    <t>S51</t>
    <phoneticPr fontId="3" type="noConversion"/>
  </si>
  <si>
    <t>ARM FARAME(WW)</t>
  </si>
  <si>
    <t>ARM FARAME(BK)</t>
  </si>
  <si>
    <t>690 base  flat (WW)</t>
  </si>
  <si>
    <t>690 base  flat (BK)</t>
  </si>
  <si>
    <t>690 FR (BK)</t>
  </si>
  <si>
    <t>690 FR (IG)</t>
  </si>
  <si>
    <t>690 FR (WW)</t>
  </si>
  <si>
    <t>T50 2PCS (BK)</t>
  </si>
  <si>
    <t>T50 2PCS (WW)</t>
  </si>
  <si>
    <t>T20 iloom (WW)</t>
  </si>
  <si>
    <t>T20 iloom (BK)</t>
  </si>
  <si>
    <t>T20 Fursys (WW)</t>
  </si>
  <si>
    <t>T20 Fursys  (BK)</t>
  </si>
  <si>
    <t>T20  SIDIZ (WW)</t>
  </si>
  <si>
    <t>T20 SIDIZ (BK)</t>
  </si>
  <si>
    <t>TC14 (BK)</t>
  </si>
  <si>
    <t>TC14 (WW)</t>
  </si>
  <si>
    <t>690 M (WW)</t>
  </si>
  <si>
    <t>690 M (BK)</t>
  </si>
  <si>
    <t>T40 (BK)</t>
  </si>
  <si>
    <t>T40 (WW)</t>
  </si>
  <si>
    <t>생산 기종</t>
  </si>
  <si>
    <t>Tên model</t>
  </si>
  <si>
    <t>Theo tổ</t>
  </si>
  <si>
    <t>Công nhân</t>
  </si>
  <si>
    <t>Hàng đạt</t>
  </si>
  <si>
    <t>Vết xước</t>
  </si>
  <si>
    <t>Bị bẩn</t>
  </si>
  <si>
    <t>Chấm đen</t>
  </si>
  <si>
    <t>GAS</t>
  </si>
  <si>
    <t>Lệch màu</t>
  </si>
  <si>
    <t>Chỉnh 
điều kiện</t>
  </si>
  <si>
    <t>Lỗi 
khởi động</t>
  </si>
  <si>
    <t>Khác</t>
  </si>
  <si>
    <t>DANH THÀNH</t>
  </si>
  <si>
    <t>TRẦN CÔNG DANH</t>
  </si>
  <si>
    <t>TÔ NHẬT HÀO</t>
  </si>
  <si>
    <t>NGUYỄN LAM MINH (Nữ)</t>
  </si>
  <si>
    <t>TRỊNH THANH TIỀN (Nữ)</t>
  </si>
  <si>
    <t xml:space="preserve">THÁI VĂN THÁNH </t>
  </si>
  <si>
    <t>LÊ CHÍ BẢO</t>
  </si>
  <si>
    <t>ĐÀO QUỐC SỮ</t>
  </si>
  <si>
    <t>HUỲNH MINH THƯ</t>
  </si>
  <si>
    <t>VÕ VĂN THUẬN</t>
  </si>
  <si>
    <t>HUỲNH VĂN PHƯỚC</t>
  </si>
  <si>
    <t>HUỲNH VĂN ĐÔ</t>
  </si>
  <si>
    <t>VÕ NHƯ THUẦN</t>
  </si>
  <si>
    <t>NGUYỄN CHÍ PHÚC</t>
  </si>
  <si>
    <t>NGUYỄN NGỌC SƠN</t>
  </si>
  <si>
    <t>← 해당 색상 서식 외에는 절대 수정하지 마십시오.</t>
  </si>
  <si>
    <t xml:space="preserve">     ( Vui lòng không chỉnh sửa các nội dung ngoài định dạng màu sắc đã quy định)</t>
  </si>
  <si>
    <t xml:space="preserve"> ← 오전 10시 기준 가동 현황 기준 작성 할것.</t>
  </si>
  <si>
    <r>
      <rPr>
        <b/>
        <sz val="18"/>
        <color theme="1"/>
        <rFont val="조선굴림체"/>
        <family val="1"/>
        <charset val="129"/>
      </rPr>
      <t>1. 실시간 가동 현황</t>
    </r>
    <r>
      <rPr>
        <sz val="16"/>
        <color theme="1"/>
        <rFont val="조선굴림체"/>
        <family val="1"/>
        <charset val="129"/>
      </rPr>
      <t xml:space="preserve"> </t>
    </r>
  </si>
  <si>
    <t>2. 작업자 명단</t>
  </si>
  <si>
    <t xml:space="preserve">    (Lập báo cáo theo tình hình vận hành tại thời điểm 10 giờ sáng.)</t>
  </si>
  <si>
    <r>
      <t>※  조별 인원 변경 또는 신입사원 추가 시, 변경된 명단을 반영하여 등록</t>
    </r>
    <r>
      <rPr>
        <b/>
        <sz val="16"/>
        <color rgb="FFFF0000"/>
        <rFont val="조선굴림체"/>
        <family val="1"/>
        <charset val="129"/>
      </rPr>
      <t xml:space="preserve"> </t>
    </r>
    <r>
      <rPr>
        <sz val="16"/>
        <color rgb="FFFF0000"/>
        <rFont val="조선굴림체"/>
        <family val="1"/>
        <charset val="129"/>
      </rPr>
      <t>(Khi có thay đổi nhân sự theo tổ hoặc bổ sung nhân viên mới, vui lòng cập nhật và đăng ký theo danh sách đã điều chỉnh.)</t>
    </r>
  </si>
  <si>
    <t>수정 가능</t>
  </si>
  <si>
    <t xml:space="preserve">[작성: Diem 사원 ] </t>
  </si>
  <si>
    <t>LÂM THANH MINH</t>
  </si>
  <si>
    <t>T50 LIGHT</t>
  </si>
  <si>
    <t>S51</t>
  </si>
  <si>
    <t>A조
(NGUYỄN)</t>
  </si>
  <si>
    <t>B조
(NGỌC)</t>
  </si>
  <si>
    <t>NGUYỄN THANH VŨ</t>
  </si>
  <si>
    <t>ĐẶNG THANH PHONG</t>
  </si>
  <si>
    <t>ĐINH LÂM HÙNG</t>
  </si>
  <si>
    <t>LÊ VŨ LUÂN</t>
  </si>
  <si>
    <t>NGÔ ĐỨC DUY</t>
  </si>
  <si>
    <t>HUỲNH DUY KHÁNH</t>
  </si>
  <si>
    <t>TRƯƠNG THẾ KHANH</t>
  </si>
  <si>
    <t>NGUYỄN LAM MINH</t>
  </si>
  <si>
    <t>TRỊNH THANH TIỀN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</si>
</sst>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27">
    <font>
      <sz val="11"/>
      <color theme="1"/>
      <name val="Calibri"/>
      <family val="2"/>
      <scheme val="minor"/>
    </font>
    <font>
      <sz val="8"/>
      <name val="Calibri"/>
      <family val="2"/>
      <scheme val="minor"/>
    </font>
    <font>
      <sz val="14"/>
      <color theme="1"/>
      <name val="Calibri"/>
      <family val="2"/>
      <scheme val="minor"/>
    </font>
    <font>
      <sz val="11"/>
      <color theme="1"/>
      <name val="Calibri"/>
      <family val="2"/>
      <scheme val="minor"/>
    </font>
    <font>
      <sz val="11"/>
      <color theme="1"/>
      <name val="조선굴림체"/>
      <family val="1"/>
      <charset val="129"/>
    </font>
    <font>
      <b/>
      <sz val="11"/>
      <color theme="1"/>
      <name val="조선굴림체"/>
      <family val="1"/>
      <charset val="129"/>
    </font>
    <font>
      <sz val="12"/>
      <color rgb="FF31333F"/>
      <name val="조선굴림체"/>
      <family val="1"/>
      <charset val="129"/>
    </font>
    <font>
      <b/>
      <sz val="14"/>
      <color rgb="FF31333F"/>
      <name val="조선굴림체"/>
      <family val="1"/>
      <charset val="129"/>
    </font>
    <font>
      <sz val="14"/>
      <color theme="1"/>
      <name val="조선굴림체"/>
      <family val="1"/>
      <charset val="129"/>
    </font>
    <font>
      <sz val="14"/>
      <color rgb="FF31333F"/>
      <name val="조선굴림체"/>
      <family val="1"/>
      <charset val="129"/>
    </font>
    <font>
      <b/>
      <sz val="14"/>
      <color rgb="FF1F1F1F"/>
      <name val="조선굴림체"/>
      <family val="1"/>
      <charset val="129"/>
    </font>
    <font>
      <sz val="14"/>
      <color rgb="FF1F1F1F"/>
      <name val="조선굴림체"/>
      <family val="1"/>
      <charset val="129"/>
    </font>
    <font>
      <sz val="14"/>
      <color theme="0" tint="-0.34998626667073579"/>
      <name val="조선굴림체"/>
      <family val="1"/>
      <charset val="129"/>
    </font>
    <font>
      <b/>
      <sz val="28"/>
      <color theme="1"/>
      <name val="조선굴림체"/>
      <family val="1"/>
      <charset val="129"/>
    </font>
    <font>
      <b/>
      <sz val="14"/>
      <color rgb="FFFF0000"/>
      <name val="조선굴림체"/>
      <family val="1"/>
      <charset val="129"/>
    </font>
    <font>
      <b/>
      <sz val="14"/>
      <color theme="0"/>
      <name val="조선굴림체"/>
      <family val="1"/>
      <charset val="129"/>
    </font>
    <font>
      <sz val="16"/>
      <color theme="1"/>
      <name val="조선굴림체"/>
      <family val="1"/>
      <charset val="129"/>
    </font>
    <font>
      <sz val="18"/>
      <color theme="1"/>
      <name val="조선굴림체"/>
      <family val="1"/>
      <charset val="129"/>
    </font>
    <font>
      <b/>
      <sz val="18"/>
      <color theme="1"/>
      <name val="조선굴림체"/>
      <family val="1"/>
      <charset val="129"/>
    </font>
    <font>
      <sz val="16"/>
      <color rgb="FFFF0000"/>
      <name val="조선굴림체"/>
      <family val="1"/>
      <charset val="129"/>
    </font>
    <font>
      <b/>
      <sz val="14"/>
      <color theme="0"/>
      <name val="Calibri"/>
      <family val="2"/>
      <charset val="129"/>
      <scheme val="minor"/>
    </font>
    <font>
      <b/>
      <sz val="14"/>
      <color theme="0"/>
      <name val="Arial"/>
      <family val="2"/>
      <charset val="129"/>
    </font>
    <font>
      <sz val="14"/>
      <color theme="0"/>
      <name val="조선굴림체"/>
      <family val="1"/>
      <charset val="129"/>
    </font>
    <font>
      <sz val="14"/>
      <color theme="1"/>
      <name val="Calibri Light"/>
      <family val="2"/>
      <scheme val="major"/>
    </font>
    <font>
      <sz val="14"/>
      <color rgb="FF31333F"/>
      <name val="Calibri"/>
      <family val="2"/>
      <scheme val="minor"/>
    </font>
    <font>
      <b/>
      <sz val="16"/>
      <color rgb="FFFF0000"/>
      <name val="조선굴림체"/>
      <family val="1"/>
      <charset val="129"/>
    </font>
    <font>
      <b/>
      <sz val="14"/>
      <color theme="1" tint="0.499984740745262"/>
      <name val="조선굴림체"/>
      <family val="1"/>
      <charset val="129"/>
    </font>
  </fonts>
  <fills count="7">
    <fill>
      <patternFill patternType="none"/>
    </fill>
    <fill>
      <patternFill patternType="gray125"/>
    </fill>
    <fill>
      <patternFill patternType="solid">
        <fgColor theme="0"/>
        <bgColor indexed="64"/>
      </patternFill>
    </fill>
    <fill>
      <patternFill patternType="solid">
        <fgColor theme="4" tint="-0.499984740745262"/>
        <bgColor indexed="64"/>
      </patternFill>
    </fill>
    <fill>
      <patternFill patternType="solid">
        <fgColor rgb="FFFFFF00"/>
        <bgColor indexed="64"/>
      </patternFill>
    </fill>
    <fill>
      <patternFill patternType="solid">
        <fgColor theme="9" tint="0.79998168889431442"/>
        <bgColor indexed="64"/>
      </patternFill>
    </fill>
    <fill>
      <patternFill patternType="solid">
        <fgColor theme="7" tint="0.79998168889431442"/>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style="hair">
        <color rgb="FF000000"/>
      </top>
      <bottom/>
      <diagonal/>
    </border>
    <border>
      <left style="thin">
        <color rgb="FF000000"/>
      </left>
      <right style="thin">
        <color rgb="FF000000"/>
      </right>
      <top style="hair">
        <color rgb="FF000000"/>
      </top>
      <bottom style="thin">
        <color rgb="FF000000"/>
      </bottom>
      <diagonal/>
    </border>
    <border>
      <left style="thin">
        <color rgb="FF000000"/>
      </left>
      <right style="thin">
        <color rgb="FF000000"/>
      </right>
      <top style="thin">
        <color rgb="FF000000"/>
      </top>
      <bottom style="hair">
        <color rgb="FF000000"/>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bottom style="thin">
        <color rgb="FF000000"/>
      </bottom>
      <diagonal/>
    </border>
    <border>
      <left style="thin">
        <color theme="1" tint="0.499984740745262"/>
      </left>
      <right/>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hair">
        <color theme="1" tint="0.34998626667073579"/>
      </bottom>
      <diagonal/>
    </border>
    <border>
      <left style="thin">
        <color theme="1" tint="0.34998626667073579"/>
      </left>
      <right style="thin">
        <color theme="1" tint="0.34998626667073579"/>
      </right>
      <top style="hair">
        <color theme="1" tint="0.34998626667073579"/>
      </top>
      <bottom style="thin">
        <color theme="1" tint="0.34998626667073579"/>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thin">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style="hair">
        <color rgb="FF000000"/>
      </top>
      <bottom style="thin">
        <color rgb="FF000000"/>
      </bottom>
      <diagonal/>
    </border>
    <border>
      <left/>
      <right style="thin">
        <color rgb="FF000000"/>
      </right>
      <top style="hair">
        <color rgb="FF000000"/>
      </top>
      <bottom style="thin">
        <color rgb="FF000000"/>
      </bottom>
      <diagonal/>
    </border>
    <border>
      <left style="thin">
        <color indexed="64"/>
      </left>
      <right/>
      <top/>
      <bottom/>
      <diagonal/>
    </border>
    <border>
      <left/>
      <right/>
      <top style="thin">
        <color theme="1" tint="0.34998626667073579"/>
      </top>
      <bottom/>
      <diagonal/>
    </border>
    <border>
      <left style="thin">
        <color rgb="FF000000"/>
      </left>
      <right/>
      <top style="thin">
        <color rgb="FF000000"/>
      </top>
      <bottom style="dashed">
        <color rgb="FF000000"/>
      </bottom>
      <diagonal/>
    </border>
    <border>
      <left/>
      <right style="thin">
        <color rgb="FF000000"/>
      </right>
      <top style="thin">
        <color rgb="FF000000"/>
      </top>
      <bottom style="dashed">
        <color rgb="FF000000"/>
      </bottom>
      <diagonal/>
    </border>
    <border>
      <left style="thin">
        <color rgb="FF000000"/>
      </left>
      <right/>
      <top style="dashed">
        <color rgb="FF000000"/>
      </top>
      <bottom style="dashed">
        <color rgb="FF000000"/>
      </bottom>
      <diagonal/>
    </border>
    <border>
      <left/>
      <right style="thin">
        <color rgb="FF000000"/>
      </right>
      <top style="dashed">
        <color rgb="FF000000"/>
      </top>
      <bottom style="dashed">
        <color rgb="FF000000"/>
      </bottom>
      <diagonal/>
    </border>
    <border>
      <left style="thin">
        <color rgb="FF000000"/>
      </left>
      <right/>
      <top style="dashed">
        <color rgb="FF000000"/>
      </top>
      <bottom style="thin">
        <color rgb="FF000000"/>
      </bottom>
      <diagonal/>
    </border>
    <border>
      <left/>
      <right style="thin">
        <color rgb="FF000000"/>
      </right>
      <top style="dashed">
        <color rgb="FF000000"/>
      </top>
      <bottom style="thin">
        <color rgb="FF000000"/>
      </bottom>
      <diagonal/>
    </border>
    <border>
      <left style="thin">
        <color rgb="FF000000"/>
      </left>
      <right style="thin">
        <color rgb="FF000000"/>
      </right>
      <top style="thin">
        <color rgb="FF000000"/>
      </top>
      <bottom style="dashed">
        <color rgb="FF000000"/>
      </bottom>
      <diagonal/>
    </border>
    <border>
      <left style="thin">
        <color rgb="FF000000"/>
      </left>
      <right style="thin">
        <color rgb="FF000000"/>
      </right>
      <top style="dashed">
        <color rgb="FF000000"/>
      </top>
      <bottom style="dashed">
        <color rgb="FF000000"/>
      </bottom>
      <diagonal/>
    </border>
    <border>
      <left style="thin">
        <color rgb="FF000000"/>
      </left>
      <right style="thin">
        <color rgb="FF000000"/>
      </right>
      <top style="dashed">
        <color rgb="FF000000"/>
      </top>
      <bottom style="thin">
        <color rgb="FF000000"/>
      </bottom>
      <diagonal/>
    </border>
  </borders>
  <cellStyleXfs count="3">
    <xf numFmtId="0" fontId="0" fillId="0" borderId="0"/>
    <xf numFmtId="164" fontId="3" fillId="0" borderId="0" applyFont="0" applyFill="0" applyBorder="0" applyAlignment="0" applyProtection="0"/>
    <xf numFmtId="9" fontId="3" fillId="0" borderId="0" applyFont="0" applyFill="0" applyBorder="0" applyAlignment="0" applyProtection="0"/>
  </cellStyleXfs>
  <cellXfs count="101">
    <xf numFmtId="0" fontId="0" fillId="0" borderId="0" xfId="0"/>
    <xf numFmtId="0" fontId="4" fillId="2" borderId="0" xfId="0" applyFont="1" applyFill="1" applyAlignment="1">
      <alignment horizontal="center" vertical="center"/>
    </xf>
    <xf numFmtId="0" fontId="5" fillId="2" borderId="0" xfId="0" applyFont="1" applyFill="1" applyAlignment="1">
      <alignment horizontal="center" vertical="center"/>
    </xf>
    <xf numFmtId="0" fontId="6" fillId="2" borderId="0" xfId="0" applyFont="1" applyFill="1" applyAlignment="1">
      <alignment horizontal="center" vertical="center" wrapText="1"/>
    </xf>
    <xf numFmtId="0" fontId="8" fillId="2" borderId="0" xfId="0" applyFont="1" applyFill="1" applyAlignment="1">
      <alignment horizontal="center" vertical="center"/>
    </xf>
    <xf numFmtId="20" fontId="11" fillId="2" borderId="11" xfId="0" applyNumberFormat="1" applyFont="1" applyFill="1" applyBorder="1" applyAlignment="1">
      <alignment horizontal="center" vertical="center" wrapText="1" readingOrder="1"/>
    </xf>
    <xf numFmtId="9" fontId="11" fillId="2" borderId="11" xfId="2" applyFont="1" applyFill="1" applyBorder="1" applyAlignment="1">
      <alignment horizontal="center" vertical="center" wrapText="1" readingOrder="1"/>
    </xf>
    <xf numFmtId="164" fontId="11" fillId="2" borderId="11" xfId="1" applyFont="1" applyFill="1" applyBorder="1" applyAlignment="1">
      <alignment horizontal="center" vertical="center" wrapText="1" readingOrder="1"/>
    </xf>
    <xf numFmtId="20" fontId="11" fillId="2" borderId="8" xfId="0" applyNumberFormat="1" applyFont="1" applyFill="1" applyBorder="1" applyAlignment="1">
      <alignment horizontal="center" vertical="center" wrapText="1" readingOrder="1"/>
    </xf>
    <xf numFmtId="9" fontId="11" fillId="2" borderId="8" xfId="2" applyFont="1" applyFill="1" applyBorder="1" applyAlignment="1">
      <alignment horizontal="center" vertical="center" wrapText="1" readingOrder="1"/>
    </xf>
    <xf numFmtId="164" fontId="11" fillId="2" borderId="8" xfId="1" applyFont="1" applyFill="1" applyBorder="1" applyAlignment="1">
      <alignment horizontal="center" vertical="center" wrapText="1" readingOrder="1"/>
    </xf>
    <xf numFmtId="0" fontId="12" fillId="2" borderId="0" xfId="0" applyFont="1" applyFill="1" applyAlignment="1">
      <alignment horizontal="center" vertical="center"/>
    </xf>
    <xf numFmtId="20" fontId="11" fillId="2" borderId="9" xfId="0" applyNumberFormat="1" applyFont="1" applyFill="1" applyBorder="1" applyAlignment="1">
      <alignment horizontal="center" vertical="center" wrapText="1" readingOrder="1"/>
    </xf>
    <xf numFmtId="164" fontId="11" fillId="2" borderId="9" xfId="1" applyFont="1" applyFill="1" applyBorder="1" applyAlignment="1">
      <alignment horizontal="center" vertical="center" wrapText="1" readingOrder="1"/>
    </xf>
    <xf numFmtId="20" fontId="11" fillId="2" borderId="10" xfId="0" applyNumberFormat="1" applyFont="1" applyFill="1" applyBorder="1" applyAlignment="1">
      <alignment horizontal="center" vertical="center" wrapText="1" readingOrder="1"/>
    </xf>
    <xf numFmtId="9" fontId="11" fillId="2" borderId="10" xfId="2" applyFont="1" applyFill="1" applyBorder="1" applyAlignment="1">
      <alignment horizontal="center" vertical="center" wrapText="1" readingOrder="1"/>
    </xf>
    <xf numFmtId="164" fontId="11" fillId="2" borderId="10" xfId="1" applyFont="1" applyFill="1" applyBorder="1" applyAlignment="1">
      <alignment horizontal="center" vertical="center" wrapText="1" readingOrder="1"/>
    </xf>
    <xf numFmtId="0" fontId="9" fillId="2" borderId="12" xfId="0" applyFont="1" applyFill="1" applyBorder="1" applyAlignment="1">
      <alignment horizontal="center" vertical="center" wrapText="1"/>
    </xf>
    <xf numFmtId="0" fontId="13" fillId="2" borderId="0" xfId="0" applyFont="1" applyFill="1" applyAlignment="1">
      <alignment horizontal="left" vertical="center"/>
    </xf>
    <xf numFmtId="0" fontId="20" fillId="3" borderId="15" xfId="0" applyFont="1" applyFill="1" applyBorder="1" applyAlignment="1">
      <alignment horizontal="center"/>
    </xf>
    <xf numFmtId="0" fontId="21" fillId="3" borderId="15" xfId="0" applyFont="1" applyFill="1" applyBorder="1" applyAlignment="1">
      <alignment horizontal="center" wrapText="1"/>
    </xf>
    <xf numFmtId="0" fontId="22" fillId="3" borderId="1" xfId="0" applyFont="1" applyFill="1" applyBorder="1" applyAlignment="1">
      <alignment horizontal="center" vertical="center"/>
    </xf>
    <xf numFmtId="164" fontId="22" fillId="3" borderId="1" xfId="1" applyFont="1" applyFill="1" applyBorder="1" applyAlignment="1">
      <alignment horizontal="center" vertical="center" wrapText="1" readingOrder="1"/>
    </xf>
    <xf numFmtId="0" fontId="15" fillId="3" borderId="1" xfId="0" applyFont="1" applyFill="1" applyBorder="1" applyAlignment="1">
      <alignment horizontal="center" vertical="center" wrapText="1" readingOrder="1"/>
    </xf>
    <xf numFmtId="0" fontId="4" fillId="2" borderId="0" xfId="0" applyFont="1" applyFill="1" applyAlignment="1">
      <alignment vertical="center"/>
    </xf>
    <xf numFmtId="0" fontId="4" fillId="2" borderId="13" xfId="0" applyFont="1" applyFill="1" applyBorder="1" applyAlignment="1">
      <alignment vertical="center"/>
    </xf>
    <xf numFmtId="0" fontId="18" fillId="2" borderId="13" xfId="0" applyFont="1" applyFill="1" applyBorder="1" applyAlignment="1">
      <alignment vertical="center"/>
    </xf>
    <xf numFmtId="0" fontId="4" fillId="2" borderId="0" xfId="0" applyFont="1" applyFill="1" applyAlignment="1">
      <alignment horizontal="center"/>
    </xf>
    <xf numFmtId="0" fontId="4" fillId="4" borderId="0" xfId="0" applyFont="1" applyFill="1" applyAlignment="1">
      <alignment horizontal="center" vertical="center"/>
    </xf>
    <xf numFmtId="0" fontId="2" fillId="2" borderId="16" xfId="0" applyFont="1" applyFill="1" applyBorder="1" applyAlignment="1">
      <alignment horizontal="center" vertical="center"/>
    </xf>
    <xf numFmtId="0" fontId="2" fillId="2" borderId="17" xfId="0" applyFont="1" applyFill="1" applyBorder="1" applyAlignment="1">
      <alignment horizontal="center" vertical="center"/>
    </xf>
    <xf numFmtId="0" fontId="2" fillId="5" borderId="16" xfId="0" applyFont="1" applyFill="1" applyBorder="1" applyAlignment="1">
      <alignment horizontal="center" vertical="center"/>
    </xf>
    <xf numFmtId="0" fontId="24" fillId="5" borderId="16" xfId="0" applyFont="1" applyFill="1" applyBorder="1" applyAlignment="1">
      <alignment horizontal="center" vertical="center"/>
    </xf>
    <xf numFmtId="0" fontId="2" fillId="5" borderId="17" xfId="0" applyFont="1" applyFill="1" applyBorder="1" applyAlignment="1">
      <alignment horizontal="center" vertical="center"/>
    </xf>
    <xf numFmtId="0" fontId="11" fillId="5" borderId="11" xfId="0" applyFont="1" applyFill="1" applyBorder="1" applyAlignment="1">
      <alignment horizontal="center" vertical="center" wrapText="1" readingOrder="1"/>
    </xf>
    <xf numFmtId="0" fontId="11" fillId="5" borderId="8" xfId="0" applyFont="1" applyFill="1" applyBorder="1" applyAlignment="1">
      <alignment horizontal="center" vertical="center" wrapText="1" readingOrder="1"/>
    </xf>
    <xf numFmtId="0" fontId="11" fillId="5" borderId="9" xfId="0" applyFont="1" applyFill="1" applyBorder="1" applyAlignment="1">
      <alignment horizontal="center" vertical="center" wrapText="1" readingOrder="1"/>
    </xf>
    <xf numFmtId="0" fontId="11" fillId="5" borderId="10" xfId="0" applyFont="1" applyFill="1" applyBorder="1" applyAlignment="1">
      <alignment horizontal="center" vertical="center" wrapText="1" readingOrder="1"/>
    </xf>
    <xf numFmtId="164" fontId="11" fillId="5" borderId="11" xfId="1" applyFont="1" applyFill="1" applyBorder="1" applyAlignment="1">
      <alignment horizontal="center" vertical="center" wrapText="1" readingOrder="1"/>
    </xf>
    <xf numFmtId="164" fontId="11" fillId="5" borderId="8" xfId="1" applyFont="1" applyFill="1" applyBorder="1" applyAlignment="1">
      <alignment horizontal="center" vertical="center" wrapText="1" readingOrder="1"/>
    </xf>
    <xf numFmtId="164" fontId="11" fillId="5" borderId="10" xfId="1" applyFont="1" applyFill="1" applyBorder="1" applyAlignment="1">
      <alignment horizontal="center" vertical="center" wrapText="1" readingOrder="1"/>
    </xf>
    <xf numFmtId="164" fontId="11" fillId="5" borderId="9" xfId="1" applyFont="1" applyFill="1" applyBorder="1" applyAlignment="1">
      <alignment horizontal="center" vertical="center" wrapText="1" readingOrder="1"/>
    </xf>
    <xf numFmtId="0" fontId="7" fillId="5" borderId="12" xfId="0" applyFont="1" applyFill="1" applyBorder="1" applyAlignment="1">
      <alignment horizontal="center" vertical="center" wrapText="1"/>
    </xf>
    <xf numFmtId="0" fontId="23" fillId="5" borderId="18" xfId="0" applyFont="1" applyFill="1" applyBorder="1" applyAlignment="1">
      <alignment horizontal="center" vertical="center"/>
    </xf>
    <xf numFmtId="0" fontId="23" fillId="5" borderId="19" xfId="0" applyFont="1" applyFill="1" applyBorder="1" applyAlignment="1">
      <alignment horizontal="center" vertical="center"/>
    </xf>
    <xf numFmtId="0" fontId="4" fillId="5" borderId="19" xfId="0" applyFont="1" applyFill="1" applyBorder="1" applyAlignment="1">
      <alignment horizontal="center" vertical="center"/>
    </xf>
    <xf numFmtId="0" fontId="4" fillId="5" borderId="21" xfId="0" applyFont="1" applyFill="1" applyBorder="1" applyAlignment="1">
      <alignment horizontal="center" vertical="center"/>
    </xf>
    <xf numFmtId="0" fontId="14" fillId="2" borderId="0" xfId="0" applyFont="1" applyFill="1" applyAlignment="1">
      <alignment vertical="center"/>
    </xf>
    <xf numFmtId="0" fontId="26" fillId="5" borderId="20" xfId="0" applyFont="1" applyFill="1" applyBorder="1" applyAlignment="1">
      <alignment horizontal="center" vertical="center"/>
    </xf>
    <xf numFmtId="0" fontId="8" fillId="6" borderId="0" xfId="0" applyFont="1" applyFill="1" applyAlignment="1">
      <alignment horizontal="center" vertical="center"/>
    </xf>
    <xf numFmtId="0" fontId="9" fillId="6" borderId="0" xfId="0" applyFont="1" applyFill="1" applyAlignment="1">
      <alignment horizontal="center" vertical="center" wrapText="1"/>
    </xf>
    <xf numFmtId="0" fontId="11" fillId="5" borderId="11" xfId="0" applyFont="1" applyFill="1" applyBorder="1" applyAlignment="1">
      <alignment vertical="center" wrapText="1" readingOrder="1"/>
    </xf>
    <xf numFmtId="0" fontId="11" fillId="5" borderId="8" xfId="0" applyFont="1" applyFill="1" applyBorder="1" applyAlignment="1">
      <alignment vertical="center" wrapText="1" readingOrder="1"/>
    </xf>
    <xf numFmtId="0" fontId="11" fillId="5" borderId="10" xfId="0" applyFont="1" applyFill="1" applyBorder="1" applyAlignment="1">
      <alignment vertical="center" wrapText="1" readingOrder="1"/>
    </xf>
    <xf numFmtId="0" fontId="4" fillId="2" borderId="0" xfId="0" applyFont="1" applyFill="1" applyAlignment="1">
      <alignment horizontal="center" vertical="center" wrapText="1"/>
    </xf>
    <xf numFmtId="0" fontId="11" fillId="5" borderId="40" xfId="0" applyFont="1" applyFill="1" applyBorder="1" applyAlignment="1">
      <alignment vertical="center" wrapText="1" readingOrder="1"/>
    </xf>
    <xf numFmtId="0" fontId="11" fillId="5" borderId="41" xfId="0" applyFont="1" applyFill="1" applyBorder="1" applyAlignment="1">
      <alignment vertical="center" wrapText="1" readingOrder="1"/>
    </xf>
    <xf numFmtId="0" fontId="11" fillId="5" borderId="42" xfId="0" applyFont="1" applyFill="1" applyBorder="1" applyAlignment="1">
      <alignment vertical="center" wrapText="1" readingOrder="1"/>
    </xf>
    <xf numFmtId="14" fontId="10" fillId="5" borderId="1" xfId="0" applyNumberFormat="1" applyFont="1" applyFill="1" applyBorder="1" applyAlignment="1">
      <alignment horizontal="center" vertical="center" wrapText="1" readingOrder="1"/>
    </xf>
    <xf numFmtId="0" fontId="11" fillId="2" borderId="2" xfId="0" applyFont="1" applyFill="1" applyBorder="1" applyAlignment="1">
      <alignment horizontal="center" vertical="center" wrapText="1" readingOrder="1"/>
    </xf>
    <xf numFmtId="0" fontId="11" fillId="2" borderId="7" xfId="0" applyFont="1" applyFill="1" applyBorder="1" applyAlignment="1">
      <alignment horizontal="center" vertical="center" wrapText="1" readingOrder="1"/>
    </xf>
    <xf numFmtId="0" fontId="11" fillId="2" borderId="3" xfId="0" applyFont="1" applyFill="1" applyBorder="1" applyAlignment="1">
      <alignment horizontal="center" vertical="center" wrapText="1" readingOrder="1"/>
    </xf>
    <xf numFmtId="0" fontId="10" fillId="2" borderId="11" xfId="0" applyFont="1" applyFill="1" applyBorder="1" applyAlignment="1">
      <alignment horizontal="center" vertical="center" wrapText="1" readingOrder="1"/>
    </xf>
    <xf numFmtId="0" fontId="10" fillId="2" borderId="8" xfId="0" applyFont="1" applyFill="1" applyBorder="1" applyAlignment="1">
      <alignment horizontal="center" vertical="center" wrapText="1" readingOrder="1"/>
    </xf>
    <xf numFmtId="0" fontId="10" fillId="2" borderId="9" xfId="0" applyFont="1" applyFill="1" applyBorder="1" applyAlignment="1">
      <alignment horizontal="center" vertical="center" wrapText="1" readingOrder="1"/>
    </xf>
    <xf numFmtId="0" fontId="11" fillId="5" borderId="26" xfId="0" applyFont="1" applyFill="1" applyBorder="1" applyAlignment="1">
      <alignment horizontal="center" vertical="center" wrapText="1" readingOrder="1"/>
    </xf>
    <xf numFmtId="0" fontId="11" fillId="5" borderId="27" xfId="0" applyFont="1" applyFill="1" applyBorder="1" applyAlignment="1">
      <alignment horizontal="center" vertical="center" wrapText="1" readingOrder="1"/>
    </xf>
    <xf numFmtId="0" fontId="11" fillId="5" borderId="28" xfId="0" applyFont="1" applyFill="1" applyBorder="1" applyAlignment="1">
      <alignment horizontal="center" vertical="center" wrapText="1" readingOrder="1"/>
    </xf>
    <xf numFmtId="0" fontId="11" fillId="5" borderId="29" xfId="0" applyFont="1" applyFill="1" applyBorder="1" applyAlignment="1">
      <alignment horizontal="center" vertical="center" wrapText="1" readingOrder="1"/>
    </xf>
    <xf numFmtId="0" fontId="10" fillId="2" borderId="10" xfId="0" applyFont="1" applyFill="1" applyBorder="1" applyAlignment="1">
      <alignment horizontal="center" vertical="center" wrapText="1" readingOrder="1"/>
    </xf>
    <xf numFmtId="0" fontId="14" fillId="2" borderId="32" xfId="0" applyFont="1" applyFill="1" applyBorder="1" applyAlignment="1">
      <alignment horizontal="left" vertical="center"/>
    </xf>
    <xf numFmtId="0" fontId="14" fillId="2" borderId="0" xfId="0" applyFont="1" applyFill="1" applyAlignment="1">
      <alignment horizontal="left" vertical="center"/>
    </xf>
    <xf numFmtId="0" fontId="19" fillId="2" borderId="0" xfId="0" applyFont="1" applyFill="1" applyAlignment="1">
      <alignment horizontal="left" vertical="center" wrapText="1"/>
    </xf>
    <xf numFmtId="0" fontId="14" fillId="2" borderId="14" xfId="0" applyFont="1" applyFill="1" applyBorder="1" applyAlignment="1">
      <alignment horizontal="left" vertical="center"/>
    </xf>
    <xf numFmtId="0" fontId="14" fillId="2" borderId="33" xfId="0" applyFont="1" applyFill="1" applyBorder="1" applyAlignment="1">
      <alignment horizontal="left" vertical="top"/>
    </xf>
    <xf numFmtId="14" fontId="10" fillId="5" borderId="7" xfId="0" applyNumberFormat="1" applyFont="1" applyFill="1" applyBorder="1" applyAlignment="1">
      <alignment horizontal="center" vertical="center" wrapText="1" readingOrder="1"/>
    </xf>
    <xf numFmtId="0" fontId="15" fillId="3" borderId="22" xfId="0" applyFont="1" applyFill="1" applyBorder="1" applyAlignment="1">
      <alignment horizontal="center" vertical="center" wrapText="1" readingOrder="1"/>
    </xf>
    <xf numFmtId="0" fontId="15" fillId="3" borderId="23" xfId="0" applyFont="1" applyFill="1" applyBorder="1" applyAlignment="1">
      <alignment horizontal="center" vertical="center" wrapText="1" readingOrder="1"/>
    </xf>
    <xf numFmtId="0" fontId="15" fillId="3" borderId="24" xfId="0" applyFont="1" applyFill="1" applyBorder="1" applyAlignment="1">
      <alignment horizontal="center" vertical="center" wrapText="1" readingOrder="1"/>
    </xf>
    <xf numFmtId="0" fontId="15" fillId="3" borderId="25" xfId="0" applyFont="1" applyFill="1" applyBorder="1" applyAlignment="1">
      <alignment horizontal="center" vertical="center" wrapText="1" readingOrder="1"/>
    </xf>
    <xf numFmtId="0" fontId="11" fillId="5" borderId="30" xfId="0" applyFont="1" applyFill="1" applyBorder="1" applyAlignment="1">
      <alignment horizontal="center" vertical="center" wrapText="1" readingOrder="1"/>
    </xf>
    <xf numFmtId="0" fontId="11" fillId="5" borderId="31" xfId="0" applyFont="1" applyFill="1" applyBorder="1" applyAlignment="1">
      <alignment horizontal="center" vertical="center" wrapText="1" readingOrder="1"/>
    </xf>
    <xf numFmtId="0" fontId="15" fillId="3" borderId="4" xfId="0" applyFont="1" applyFill="1" applyBorder="1" applyAlignment="1">
      <alignment horizontal="center" vertical="center" wrapText="1" readingOrder="1"/>
    </xf>
    <xf numFmtId="0" fontId="15" fillId="3" borderId="6" xfId="0" applyFont="1" applyFill="1" applyBorder="1" applyAlignment="1">
      <alignment horizontal="center" vertical="center" wrapText="1" readingOrder="1"/>
    </xf>
    <xf numFmtId="0" fontId="15" fillId="3" borderId="5" xfId="0" applyFont="1" applyFill="1" applyBorder="1" applyAlignment="1">
      <alignment horizontal="center" vertical="center" wrapText="1" readingOrder="1"/>
    </xf>
    <xf numFmtId="0" fontId="15" fillId="3" borderId="4" xfId="0" applyFont="1" applyFill="1" applyBorder="1" applyAlignment="1">
      <alignment horizontal="center" vertical="center"/>
    </xf>
    <xf numFmtId="0" fontId="15" fillId="3" borderId="5" xfId="0" applyFont="1" applyFill="1" applyBorder="1" applyAlignment="1">
      <alignment horizontal="center" vertical="center"/>
    </xf>
    <xf numFmtId="0" fontId="15" fillId="3" borderId="2" xfId="0" applyFont="1" applyFill="1" applyBorder="1" applyAlignment="1">
      <alignment horizontal="center" vertical="center" wrapText="1" readingOrder="1"/>
    </xf>
    <xf numFmtId="0" fontId="15" fillId="3" borderId="3" xfId="0" applyFont="1" applyFill="1" applyBorder="1" applyAlignment="1">
      <alignment horizontal="center" vertical="center" wrapText="1" readingOrder="1"/>
    </xf>
    <xf numFmtId="14" fontId="10" fillId="5" borderId="2" xfId="0" applyNumberFormat="1" applyFont="1" applyFill="1" applyBorder="1" applyAlignment="1">
      <alignment horizontal="center" vertical="center" wrapText="1" readingOrder="1"/>
    </xf>
    <xf numFmtId="14" fontId="10" fillId="5" borderId="3" xfId="0" applyNumberFormat="1" applyFont="1" applyFill="1" applyBorder="1" applyAlignment="1">
      <alignment horizontal="center" vertical="center" wrapText="1" readingOrder="1"/>
    </xf>
    <xf numFmtId="0" fontId="13" fillId="2" borderId="0" xfId="0" applyFont="1" applyFill="1" applyAlignment="1">
      <alignment horizontal="left" vertical="center"/>
    </xf>
    <xf numFmtId="0" fontId="9" fillId="2" borderId="13" xfId="0" applyFont="1" applyFill="1" applyBorder="1" applyAlignment="1">
      <alignment horizontal="right" wrapText="1"/>
    </xf>
    <xf numFmtId="0" fontId="18" fillId="2" borderId="0" xfId="0" applyFont="1" applyFill="1" applyAlignment="1">
      <alignment horizontal="left" vertical="center"/>
    </xf>
    <xf numFmtId="0" fontId="17" fillId="2" borderId="0" xfId="0" applyFont="1" applyFill="1" applyAlignment="1">
      <alignment horizontal="left" vertical="center"/>
    </xf>
    <xf numFmtId="0" fontId="11" fillId="5" borderId="34" xfId="0" applyFont="1" applyFill="1" applyBorder="1" applyAlignment="1">
      <alignment horizontal="center" vertical="center" wrapText="1" readingOrder="1"/>
    </xf>
    <xf numFmtId="0" fontId="11" fillId="5" borderId="35" xfId="0" applyFont="1" applyFill="1" applyBorder="1" applyAlignment="1">
      <alignment horizontal="center" vertical="center" wrapText="1" readingOrder="1"/>
    </xf>
    <xf numFmtId="0" fontId="11" fillId="5" borderId="36" xfId="0" applyFont="1" applyFill="1" applyBorder="1" applyAlignment="1">
      <alignment horizontal="center" vertical="center" wrapText="1" readingOrder="1"/>
    </xf>
    <xf numFmtId="0" fontId="11" fillId="5" borderId="37" xfId="0" applyFont="1" applyFill="1" applyBorder="1" applyAlignment="1">
      <alignment horizontal="center" vertical="center" wrapText="1" readingOrder="1"/>
    </xf>
    <xf numFmtId="0" fontId="11" fillId="5" borderId="38" xfId="0" applyFont="1" applyFill="1" applyBorder="1" applyAlignment="1">
      <alignment horizontal="center" vertical="center" wrapText="1" readingOrder="1"/>
    </xf>
    <xf numFmtId="0" fontId="11" fillId="5" borderId="39" xfId="0" applyFont="1" applyFill="1" applyBorder="1" applyAlignment="1">
      <alignment horizontal="center" vertical="center" wrapText="1" readingOrder="1"/>
    </xf>
  </cellXfs>
  <cellStyles count="3">
    <cellStyle name="Comma [0]" xfId="1" builtinId="6"/>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U508"/>
  <sheetViews>
    <sheetView tabSelected="1" zoomScale="70" zoomScaleNormal="70" workbookViewId="0">
      <pane ySplit="16" topLeftCell="A479" activePane="bottomLeft" state="frozenSplit"/>
      <selection pane="bottomLeft" activeCell="G489" sqref="G489:H489"/>
    </sheetView>
  </sheetViews>
  <sheetFormatPr defaultColWidth="8.7109375" defaultRowHeight="13.5"/>
  <cols>
    <col min="1" max="1" width="4.140625" style="1" customWidth="1"/>
    <col min="2" max="2" width="16.42578125" style="1" bestFit="1" customWidth="1"/>
    <col min="3" max="3" width="17.42578125" style="1" bestFit="1" customWidth="1"/>
    <col min="4" max="4" width="17.42578125" style="1" customWidth="1"/>
    <col min="5" max="5" width="14.5703125" style="2" customWidth="1"/>
    <col min="6" max="19" width="14.5703125" style="1" customWidth="1"/>
    <col min="20" max="20" width="14.7109375" style="1" hidden="1" customWidth="1"/>
    <col min="21" max="21" width="23.5703125" style="1" customWidth="1"/>
    <col min="22" max="22" width="66.140625" style="1" customWidth="1"/>
    <col min="23" max="23" width="8.7109375" style="1"/>
    <col min="24" max="24" width="17.42578125" style="1" customWidth="1"/>
    <col min="25" max="25" width="8.7109375" style="1" customWidth="1"/>
    <col min="26" max="26" width="21.85546875" style="1" customWidth="1"/>
    <col min="27" max="48" width="14.5703125" style="1" customWidth="1"/>
    <col min="49" max="16384" width="8.7109375" style="1"/>
  </cols>
  <sheetData>
    <row r="1" spans="2:47" ht="6" customHeight="1"/>
    <row r="2" spans="2:47" ht="35.25">
      <c r="B2" s="91" t="s">
        <v>31</v>
      </c>
      <c r="C2" s="91"/>
      <c r="D2" s="91"/>
      <c r="E2" s="91"/>
      <c r="F2" s="91"/>
      <c r="G2" s="91"/>
      <c r="H2" s="91"/>
      <c r="I2" s="91"/>
      <c r="J2" s="91"/>
      <c r="K2" s="91"/>
      <c r="L2" s="91"/>
      <c r="M2" s="91"/>
      <c r="N2" s="91"/>
      <c r="O2" s="91"/>
      <c r="P2" s="91"/>
      <c r="Q2" s="91"/>
      <c r="R2" s="91"/>
      <c r="S2" s="91"/>
      <c r="T2" s="91"/>
      <c r="U2" s="91"/>
      <c r="V2" s="24"/>
      <c r="W2" s="24"/>
      <c r="X2" s="1" t="s">
        <v>13</v>
      </c>
    </row>
    <row r="3" spans="2:47" ht="15.95" customHeight="1">
      <c r="B3" s="18"/>
      <c r="C3" s="18"/>
      <c r="D3" s="18"/>
      <c r="E3" s="18"/>
      <c r="F3" s="18"/>
      <c r="G3" s="18"/>
      <c r="H3" s="18"/>
      <c r="I3" s="18"/>
      <c r="J3" s="18"/>
      <c r="K3" s="18"/>
      <c r="L3" s="18"/>
      <c r="M3" s="18"/>
      <c r="N3" s="18"/>
      <c r="O3" s="18"/>
      <c r="P3" s="18"/>
      <c r="Q3" s="18"/>
      <c r="R3" s="18"/>
      <c r="S3" s="18"/>
      <c r="T3" s="18"/>
      <c r="U3" s="18"/>
      <c r="V3" s="24"/>
      <c r="W3" s="24"/>
      <c r="X3" s="1" t="s">
        <v>36</v>
      </c>
      <c r="Y3" s="24"/>
      <c r="Z3" s="24"/>
      <c r="AA3" s="24"/>
      <c r="AB3" s="24"/>
      <c r="AC3" s="24"/>
      <c r="AD3" s="24"/>
      <c r="AE3" s="24"/>
      <c r="AF3" s="24"/>
      <c r="AG3" s="24"/>
      <c r="AH3" s="24"/>
      <c r="AI3" s="24"/>
      <c r="AJ3" s="24"/>
      <c r="AK3" s="24"/>
      <c r="AL3" s="24"/>
      <c r="AM3" s="24"/>
      <c r="AN3" s="24"/>
      <c r="AO3" s="24"/>
      <c r="AP3" s="24"/>
      <c r="AQ3" s="24"/>
      <c r="AR3" s="24"/>
      <c r="AS3" s="24"/>
      <c r="AT3" s="24"/>
      <c r="AU3" s="24"/>
    </row>
    <row r="4" spans="2:47" ht="22.5">
      <c r="B4" s="94" t="s">
        <v>92</v>
      </c>
      <c r="C4" s="94"/>
      <c r="D4" s="94"/>
      <c r="E4" s="94"/>
      <c r="F4" s="94"/>
      <c r="G4" s="94"/>
      <c r="H4" s="94"/>
      <c r="I4" s="94"/>
      <c r="J4" s="94"/>
      <c r="K4" s="94"/>
      <c r="L4" s="94"/>
      <c r="M4" s="94"/>
      <c r="N4" s="94"/>
      <c r="O4" s="94"/>
      <c r="P4" s="94"/>
      <c r="Q4" s="94"/>
      <c r="R4" s="94"/>
      <c r="S4" s="94"/>
      <c r="T4" s="94"/>
      <c r="U4" s="94"/>
      <c r="V4" s="24"/>
      <c r="W4" s="24"/>
      <c r="X4" s="1" t="s">
        <v>34</v>
      </c>
      <c r="Y4" s="24"/>
      <c r="Z4" s="24"/>
      <c r="AA4" s="24"/>
      <c r="AB4" s="24"/>
      <c r="AC4" s="24"/>
      <c r="AD4" s="24"/>
      <c r="AE4" s="24"/>
      <c r="AF4" s="24"/>
      <c r="AG4" s="24"/>
      <c r="AH4" s="24"/>
      <c r="AI4" s="24"/>
      <c r="AJ4" s="24"/>
      <c r="AK4" s="24"/>
      <c r="AL4" s="24"/>
      <c r="AM4" s="24"/>
      <c r="AN4" s="24"/>
      <c r="AO4" s="24"/>
      <c r="AP4" s="24"/>
      <c r="AQ4" s="24"/>
      <c r="AR4" s="24"/>
      <c r="AS4" s="24"/>
      <c r="AT4" s="24"/>
      <c r="AU4" s="24"/>
    </row>
    <row r="5" spans="2:47" ht="11.45" customHeight="1">
      <c r="G5" s="3"/>
      <c r="H5" s="3"/>
      <c r="I5" s="3"/>
      <c r="J5" s="3"/>
      <c r="K5" s="3"/>
      <c r="L5" s="3"/>
      <c r="M5" s="3"/>
      <c r="N5" s="3"/>
      <c r="O5" s="3"/>
      <c r="P5" s="3"/>
      <c r="Q5" s="3"/>
      <c r="R5" s="3"/>
      <c r="S5" s="3"/>
      <c r="T5" s="3"/>
      <c r="U5" s="3"/>
      <c r="V5" s="24"/>
      <c r="W5" s="24"/>
      <c r="X5" s="1" t="s">
        <v>35</v>
      </c>
      <c r="Y5" s="24"/>
      <c r="Z5" s="24"/>
      <c r="AA5" s="24"/>
      <c r="AB5" s="24"/>
      <c r="AC5" s="24"/>
      <c r="AD5" s="24"/>
      <c r="AE5" s="24"/>
      <c r="AF5" s="24"/>
      <c r="AG5" s="24"/>
      <c r="AH5" s="24"/>
      <c r="AI5" s="24"/>
      <c r="AJ5" s="24"/>
      <c r="AK5" s="24"/>
      <c r="AL5" s="24"/>
      <c r="AM5" s="24"/>
      <c r="AN5" s="24"/>
      <c r="AO5" s="24"/>
      <c r="AP5" s="24"/>
      <c r="AQ5" s="24"/>
      <c r="AR5" s="24"/>
      <c r="AS5" s="24"/>
      <c r="AT5" s="24"/>
      <c r="AU5" s="24"/>
    </row>
    <row r="6" spans="2:47" ht="24" customHeight="1">
      <c r="B6" s="17" t="s">
        <v>9</v>
      </c>
      <c r="C6" s="42" t="s">
        <v>13</v>
      </c>
      <c r="D6" s="73" t="s">
        <v>91</v>
      </c>
      <c r="E6" s="71"/>
      <c r="F6" s="71"/>
      <c r="G6" s="71"/>
      <c r="H6" s="71"/>
      <c r="I6" s="71"/>
      <c r="J6" s="71"/>
      <c r="K6" s="47"/>
      <c r="L6" s="48" t="s">
        <v>96</v>
      </c>
      <c r="M6" s="70" t="s">
        <v>89</v>
      </c>
      <c r="N6" s="71"/>
      <c r="O6" s="71"/>
      <c r="P6" s="71"/>
      <c r="Q6" s="71"/>
      <c r="R6" s="71"/>
      <c r="S6" s="71"/>
      <c r="T6" s="71"/>
      <c r="U6" s="71"/>
      <c r="V6" s="24"/>
      <c r="W6" s="24"/>
      <c r="X6" s="1" t="s">
        <v>20</v>
      </c>
      <c r="Y6" s="24"/>
      <c r="Z6" s="24"/>
      <c r="AA6" s="24"/>
      <c r="AB6" s="24"/>
      <c r="AC6" s="24"/>
      <c r="AD6" s="24"/>
      <c r="AE6" s="24"/>
      <c r="AF6" s="24"/>
      <c r="AG6" s="24"/>
      <c r="AH6" s="24"/>
      <c r="AI6" s="24"/>
      <c r="AJ6" s="24"/>
      <c r="AK6" s="24"/>
      <c r="AL6" s="24"/>
      <c r="AM6" s="24"/>
      <c r="AN6" s="24"/>
      <c r="AO6" s="24"/>
      <c r="AP6" s="24"/>
      <c r="AQ6" s="24"/>
      <c r="AR6" s="24"/>
      <c r="AS6" s="24"/>
      <c r="AT6" s="24"/>
      <c r="AU6" s="24"/>
    </row>
    <row r="7" spans="2:47" ht="24.95" customHeight="1">
      <c r="C7" s="3"/>
      <c r="D7" s="72" t="s">
        <v>94</v>
      </c>
      <c r="E7" s="72"/>
      <c r="F7" s="72"/>
      <c r="G7" s="72"/>
      <c r="H7" s="72"/>
      <c r="I7" s="72"/>
      <c r="J7" s="72"/>
      <c r="K7" s="72"/>
      <c r="L7" s="3"/>
      <c r="M7" s="72" t="s">
        <v>90</v>
      </c>
      <c r="N7" s="72"/>
      <c r="O7" s="72"/>
      <c r="P7" s="72"/>
      <c r="Q7" s="72"/>
      <c r="R7" s="72"/>
      <c r="S7" s="72"/>
      <c r="T7" s="72"/>
      <c r="U7" s="72"/>
      <c r="V7" s="24"/>
      <c r="W7" s="24"/>
      <c r="Y7" s="24"/>
      <c r="Z7" s="24"/>
      <c r="AA7" s="24"/>
      <c r="AB7" s="24"/>
      <c r="AC7" s="24"/>
      <c r="AD7" s="24"/>
      <c r="AE7" s="24"/>
      <c r="AF7" s="24"/>
      <c r="AG7" s="24"/>
      <c r="AH7" s="24"/>
      <c r="AI7" s="24"/>
      <c r="AJ7" s="24"/>
      <c r="AK7" s="24"/>
      <c r="AL7" s="24"/>
      <c r="AM7" s="24"/>
      <c r="AN7" s="24"/>
      <c r="AO7" s="24"/>
      <c r="AP7" s="24"/>
      <c r="AQ7" s="24"/>
      <c r="AR7" s="24"/>
      <c r="AS7" s="24"/>
      <c r="AT7" s="24"/>
      <c r="AU7" s="24"/>
    </row>
    <row r="8" spans="2:47" ht="22.5">
      <c r="B8" s="93" t="s">
        <v>93</v>
      </c>
      <c r="C8" s="94"/>
      <c r="D8" s="94"/>
      <c r="E8" s="94"/>
      <c r="F8" s="94"/>
      <c r="G8" s="94"/>
      <c r="H8" s="94"/>
      <c r="I8" s="94"/>
      <c r="J8" s="94"/>
      <c r="K8" s="94"/>
      <c r="L8" s="94"/>
      <c r="M8" s="94"/>
      <c r="N8" s="94"/>
      <c r="O8" s="94"/>
      <c r="P8" s="94"/>
      <c r="Q8" s="94"/>
      <c r="R8" s="94"/>
      <c r="S8" s="94"/>
      <c r="T8" s="94"/>
      <c r="U8" s="94"/>
      <c r="V8" s="24"/>
      <c r="W8" s="24"/>
      <c r="Y8" s="24"/>
      <c r="Z8" s="24"/>
      <c r="AA8" s="24"/>
      <c r="AB8" s="24"/>
      <c r="AC8" s="24"/>
      <c r="AD8" s="24"/>
      <c r="AE8" s="24"/>
      <c r="AF8" s="24"/>
      <c r="AG8" s="24"/>
      <c r="AH8" s="24"/>
      <c r="AI8" s="24"/>
      <c r="AJ8" s="24"/>
      <c r="AK8" s="24"/>
      <c r="AL8" s="24"/>
      <c r="AM8" s="24"/>
      <c r="AN8" s="24"/>
      <c r="AO8" s="24"/>
      <c r="AP8" s="24"/>
      <c r="AQ8" s="24"/>
      <c r="AR8" s="24"/>
      <c r="AS8" s="24"/>
      <c r="AT8" s="24"/>
      <c r="AU8" s="24"/>
    </row>
    <row r="9" spans="2:47" ht="8.1" customHeight="1">
      <c r="E9" s="1"/>
      <c r="V9" s="24"/>
      <c r="W9" s="24"/>
      <c r="Y9" s="24"/>
      <c r="Z9" s="24"/>
      <c r="AA9" s="24"/>
      <c r="AB9" s="24"/>
      <c r="AC9" s="24"/>
      <c r="AD9" s="24"/>
      <c r="AE9" s="24"/>
      <c r="AF9" s="24"/>
      <c r="AG9" s="24"/>
      <c r="AH9" s="24"/>
      <c r="AI9" s="24"/>
      <c r="AJ9" s="24"/>
      <c r="AK9" s="24"/>
      <c r="AL9" s="24"/>
      <c r="AM9" s="24"/>
      <c r="AN9" s="24"/>
      <c r="AO9" s="24"/>
      <c r="AP9" s="24"/>
      <c r="AQ9" s="24"/>
      <c r="AR9" s="24"/>
      <c r="AS9" s="24"/>
      <c r="AT9" s="24"/>
      <c r="AU9" s="24"/>
    </row>
    <row r="10" spans="2:47" ht="18.75">
      <c r="B10" s="19" t="s">
        <v>30</v>
      </c>
      <c r="C10" s="19">
        <v>1</v>
      </c>
      <c r="D10" s="20">
        <v>2</v>
      </c>
      <c r="E10" s="20">
        <v>3</v>
      </c>
      <c r="F10" s="19">
        <v>4</v>
      </c>
      <c r="G10" s="20">
        <v>5</v>
      </c>
      <c r="H10" s="20">
        <v>6</v>
      </c>
      <c r="I10" s="19">
        <v>7</v>
      </c>
      <c r="J10" s="20">
        <v>8</v>
      </c>
      <c r="K10" s="20">
        <v>9</v>
      </c>
      <c r="L10" s="19">
        <v>10</v>
      </c>
      <c r="M10" s="20">
        <v>11</v>
      </c>
      <c r="N10" s="20">
        <v>12</v>
      </c>
      <c r="O10" s="19">
        <v>13</v>
      </c>
      <c r="P10" s="20">
        <v>14</v>
      </c>
      <c r="Q10" s="20">
        <v>15</v>
      </c>
      <c r="R10" s="20">
        <v>16</v>
      </c>
      <c r="S10" s="20">
        <v>17</v>
      </c>
      <c r="T10" s="19">
        <v>16</v>
      </c>
      <c r="U10" s="20" t="s">
        <v>32</v>
      </c>
      <c r="V10" s="24"/>
      <c r="W10" s="24"/>
    </row>
    <row r="11" spans="2:47" ht="18.75">
      <c r="B11" s="29" t="s">
        <v>28</v>
      </c>
      <c r="C11" s="31" t="s">
        <v>74</v>
      </c>
      <c r="D11" s="32" t="s">
        <v>75</v>
      </c>
      <c r="E11" s="32" t="s">
        <v>76</v>
      </c>
      <c r="F11" s="31" t="s">
        <v>79</v>
      </c>
      <c r="G11" s="31" t="s">
        <v>80</v>
      </c>
      <c r="H11" s="31" t="s">
        <v>103</v>
      </c>
      <c r="I11" s="31" t="s">
        <v>104</v>
      </c>
      <c r="J11" s="31" t="s">
        <v>110</v>
      </c>
      <c r="K11" s="31" t="s">
        <v>108</v>
      </c>
      <c r="L11" s="31" t="s">
        <v>109</v>
      </c>
      <c r="M11" s="31" t="s">
        <v>111</v>
      </c>
      <c r="N11" s="31"/>
      <c r="O11" s="31"/>
      <c r="P11" s="31"/>
      <c r="Q11" s="31"/>
      <c r="R11" s="31"/>
      <c r="S11" s="31"/>
      <c r="T11" s="31"/>
      <c r="U11" s="29"/>
      <c r="V11" s="24"/>
      <c r="W11" s="24"/>
    </row>
    <row r="12" spans="2:47" ht="18.75">
      <c r="B12" s="30" t="s">
        <v>29</v>
      </c>
      <c r="C12" s="33" t="s">
        <v>84</v>
      </c>
      <c r="D12" s="33" t="s">
        <v>81</v>
      </c>
      <c r="E12" s="33" t="s">
        <v>87</v>
      </c>
      <c r="F12" s="33" t="s">
        <v>86</v>
      </c>
      <c r="G12" s="33" t="s">
        <v>85</v>
      </c>
      <c r="H12" s="33" t="s">
        <v>88</v>
      </c>
      <c r="I12" s="33" t="s">
        <v>82</v>
      </c>
      <c r="J12" s="33" t="s">
        <v>105</v>
      </c>
      <c r="K12" s="32" t="s">
        <v>106</v>
      </c>
      <c r="L12" s="32" t="s">
        <v>83</v>
      </c>
      <c r="M12" s="33"/>
      <c r="N12" s="33"/>
      <c r="O12" s="33"/>
      <c r="P12" s="33"/>
      <c r="Q12" s="33"/>
      <c r="R12" s="33"/>
      <c r="S12" s="33"/>
      <c r="T12" s="33"/>
      <c r="U12" s="30"/>
    </row>
    <row r="13" spans="2:47" ht="54.6" customHeight="1">
      <c r="B13" s="74" t="s">
        <v>95</v>
      </c>
      <c r="C13" s="74"/>
      <c r="D13" s="74"/>
      <c r="E13" s="74"/>
      <c r="F13" s="74"/>
      <c r="G13" s="74"/>
      <c r="H13" s="74"/>
      <c r="I13" s="74"/>
      <c r="J13" s="74"/>
      <c r="K13" s="74"/>
      <c r="L13" s="74"/>
      <c r="M13" s="74"/>
      <c r="N13" s="74"/>
      <c r="O13" s="74"/>
      <c r="P13" s="74"/>
      <c r="Q13" s="74"/>
      <c r="R13" s="74"/>
      <c r="S13" s="74"/>
      <c r="T13" s="74"/>
      <c r="U13" s="74"/>
    </row>
    <row r="14" spans="2:47" ht="37.5">
      <c r="B14" s="26" t="s">
        <v>33</v>
      </c>
      <c r="C14" s="25"/>
      <c r="D14" s="49" t="s">
        <v>62</v>
      </c>
      <c r="E14" s="49" t="s">
        <v>63</v>
      </c>
      <c r="F14" s="49"/>
      <c r="G14" s="49" t="s">
        <v>64</v>
      </c>
      <c r="H14" s="49"/>
      <c r="I14" s="50" t="s">
        <v>65</v>
      </c>
      <c r="J14" s="50"/>
      <c r="K14" s="50" t="s">
        <v>66</v>
      </c>
      <c r="L14" s="50" t="s">
        <v>67</v>
      </c>
      <c r="M14" s="50" t="s">
        <v>68</v>
      </c>
      <c r="N14" s="50" t="s">
        <v>69</v>
      </c>
      <c r="O14" s="50" t="s">
        <v>70</v>
      </c>
      <c r="P14" s="50" t="s">
        <v>71</v>
      </c>
      <c r="Q14" s="50" t="s">
        <v>72</v>
      </c>
      <c r="R14" s="50" t="s">
        <v>73</v>
      </c>
      <c r="S14" s="92" t="s">
        <v>97</v>
      </c>
      <c r="T14" s="92"/>
      <c r="U14" s="92"/>
    </row>
    <row r="15" spans="2:47" ht="18.75">
      <c r="B15" s="87" t="s">
        <v>6</v>
      </c>
      <c r="C15" s="87" t="s">
        <v>8</v>
      </c>
      <c r="D15" s="87" t="s">
        <v>37</v>
      </c>
      <c r="E15" s="87" t="s">
        <v>0</v>
      </c>
      <c r="F15" s="87" t="s">
        <v>7</v>
      </c>
      <c r="G15" s="76" t="s">
        <v>1</v>
      </c>
      <c r="H15" s="77"/>
      <c r="I15" s="85" t="s">
        <v>27</v>
      </c>
      <c r="J15" s="86"/>
      <c r="K15" s="82" t="s">
        <v>2</v>
      </c>
      <c r="L15" s="83"/>
      <c r="M15" s="83"/>
      <c r="N15" s="83"/>
      <c r="O15" s="83"/>
      <c r="P15" s="83"/>
      <c r="Q15" s="83"/>
      <c r="R15" s="83"/>
      <c r="S15" s="84"/>
      <c r="T15" s="82"/>
      <c r="U15" s="84"/>
    </row>
    <row r="16" spans="2:47" ht="17.45" customHeight="1">
      <c r="B16" s="88"/>
      <c r="C16" s="88"/>
      <c r="D16" s="88"/>
      <c r="E16" s="88"/>
      <c r="F16" s="88"/>
      <c r="G16" s="78"/>
      <c r="H16" s="79"/>
      <c r="I16" s="21" t="s">
        <v>26</v>
      </c>
      <c r="J16" s="21" t="s">
        <v>27</v>
      </c>
      <c r="K16" s="22" t="s">
        <v>4</v>
      </c>
      <c r="L16" s="22" t="s">
        <v>5</v>
      </c>
      <c r="M16" s="22" t="s">
        <v>19</v>
      </c>
      <c r="N16" s="22" t="s">
        <v>69</v>
      </c>
      <c r="O16" s="22" t="s">
        <v>21</v>
      </c>
      <c r="P16" s="22" t="s">
        <v>22</v>
      </c>
      <c r="Q16" s="22" t="s">
        <v>23</v>
      </c>
      <c r="R16" s="22" t="s">
        <v>20</v>
      </c>
      <c r="S16" s="22" t="s">
        <v>24</v>
      </c>
      <c r="T16" s="22" t="s">
        <v>25</v>
      </c>
      <c r="U16" s="23" t="s">
        <v>3</v>
      </c>
      <c r="W16" s="4"/>
      <c r="X16" s="4"/>
      <c r="Y16" s="4"/>
    </row>
    <row r="17" spans="2:26" ht="18.75" hidden="1">
      <c r="B17" s="89">
        <v>46082</v>
      </c>
      <c r="C17" s="59" t="s">
        <v>14</v>
      </c>
      <c r="D17" s="51"/>
      <c r="E17" s="62" t="s">
        <v>101</v>
      </c>
      <c r="F17" s="5">
        <v>0.41666666666666669</v>
      </c>
      <c r="G17" s="65"/>
      <c r="H17" s="66"/>
      <c r="I17" s="34"/>
      <c r="J17" s="6" t="str">
        <f>IFERROR(S17/I17,"")</f>
        <v/>
      </c>
      <c r="K17" s="38"/>
      <c r="L17" s="38"/>
      <c r="M17" s="38"/>
      <c r="N17" s="38"/>
      <c r="O17" s="38"/>
      <c r="P17" s="38"/>
      <c r="Q17" s="38"/>
      <c r="R17" s="38"/>
      <c r="S17" s="7">
        <f>SUM(K17:R17)</f>
        <v>0</v>
      </c>
      <c r="T17" s="7">
        <v>100000</v>
      </c>
      <c r="U17" s="7">
        <f>T17*S17</f>
        <v>0</v>
      </c>
      <c r="V17" s="4"/>
      <c r="W17" s="4"/>
      <c r="X17" s="4" t="s">
        <v>14</v>
      </c>
      <c r="Y17" s="4"/>
    </row>
    <row r="18" spans="2:26" ht="16.5" hidden="1" customHeight="1">
      <c r="B18" s="75"/>
      <c r="C18" s="60"/>
      <c r="D18" s="52"/>
      <c r="E18" s="63"/>
      <c r="F18" s="8">
        <v>0.5</v>
      </c>
      <c r="G18" s="67"/>
      <c r="H18" s="68"/>
      <c r="I18" s="35"/>
      <c r="J18" s="9" t="str">
        <f>IFERROR(S18/I18,"")</f>
        <v/>
      </c>
      <c r="K18" s="39"/>
      <c r="L18" s="39"/>
      <c r="M18" s="39"/>
      <c r="N18" s="39"/>
      <c r="O18" s="39"/>
      <c r="P18" s="39"/>
      <c r="Q18" s="39"/>
      <c r="R18" s="39"/>
      <c r="S18" s="10">
        <f t="shared" ref="S18:S28" si="0">SUM(K18:R18)</f>
        <v>0</v>
      </c>
      <c r="T18" s="10">
        <v>100000</v>
      </c>
      <c r="U18" s="10">
        <f t="shared" ref="U18:U28" si="1">T18*S18</f>
        <v>0</v>
      </c>
      <c r="V18" s="4"/>
      <c r="W18" s="4"/>
      <c r="X18" s="4" t="s">
        <v>15</v>
      </c>
      <c r="Y18" s="4"/>
    </row>
    <row r="19" spans="2:26" ht="16.5" hidden="1" customHeight="1">
      <c r="B19" s="75"/>
      <c r="C19" s="60"/>
      <c r="D19" s="52"/>
      <c r="E19" s="63"/>
      <c r="F19" s="8">
        <v>0.58333333333333337</v>
      </c>
      <c r="G19" s="67"/>
      <c r="H19" s="68"/>
      <c r="I19" s="35"/>
      <c r="J19" s="9" t="str">
        <f t="shared" ref="J19:J82" si="2">IFERROR(S19/I19,"")</f>
        <v/>
      </c>
      <c r="K19" s="39"/>
      <c r="L19" s="39"/>
      <c r="M19" s="39"/>
      <c r="N19" s="39"/>
      <c r="O19" s="39"/>
      <c r="P19" s="39"/>
      <c r="Q19" s="39"/>
      <c r="R19" s="39"/>
      <c r="S19" s="10">
        <f t="shared" si="0"/>
        <v>0</v>
      </c>
      <c r="T19" s="10">
        <v>100000</v>
      </c>
      <c r="U19" s="10">
        <f t="shared" si="1"/>
        <v>0</v>
      </c>
      <c r="V19" s="4"/>
      <c r="W19" s="4"/>
      <c r="X19" s="4" t="s">
        <v>16</v>
      </c>
      <c r="Y19" s="4"/>
    </row>
    <row r="20" spans="2:26" ht="16.5" hidden="1" customHeight="1">
      <c r="B20" s="75"/>
      <c r="C20" s="60"/>
      <c r="D20" s="52"/>
      <c r="E20" s="63"/>
      <c r="F20" s="8">
        <v>0.66666666666666663</v>
      </c>
      <c r="G20" s="67"/>
      <c r="H20" s="68"/>
      <c r="I20" s="35"/>
      <c r="J20" s="9" t="str">
        <f t="shared" si="2"/>
        <v/>
      </c>
      <c r="K20" s="39"/>
      <c r="L20" s="39"/>
      <c r="M20" s="39"/>
      <c r="N20" s="39"/>
      <c r="O20" s="39"/>
      <c r="P20" s="39"/>
      <c r="Q20" s="39"/>
      <c r="R20" s="39"/>
      <c r="S20" s="10">
        <f t="shared" si="0"/>
        <v>0</v>
      </c>
      <c r="T20" s="10">
        <v>100000</v>
      </c>
      <c r="U20" s="10">
        <f>T20*S20</f>
        <v>0</v>
      </c>
      <c r="V20" s="4"/>
      <c r="W20" s="4"/>
      <c r="X20" s="4" t="s">
        <v>17</v>
      </c>
      <c r="Y20" s="4"/>
      <c r="Z20" s="28" t="s">
        <v>61</v>
      </c>
    </row>
    <row r="21" spans="2:26" ht="18.600000000000001" hidden="1" customHeight="1">
      <c r="B21" s="75"/>
      <c r="C21" s="60"/>
      <c r="D21" s="52"/>
      <c r="E21" s="63"/>
      <c r="F21" s="8">
        <v>0.75</v>
      </c>
      <c r="G21" s="67"/>
      <c r="H21" s="68"/>
      <c r="I21" s="35"/>
      <c r="J21" s="9" t="str">
        <f t="shared" si="2"/>
        <v/>
      </c>
      <c r="K21" s="39"/>
      <c r="L21" s="39"/>
      <c r="M21" s="39"/>
      <c r="N21" s="39"/>
      <c r="O21" s="39"/>
      <c r="P21" s="39"/>
      <c r="Q21" s="39"/>
      <c r="R21" s="39"/>
      <c r="S21" s="10">
        <f t="shared" si="0"/>
        <v>0</v>
      </c>
      <c r="T21" s="10">
        <v>100000</v>
      </c>
      <c r="U21" s="10">
        <f t="shared" si="1"/>
        <v>0</v>
      </c>
      <c r="V21" s="4"/>
      <c r="W21" s="4"/>
      <c r="X21" s="11" t="s">
        <v>18</v>
      </c>
      <c r="Y21" s="4"/>
      <c r="Z21" s="43"/>
    </row>
    <row r="22" spans="2:26" ht="18.600000000000001" hidden="1" customHeight="1">
      <c r="B22" s="75"/>
      <c r="C22" s="60"/>
      <c r="D22" s="53"/>
      <c r="E22" s="64"/>
      <c r="F22" s="12">
        <v>0.83333333333333337</v>
      </c>
      <c r="G22" s="80"/>
      <c r="H22" s="81"/>
      <c r="I22" s="35"/>
      <c r="J22" s="9" t="str">
        <f t="shared" si="2"/>
        <v/>
      </c>
      <c r="K22" s="40"/>
      <c r="L22" s="40"/>
      <c r="M22" s="40"/>
      <c r="N22" s="40"/>
      <c r="O22" s="40"/>
      <c r="P22" s="40"/>
      <c r="Q22" s="40"/>
      <c r="R22" s="40"/>
      <c r="S22" s="16">
        <f t="shared" si="0"/>
        <v>0</v>
      </c>
      <c r="T22" s="16">
        <v>100000</v>
      </c>
      <c r="U22" s="16">
        <f t="shared" si="1"/>
        <v>0</v>
      </c>
      <c r="V22" s="4"/>
      <c r="X22" s="54" t="s">
        <v>101</v>
      </c>
      <c r="Z22" s="44" t="s">
        <v>46</v>
      </c>
    </row>
    <row r="23" spans="2:26" ht="18.600000000000001" hidden="1" customHeight="1">
      <c r="B23" s="75"/>
      <c r="C23" s="60"/>
      <c r="D23" s="51"/>
      <c r="E23" s="62" t="s">
        <v>102</v>
      </c>
      <c r="F23" s="5">
        <v>0.91666666666666663</v>
      </c>
      <c r="G23" s="65"/>
      <c r="H23" s="66"/>
      <c r="I23" s="34"/>
      <c r="J23" s="6" t="str">
        <f t="shared" si="2"/>
        <v/>
      </c>
      <c r="K23" s="38"/>
      <c r="L23" s="38"/>
      <c r="M23" s="38"/>
      <c r="N23" s="38"/>
      <c r="O23" s="38"/>
      <c r="P23" s="38"/>
      <c r="Q23" s="38"/>
      <c r="R23" s="38"/>
      <c r="S23" s="7">
        <f t="shared" si="0"/>
        <v>0</v>
      </c>
      <c r="T23" s="7">
        <v>100000</v>
      </c>
      <c r="U23" s="7">
        <f t="shared" si="1"/>
        <v>0</v>
      </c>
      <c r="V23" s="4"/>
      <c r="X23" s="54" t="s">
        <v>102</v>
      </c>
      <c r="Z23" s="44" t="s">
        <v>45</v>
      </c>
    </row>
    <row r="24" spans="2:26" ht="18.75" hidden="1">
      <c r="B24" s="75"/>
      <c r="C24" s="60"/>
      <c r="D24" s="52"/>
      <c r="E24" s="63"/>
      <c r="F24" s="8">
        <v>1</v>
      </c>
      <c r="G24" s="67"/>
      <c r="H24" s="68"/>
      <c r="I24" s="35"/>
      <c r="J24" s="9" t="str">
        <f t="shared" si="2"/>
        <v/>
      </c>
      <c r="K24" s="39"/>
      <c r="L24" s="39"/>
      <c r="M24" s="39"/>
      <c r="N24" s="39"/>
      <c r="O24" s="39"/>
      <c r="P24" s="39"/>
      <c r="Q24" s="39"/>
      <c r="R24" s="39"/>
      <c r="S24" s="10">
        <f t="shared" si="0"/>
        <v>0</v>
      </c>
      <c r="T24" s="10">
        <v>100000</v>
      </c>
      <c r="U24" s="10">
        <f t="shared" si="1"/>
        <v>0</v>
      </c>
      <c r="V24" s="4"/>
      <c r="Y24" s="4"/>
      <c r="Z24" s="44" t="s">
        <v>44</v>
      </c>
    </row>
    <row r="25" spans="2:26" ht="18.75" hidden="1">
      <c r="B25" s="75"/>
      <c r="C25" s="60"/>
      <c r="D25" s="52"/>
      <c r="E25" s="63"/>
      <c r="F25" s="8">
        <v>8.3333333333333329E-2</v>
      </c>
      <c r="G25" s="67"/>
      <c r="H25" s="68"/>
      <c r="I25" s="35"/>
      <c r="J25" s="9" t="str">
        <f t="shared" si="2"/>
        <v/>
      </c>
      <c r="K25" s="39"/>
      <c r="L25" s="39"/>
      <c r="M25" s="39"/>
      <c r="N25" s="39"/>
      <c r="O25" s="39"/>
      <c r="P25" s="39"/>
      <c r="Q25" s="39"/>
      <c r="R25" s="39"/>
      <c r="S25" s="10">
        <f t="shared" si="0"/>
        <v>0</v>
      </c>
      <c r="T25" s="10">
        <v>100000</v>
      </c>
      <c r="U25" s="10">
        <f t="shared" si="1"/>
        <v>0</v>
      </c>
      <c r="Y25" s="4"/>
      <c r="Z25" s="44" t="s">
        <v>47</v>
      </c>
    </row>
    <row r="26" spans="2:26" ht="18.75" hidden="1">
      <c r="B26" s="75"/>
      <c r="C26" s="60"/>
      <c r="D26" s="52"/>
      <c r="E26" s="63"/>
      <c r="F26" s="8">
        <v>0.16666666666666666</v>
      </c>
      <c r="G26" s="67"/>
      <c r="H26" s="68"/>
      <c r="I26" s="35"/>
      <c r="J26" s="9" t="str">
        <f t="shared" si="2"/>
        <v/>
      </c>
      <c r="K26" s="39"/>
      <c r="L26" s="39"/>
      <c r="M26" s="39"/>
      <c r="N26" s="39"/>
      <c r="O26" s="39"/>
      <c r="P26" s="39"/>
      <c r="Q26" s="39"/>
      <c r="R26" s="39"/>
      <c r="S26" s="10">
        <f t="shared" si="0"/>
        <v>0</v>
      </c>
      <c r="T26" s="10">
        <v>100000</v>
      </c>
      <c r="U26" s="10">
        <f t="shared" si="1"/>
        <v>0</v>
      </c>
      <c r="V26" s="4"/>
      <c r="X26" s="4"/>
      <c r="Y26" s="4"/>
      <c r="Z26" s="44" t="s">
        <v>48</v>
      </c>
    </row>
    <row r="27" spans="2:26" ht="18.75" hidden="1">
      <c r="B27" s="75"/>
      <c r="C27" s="60"/>
      <c r="D27" s="52"/>
      <c r="E27" s="63"/>
      <c r="F27" s="8">
        <v>0.25</v>
      </c>
      <c r="G27" s="67"/>
      <c r="H27" s="68"/>
      <c r="I27" s="35"/>
      <c r="J27" s="9" t="str">
        <f t="shared" si="2"/>
        <v/>
      </c>
      <c r="K27" s="39"/>
      <c r="L27" s="39"/>
      <c r="M27" s="39"/>
      <c r="N27" s="39"/>
      <c r="O27" s="39"/>
      <c r="P27" s="39"/>
      <c r="Q27" s="39"/>
      <c r="R27" s="39"/>
      <c r="S27" s="10">
        <f t="shared" si="0"/>
        <v>0</v>
      </c>
      <c r="T27" s="10">
        <v>100000</v>
      </c>
      <c r="U27" s="10">
        <f t="shared" si="1"/>
        <v>0</v>
      </c>
      <c r="V27" s="4"/>
      <c r="Y27" s="4"/>
      <c r="Z27" s="44" t="s">
        <v>49</v>
      </c>
    </row>
    <row r="28" spans="2:26" ht="18.75" hidden="1">
      <c r="B28" s="75"/>
      <c r="C28" s="60"/>
      <c r="D28" s="53"/>
      <c r="E28" s="64"/>
      <c r="F28" s="12">
        <v>0.33333333333333331</v>
      </c>
      <c r="G28" s="67"/>
      <c r="H28" s="68"/>
      <c r="I28" s="36"/>
      <c r="J28" s="9" t="str">
        <f t="shared" si="2"/>
        <v/>
      </c>
      <c r="K28" s="41"/>
      <c r="L28" s="41"/>
      <c r="M28" s="41"/>
      <c r="N28" s="41"/>
      <c r="O28" s="41"/>
      <c r="P28" s="41"/>
      <c r="Q28" s="41"/>
      <c r="R28" s="41"/>
      <c r="S28" s="13">
        <f t="shared" si="0"/>
        <v>0</v>
      </c>
      <c r="T28" s="13">
        <v>100000</v>
      </c>
      <c r="U28" s="13">
        <f t="shared" si="1"/>
        <v>0</v>
      </c>
      <c r="V28" s="4"/>
      <c r="W28" s="4"/>
      <c r="X28" s="4"/>
      <c r="Y28" s="4"/>
      <c r="Z28" s="44" t="s">
        <v>50</v>
      </c>
    </row>
    <row r="29" spans="2:26" ht="18.600000000000001" hidden="1" customHeight="1">
      <c r="B29" s="89">
        <v>46083</v>
      </c>
      <c r="C29" s="59" t="s">
        <v>14</v>
      </c>
      <c r="D29" s="51" t="s">
        <v>99</v>
      </c>
      <c r="E29" s="62" t="s">
        <v>101</v>
      </c>
      <c r="F29" s="5">
        <v>0.41666666666666669</v>
      </c>
      <c r="G29" s="65" t="s">
        <v>75</v>
      </c>
      <c r="H29" s="66"/>
      <c r="I29" s="34">
        <v>25</v>
      </c>
      <c r="J29" s="6">
        <f t="shared" si="2"/>
        <v>1.1599999999999999</v>
      </c>
      <c r="K29" s="38">
        <v>4</v>
      </c>
      <c r="L29" s="38"/>
      <c r="M29" s="38"/>
      <c r="N29" s="38"/>
      <c r="O29" s="38"/>
      <c r="P29" s="38"/>
      <c r="Q29" s="38">
        <v>20</v>
      </c>
      <c r="R29" s="38">
        <v>5</v>
      </c>
      <c r="S29" s="7">
        <f>SUM(K29:R29)</f>
        <v>29</v>
      </c>
      <c r="T29" s="7">
        <v>100000</v>
      </c>
      <c r="U29" s="7">
        <f>T29*S29</f>
        <v>2900000</v>
      </c>
      <c r="V29" s="4"/>
      <c r="W29" s="4"/>
      <c r="X29" s="4"/>
      <c r="Y29" s="4"/>
      <c r="Z29" s="44" t="s">
        <v>51</v>
      </c>
    </row>
    <row r="30" spans="2:26" ht="18.75" hidden="1">
      <c r="B30" s="75"/>
      <c r="C30" s="60"/>
      <c r="D30" s="52" t="s">
        <v>99</v>
      </c>
      <c r="E30" s="63"/>
      <c r="F30" s="8">
        <v>0.5</v>
      </c>
      <c r="G30" s="67" t="s">
        <v>75</v>
      </c>
      <c r="H30" s="68"/>
      <c r="I30" s="35">
        <v>30</v>
      </c>
      <c r="J30" s="9">
        <f t="shared" si="2"/>
        <v>6.6666666666666666E-2</v>
      </c>
      <c r="K30" s="39"/>
      <c r="L30" s="39"/>
      <c r="M30" s="39">
        <v>2</v>
      </c>
      <c r="N30" s="39"/>
      <c r="O30" s="39"/>
      <c r="P30" s="39"/>
      <c r="Q30" s="39"/>
      <c r="R30" s="39"/>
      <c r="S30" s="10">
        <f t="shared" ref="S30:S40" si="3">SUM(K30:R30)</f>
        <v>2</v>
      </c>
      <c r="T30" s="10">
        <v>100000</v>
      </c>
      <c r="U30" s="10">
        <f t="shared" ref="U30:U31" si="4">T30*S30</f>
        <v>200000</v>
      </c>
      <c r="V30" s="4"/>
      <c r="W30" s="4"/>
      <c r="X30" s="4"/>
      <c r="Y30" s="4"/>
      <c r="Z30" s="44" t="s">
        <v>52</v>
      </c>
    </row>
    <row r="31" spans="2:26" ht="18.75" hidden="1">
      <c r="B31" s="75"/>
      <c r="C31" s="60"/>
      <c r="D31" s="52" t="s">
        <v>99</v>
      </c>
      <c r="E31" s="63"/>
      <c r="F31" s="8">
        <v>0.58333333333333337</v>
      </c>
      <c r="G31" s="67" t="s">
        <v>75</v>
      </c>
      <c r="H31" s="68"/>
      <c r="I31" s="35">
        <v>50</v>
      </c>
      <c r="J31" s="9">
        <f t="shared" si="2"/>
        <v>0.2</v>
      </c>
      <c r="K31" s="39"/>
      <c r="L31" s="39"/>
      <c r="M31" s="39">
        <v>10</v>
      </c>
      <c r="N31" s="39"/>
      <c r="O31" s="39"/>
      <c r="P31" s="39"/>
      <c r="Q31" s="39"/>
      <c r="R31" s="39"/>
      <c r="S31" s="10">
        <f t="shared" si="3"/>
        <v>10</v>
      </c>
      <c r="T31" s="10">
        <v>100000</v>
      </c>
      <c r="U31" s="10">
        <f t="shared" si="4"/>
        <v>1000000</v>
      </c>
      <c r="V31" s="4"/>
      <c r="W31" s="4"/>
      <c r="X31" s="4"/>
      <c r="Y31" s="4"/>
      <c r="Z31" s="44" t="s">
        <v>53</v>
      </c>
    </row>
    <row r="32" spans="2:26" ht="18.75" hidden="1">
      <c r="B32" s="75"/>
      <c r="C32" s="60"/>
      <c r="D32" s="52" t="s">
        <v>99</v>
      </c>
      <c r="E32" s="63"/>
      <c r="F32" s="8">
        <v>0.66666666666666663</v>
      </c>
      <c r="G32" s="67" t="s">
        <v>75</v>
      </c>
      <c r="H32" s="68"/>
      <c r="I32" s="35">
        <v>60</v>
      </c>
      <c r="J32" s="9">
        <f t="shared" si="2"/>
        <v>0</v>
      </c>
      <c r="K32" s="39"/>
      <c r="L32" s="39"/>
      <c r="M32" s="39"/>
      <c r="N32" s="39"/>
      <c r="O32" s="39"/>
      <c r="P32" s="39"/>
      <c r="Q32" s="39"/>
      <c r="R32" s="39"/>
      <c r="S32" s="10">
        <f t="shared" si="3"/>
        <v>0</v>
      </c>
      <c r="T32" s="10">
        <v>100000</v>
      </c>
      <c r="U32" s="10">
        <f>T32*S32</f>
        <v>0</v>
      </c>
      <c r="V32" s="4"/>
      <c r="W32" s="4"/>
      <c r="X32" s="4"/>
      <c r="Y32" s="4"/>
      <c r="Z32" s="44" t="s">
        <v>54</v>
      </c>
    </row>
    <row r="33" spans="2:26" ht="18.75" hidden="1">
      <c r="B33" s="75"/>
      <c r="C33" s="60"/>
      <c r="D33" s="52" t="s">
        <v>99</v>
      </c>
      <c r="E33" s="63"/>
      <c r="F33" s="8">
        <v>0.75</v>
      </c>
      <c r="G33" s="67" t="s">
        <v>75</v>
      </c>
      <c r="H33" s="68"/>
      <c r="I33" s="35">
        <v>45</v>
      </c>
      <c r="J33" s="9">
        <f t="shared" si="2"/>
        <v>4.4444444444444446E-2</v>
      </c>
      <c r="K33" s="39"/>
      <c r="L33" s="39"/>
      <c r="M33" s="39">
        <v>2</v>
      </c>
      <c r="N33" s="39"/>
      <c r="O33" s="39"/>
      <c r="P33" s="39"/>
      <c r="Q33" s="39"/>
      <c r="R33" s="39"/>
      <c r="S33" s="10">
        <f t="shared" si="3"/>
        <v>2</v>
      </c>
      <c r="T33" s="10">
        <v>100000</v>
      </c>
      <c r="U33" s="10">
        <f t="shared" ref="U33:U40" si="5">T33*S33</f>
        <v>200000</v>
      </c>
      <c r="V33" s="4"/>
      <c r="W33" s="4"/>
      <c r="X33" s="11"/>
      <c r="Y33" s="4"/>
      <c r="Z33" s="44" t="s">
        <v>40</v>
      </c>
    </row>
    <row r="34" spans="2:26" ht="18.75" hidden="1">
      <c r="B34" s="75"/>
      <c r="C34" s="60"/>
      <c r="D34" s="53" t="s">
        <v>99</v>
      </c>
      <c r="E34" s="64"/>
      <c r="F34" s="12">
        <v>0.83333333333333337</v>
      </c>
      <c r="G34" s="67" t="s">
        <v>75</v>
      </c>
      <c r="H34" s="68"/>
      <c r="I34" s="36">
        <v>50</v>
      </c>
      <c r="J34" s="9">
        <f t="shared" si="2"/>
        <v>0</v>
      </c>
      <c r="K34" s="41"/>
      <c r="L34" s="41"/>
      <c r="M34" s="41"/>
      <c r="N34" s="41"/>
      <c r="O34" s="41"/>
      <c r="P34" s="41"/>
      <c r="Q34" s="41"/>
      <c r="R34" s="41"/>
      <c r="S34" s="13">
        <f t="shared" si="3"/>
        <v>0</v>
      </c>
      <c r="T34" s="13">
        <v>100000</v>
      </c>
      <c r="U34" s="13">
        <f t="shared" si="5"/>
        <v>0</v>
      </c>
      <c r="V34" s="4"/>
      <c r="Y34" s="4"/>
      <c r="Z34" s="44" t="s">
        <v>41</v>
      </c>
    </row>
    <row r="35" spans="2:26" ht="18.75" hidden="1">
      <c r="B35" s="75"/>
      <c r="C35" s="60"/>
      <c r="D35" s="51" t="s">
        <v>99</v>
      </c>
      <c r="E35" s="62" t="s">
        <v>102</v>
      </c>
      <c r="F35" s="5">
        <v>0.91666666666666663</v>
      </c>
      <c r="G35" s="65" t="s">
        <v>87</v>
      </c>
      <c r="H35" s="66"/>
      <c r="I35" s="34">
        <v>50</v>
      </c>
      <c r="J35" s="6">
        <f t="shared" si="2"/>
        <v>0.2</v>
      </c>
      <c r="K35" s="38"/>
      <c r="L35" s="38"/>
      <c r="M35" s="38">
        <v>4</v>
      </c>
      <c r="N35" s="38">
        <v>1</v>
      </c>
      <c r="O35" s="38"/>
      <c r="P35" s="38"/>
      <c r="Q35" s="38"/>
      <c r="R35" s="38">
        <v>5</v>
      </c>
      <c r="S35" s="7">
        <f t="shared" si="3"/>
        <v>10</v>
      </c>
      <c r="T35" s="7">
        <v>100000</v>
      </c>
      <c r="U35" s="7">
        <f t="shared" si="5"/>
        <v>1000000</v>
      </c>
      <c r="V35" s="4"/>
      <c r="Y35" s="4"/>
      <c r="Z35" s="44" t="s">
        <v>55</v>
      </c>
    </row>
    <row r="36" spans="2:26" ht="18.75" hidden="1">
      <c r="B36" s="75"/>
      <c r="C36" s="60"/>
      <c r="D36" s="52" t="s">
        <v>99</v>
      </c>
      <c r="E36" s="63"/>
      <c r="F36" s="8">
        <v>1</v>
      </c>
      <c r="G36" s="67" t="s">
        <v>87</v>
      </c>
      <c r="H36" s="68"/>
      <c r="I36" s="35">
        <v>60</v>
      </c>
      <c r="J36" s="9">
        <f t="shared" si="2"/>
        <v>0</v>
      </c>
      <c r="K36" s="39"/>
      <c r="L36" s="39"/>
      <c r="M36" s="39"/>
      <c r="N36" s="39"/>
      <c r="O36" s="39"/>
      <c r="P36" s="39"/>
      <c r="Q36" s="39"/>
      <c r="R36" s="39"/>
      <c r="S36" s="10">
        <f t="shared" si="3"/>
        <v>0</v>
      </c>
      <c r="T36" s="10">
        <v>100000</v>
      </c>
      <c r="U36" s="10">
        <f t="shared" si="5"/>
        <v>0</v>
      </c>
      <c r="V36" s="4"/>
      <c r="Y36" s="4"/>
      <c r="Z36" s="44" t="s">
        <v>56</v>
      </c>
    </row>
    <row r="37" spans="2:26" ht="18.75" hidden="1">
      <c r="B37" s="75"/>
      <c r="C37" s="60"/>
      <c r="D37" s="52" t="s">
        <v>99</v>
      </c>
      <c r="E37" s="63"/>
      <c r="F37" s="8">
        <v>8.3333333333333329E-2</v>
      </c>
      <c r="G37" s="67" t="s">
        <v>87</v>
      </c>
      <c r="H37" s="68"/>
      <c r="I37" s="35">
        <v>60</v>
      </c>
      <c r="J37" s="9">
        <f t="shared" si="2"/>
        <v>0</v>
      </c>
      <c r="K37" s="39"/>
      <c r="L37" s="39"/>
      <c r="M37" s="39"/>
      <c r="N37" s="39"/>
      <c r="O37" s="39"/>
      <c r="P37" s="39"/>
      <c r="Q37" s="39"/>
      <c r="R37" s="39"/>
      <c r="S37" s="10">
        <f t="shared" si="3"/>
        <v>0</v>
      </c>
      <c r="T37" s="10">
        <v>100000</v>
      </c>
      <c r="U37" s="10">
        <f t="shared" si="5"/>
        <v>0</v>
      </c>
      <c r="V37" s="4"/>
      <c r="Y37" s="4"/>
      <c r="Z37" s="44" t="s">
        <v>38</v>
      </c>
    </row>
    <row r="38" spans="2:26" ht="18.75" hidden="1">
      <c r="B38" s="75"/>
      <c r="C38" s="60"/>
      <c r="D38" s="52" t="s">
        <v>99</v>
      </c>
      <c r="E38" s="63"/>
      <c r="F38" s="8">
        <v>0.16666666666666666</v>
      </c>
      <c r="G38" s="67" t="s">
        <v>87</v>
      </c>
      <c r="H38" s="68"/>
      <c r="I38" s="35">
        <v>60</v>
      </c>
      <c r="J38" s="9">
        <f t="shared" si="2"/>
        <v>0</v>
      </c>
      <c r="K38" s="39"/>
      <c r="L38" s="39"/>
      <c r="M38" s="39"/>
      <c r="N38" s="39"/>
      <c r="O38" s="39"/>
      <c r="P38" s="39"/>
      <c r="Q38" s="39"/>
      <c r="R38" s="39"/>
      <c r="S38" s="10">
        <f t="shared" si="3"/>
        <v>0</v>
      </c>
      <c r="T38" s="10">
        <v>100000</v>
      </c>
      <c r="U38" s="10">
        <f t="shared" si="5"/>
        <v>0</v>
      </c>
      <c r="V38" s="4"/>
      <c r="W38" s="4"/>
      <c r="X38" s="4"/>
      <c r="Y38" s="4"/>
      <c r="Z38" s="44" t="s">
        <v>39</v>
      </c>
    </row>
    <row r="39" spans="2:26" ht="18.75" hidden="1">
      <c r="B39" s="75"/>
      <c r="C39" s="60"/>
      <c r="D39" s="52" t="s">
        <v>99</v>
      </c>
      <c r="E39" s="63"/>
      <c r="F39" s="8">
        <v>0.25</v>
      </c>
      <c r="G39" s="67" t="s">
        <v>87</v>
      </c>
      <c r="H39" s="68"/>
      <c r="I39" s="35">
        <v>60</v>
      </c>
      <c r="J39" s="9">
        <f t="shared" si="2"/>
        <v>0</v>
      </c>
      <c r="K39" s="39"/>
      <c r="L39" s="39"/>
      <c r="M39" s="39"/>
      <c r="N39" s="39"/>
      <c r="O39" s="39"/>
      <c r="P39" s="39"/>
      <c r="Q39" s="39"/>
      <c r="R39" s="39"/>
      <c r="S39" s="10">
        <f t="shared" si="3"/>
        <v>0</v>
      </c>
      <c r="T39" s="10">
        <v>100000</v>
      </c>
      <c r="U39" s="10">
        <f t="shared" si="5"/>
        <v>0</v>
      </c>
      <c r="V39" s="4"/>
      <c r="Y39" s="4"/>
      <c r="Z39" s="44" t="s">
        <v>57</v>
      </c>
    </row>
    <row r="40" spans="2:26" ht="18.75" hidden="1">
      <c r="B40" s="90"/>
      <c r="C40" s="61"/>
      <c r="D40" s="53" t="s">
        <v>99</v>
      </c>
      <c r="E40" s="64"/>
      <c r="F40" s="12">
        <v>0.33333333333333331</v>
      </c>
      <c r="G40" s="67" t="s">
        <v>87</v>
      </c>
      <c r="H40" s="68"/>
      <c r="I40" s="36">
        <v>60</v>
      </c>
      <c r="J40" s="9">
        <f t="shared" si="2"/>
        <v>0</v>
      </c>
      <c r="K40" s="41"/>
      <c r="L40" s="41"/>
      <c r="M40" s="41"/>
      <c r="N40" s="41"/>
      <c r="O40" s="41"/>
      <c r="P40" s="41"/>
      <c r="Q40" s="41"/>
      <c r="R40" s="41"/>
      <c r="S40" s="13">
        <f t="shared" si="3"/>
        <v>0</v>
      </c>
      <c r="T40" s="13">
        <v>100000</v>
      </c>
      <c r="U40" s="13">
        <f t="shared" si="5"/>
        <v>0</v>
      </c>
      <c r="V40" s="4"/>
      <c r="W40" s="4"/>
      <c r="X40" s="4"/>
      <c r="Y40" s="4"/>
      <c r="Z40" s="44" t="s">
        <v>58</v>
      </c>
    </row>
    <row r="41" spans="2:26" ht="18.600000000000001" hidden="1" customHeight="1">
      <c r="B41" s="75">
        <v>46084</v>
      </c>
      <c r="C41" s="59" t="s">
        <v>14</v>
      </c>
      <c r="D41" s="51" t="s">
        <v>99</v>
      </c>
      <c r="E41" s="62" t="s">
        <v>101</v>
      </c>
      <c r="F41" s="5">
        <v>0.41666666666666669</v>
      </c>
      <c r="G41" s="65" t="s">
        <v>75</v>
      </c>
      <c r="H41" s="66"/>
      <c r="I41" s="34">
        <v>60</v>
      </c>
      <c r="J41" s="6">
        <f t="shared" si="2"/>
        <v>3.3333333333333333E-2</v>
      </c>
      <c r="K41" s="38"/>
      <c r="L41" s="38"/>
      <c r="M41" s="38">
        <v>2</v>
      </c>
      <c r="N41" s="38"/>
      <c r="O41" s="38"/>
      <c r="P41" s="38"/>
      <c r="Q41" s="38"/>
      <c r="R41" s="38"/>
      <c r="S41" s="7">
        <f>SUM(K41:R41)</f>
        <v>2</v>
      </c>
      <c r="T41" s="7">
        <v>100000</v>
      </c>
      <c r="U41" s="7">
        <f>T41*S41</f>
        <v>200000</v>
      </c>
      <c r="V41" s="4"/>
      <c r="W41" s="4"/>
      <c r="X41" s="4"/>
      <c r="Y41" s="4"/>
      <c r="Z41" s="44" t="s">
        <v>59</v>
      </c>
    </row>
    <row r="42" spans="2:26" ht="18.75" hidden="1">
      <c r="B42" s="75"/>
      <c r="C42" s="60"/>
      <c r="D42" s="52" t="s">
        <v>99</v>
      </c>
      <c r="E42" s="63"/>
      <c r="F42" s="8">
        <v>0.5</v>
      </c>
      <c r="G42" s="67" t="s">
        <v>75</v>
      </c>
      <c r="H42" s="68"/>
      <c r="I42" s="35">
        <v>60</v>
      </c>
      <c r="J42" s="9">
        <f t="shared" si="2"/>
        <v>8.3333333333333329E-2</v>
      </c>
      <c r="K42" s="39"/>
      <c r="L42" s="39"/>
      <c r="M42" s="39">
        <v>5</v>
      </c>
      <c r="N42" s="39"/>
      <c r="O42" s="39"/>
      <c r="P42" s="39"/>
      <c r="Q42" s="39"/>
      <c r="R42" s="39"/>
      <c r="S42" s="10">
        <f t="shared" ref="S42:S52" si="6">SUM(K42:R42)</f>
        <v>5</v>
      </c>
      <c r="T42" s="10">
        <v>100000</v>
      </c>
      <c r="U42" s="10">
        <f t="shared" ref="U42:U43" si="7">T42*S42</f>
        <v>500000</v>
      </c>
      <c r="V42" s="4"/>
      <c r="W42" s="4"/>
      <c r="X42" s="4"/>
      <c r="Y42" s="4"/>
      <c r="Z42" s="44" t="s">
        <v>60</v>
      </c>
    </row>
    <row r="43" spans="2:26" ht="18.75" hidden="1">
      <c r="B43" s="75"/>
      <c r="C43" s="60"/>
      <c r="D43" s="52" t="s">
        <v>99</v>
      </c>
      <c r="E43" s="63"/>
      <c r="F43" s="8">
        <v>0.58333333333333337</v>
      </c>
      <c r="G43" s="67" t="s">
        <v>75</v>
      </c>
      <c r="H43" s="68"/>
      <c r="I43" s="35">
        <v>60</v>
      </c>
      <c r="J43" s="9">
        <f t="shared" si="2"/>
        <v>0.05</v>
      </c>
      <c r="K43" s="39"/>
      <c r="L43" s="39"/>
      <c r="M43" s="39"/>
      <c r="N43" s="39"/>
      <c r="O43" s="39"/>
      <c r="P43" s="39"/>
      <c r="Q43" s="39"/>
      <c r="R43" s="39">
        <v>3</v>
      </c>
      <c r="S43" s="10">
        <f t="shared" si="6"/>
        <v>3</v>
      </c>
      <c r="T43" s="10">
        <v>100000</v>
      </c>
      <c r="U43" s="10">
        <f t="shared" si="7"/>
        <v>300000</v>
      </c>
      <c r="V43" s="4"/>
      <c r="W43" s="4"/>
      <c r="X43" s="4"/>
      <c r="Y43" s="4"/>
      <c r="Z43" s="44" t="s">
        <v>42</v>
      </c>
    </row>
    <row r="44" spans="2:26" ht="18.75" hidden="1">
      <c r="B44" s="75"/>
      <c r="C44" s="60"/>
      <c r="D44" s="52" t="s">
        <v>99</v>
      </c>
      <c r="E44" s="63"/>
      <c r="F44" s="8">
        <v>0.66666666666666663</v>
      </c>
      <c r="G44" s="67" t="s">
        <v>75</v>
      </c>
      <c r="H44" s="68"/>
      <c r="I44" s="35">
        <v>50</v>
      </c>
      <c r="J44" s="9">
        <f t="shared" si="2"/>
        <v>0.06</v>
      </c>
      <c r="K44" s="39">
        <v>3</v>
      </c>
      <c r="L44" s="39"/>
      <c r="M44" s="39"/>
      <c r="N44" s="39"/>
      <c r="O44" s="39"/>
      <c r="P44" s="39"/>
      <c r="Q44" s="39"/>
      <c r="R44" s="39"/>
      <c r="S44" s="10">
        <f t="shared" si="6"/>
        <v>3</v>
      </c>
      <c r="T44" s="10">
        <v>100000</v>
      </c>
      <c r="U44" s="10">
        <f>T44*S44</f>
        <v>300000</v>
      </c>
      <c r="V44" s="4"/>
      <c r="W44" s="4"/>
      <c r="X44" s="4"/>
      <c r="Y44" s="4"/>
      <c r="Z44" s="44" t="s">
        <v>43</v>
      </c>
    </row>
    <row r="45" spans="2:26" ht="18.75" hidden="1">
      <c r="B45" s="75"/>
      <c r="C45" s="60"/>
      <c r="D45" s="52" t="s">
        <v>99</v>
      </c>
      <c r="E45" s="63"/>
      <c r="F45" s="8">
        <v>0.75</v>
      </c>
      <c r="G45" s="67" t="s">
        <v>75</v>
      </c>
      <c r="H45" s="68"/>
      <c r="I45" s="35">
        <v>50</v>
      </c>
      <c r="J45" s="9">
        <f t="shared" si="2"/>
        <v>0.04</v>
      </c>
      <c r="K45" s="39"/>
      <c r="L45" s="39"/>
      <c r="M45" s="39"/>
      <c r="N45" s="39"/>
      <c r="O45" s="39"/>
      <c r="P45" s="39"/>
      <c r="Q45" s="39"/>
      <c r="R45" s="39">
        <v>2</v>
      </c>
      <c r="S45" s="10">
        <f t="shared" si="6"/>
        <v>2</v>
      </c>
      <c r="T45" s="10">
        <v>100000</v>
      </c>
      <c r="U45" s="10">
        <f t="shared" ref="U45:U52" si="8">T45*S45</f>
        <v>200000</v>
      </c>
      <c r="V45" s="4"/>
      <c r="W45" s="4"/>
      <c r="X45" s="11"/>
      <c r="Y45" s="4"/>
      <c r="Z45" s="45"/>
    </row>
    <row r="46" spans="2:26" ht="18.75" hidden="1">
      <c r="B46" s="75"/>
      <c r="C46" s="60"/>
      <c r="D46" s="53" t="s">
        <v>99</v>
      </c>
      <c r="E46" s="64"/>
      <c r="F46" s="12">
        <v>0.83333333333333337</v>
      </c>
      <c r="G46" s="67" t="s">
        <v>75</v>
      </c>
      <c r="H46" s="68"/>
      <c r="I46" s="36">
        <v>20</v>
      </c>
      <c r="J46" s="9">
        <f t="shared" si="2"/>
        <v>0.2</v>
      </c>
      <c r="K46" s="41"/>
      <c r="L46" s="41"/>
      <c r="M46" s="41"/>
      <c r="N46" s="41"/>
      <c r="O46" s="41"/>
      <c r="P46" s="41"/>
      <c r="Q46" s="41"/>
      <c r="R46" s="41">
        <v>4</v>
      </c>
      <c r="S46" s="13">
        <f t="shared" si="6"/>
        <v>4</v>
      </c>
      <c r="T46" s="13">
        <v>100000</v>
      </c>
      <c r="U46" s="13">
        <f t="shared" si="8"/>
        <v>400000</v>
      </c>
      <c r="V46" s="4"/>
      <c r="Y46" s="4"/>
      <c r="Z46" s="45"/>
    </row>
    <row r="47" spans="2:26" ht="18.75" hidden="1">
      <c r="B47" s="75"/>
      <c r="C47" s="60"/>
      <c r="D47" s="51" t="s">
        <v>100</v>
      </c>
      <c r="E47" s="62" t="s">
        <v>102</v>
      </c>
      <c r="F47" s="5">
        <v>0.91666666666666663</v>
      </c>
      <c r="G47" s="65" t="s">
        <v>86</v>
      </c>
      <c r="H47" s="66"/>
      <c r="I47" s="34">
        <v>0</v>
      </c>
      <c r="J47" s="6" t="str">
        <f t="shared" si="2"/>
        <v/>
      </c>
      <c r="K47" s="38"/>
      <c r="L47" s="38"/>
      <c r="M47" s="38"/>
      <c r="N47" s="38"/>
      <c r="O47" s="38"/>
      <c r="P47" s="38"/>
      <c r="Q47" s="38">
        <v>10</v>
      </c>
      <c r="R47" s="38"/>
      <c r="S47" s="7">
        <f t="shared" si="6"/>
        <v>10</v>
      </c>
      <c r="T47" s="7">
        <v>100000</v>
      </c>
      <c r="U47" s="7">
        <f t="shared" si="8"/>
        <v>1000000</v>
      </c>
      <c r="V47" s="4"/>
      <c r="Y47" s="4"/>
      <c r="Z47" s="45"/>
    </row>
    <row r="48" spans="2:26" ht="18.75" hidden="1">
      <c r="B48" s="75"/>
      <c r="C48" s="60"/>
      <c r="D48" s="52" t="s">
        <v>100</v>
      </c>
      <c r="E48" s="63"/>
      <c r="F48" s="8">
        <v>1</v>
      </c>
      <c r="G48" s="67" t="s">
        <v>86</v>
      </c>
      <c r="H48" s="68"/>
      <c r="I48" s="35">
        <v>0</v>
      </c>
      <c r="J48" s="9" t="str">
        <f t="shared" si="2"/>
        <v/>
      </c>
      <c r="K48" s="39"/>
      <c r="L48" s="39"/>
      <c r="M48" s="39"/>
      <c r="N48" s="39"/>
      <c r="O48" s="39"/>
      <c r="P48" s="39"/>
      <c r="Q48" s="39"/>
      <c r="R48" s="39"/>
      <c r="S48" s="10">
        <f t="shared" si="6"/>
        <v>0</v>
      </c>
      <c r="T48" s="10">
        <v>100000</v>
      </c>
      <c r="U48" s="10">
        <f t="shared" si="8"/>
        <v>0</v>
      </c>
      <c r="V48" s="4"/>
      <c r="Y48" s="4"/>
      <c r="Z48" s="45"/>
    </row>
    <row r="49" spans="2:26" ht="18.75" hidden="1">
      <c r="B49" s="75"/>
      <c r="C49" s="60"/>
      <c r="D49" s="52" t="s">
        <v>100</v>
      </c>
      <c r="E49" s="63"/>
      <c r="F49" s="8">
        <v>8.3333333333333329E-2</v>
      </c>
      <c r="G49" s="67" t="s">
        <v>86</v>
      </c>
      <c r="H49" s="68"/>
      <c r="I49" s="35">
        <v>30</v>
      </c>
      <c r="J49" s="9">
        <f t="shared" si="2"/>
        <v>3.3333333333333333E-2</v>
      </c>
      <c r="K49" s="39">
        <v>1</v>
      </c>
      <c r="L49" s="39"/>
      <c r="M49" s="39"/>
      <c r="N49" s="39"/>
      <c r="O49" s="39"/>
      <c r="P49" s="39"/>
      <c r="Q49" s="39"/>
      <c r="R49" s="39"/>
      <c r="S49" s="10">
        <f t="shared" si="6"/>
        <v>1</v>
      </c>
      <c r="T49" s="10">
        <v>100000</v>
      </c>
      <c r="U49" s="10">
        <f t="shared" si="8"/>
        <v>100000</v>
      </c>
      <c r="V49" s="4"/>
      <c r="Y49" s="4"/>
      <c r="Z49" s="45"/>
    </row>
    <row r="50" spans="2:26" ht="18.75" hidden="1">
      <c r="B50" s="75"/>
      <c r="C50" s="60"/>
      <c r="D50" s="52" t="s">
        <v>100</v>
      </c>
      <c r="E50" s="63"/>
      <c r="F50" s="8">
        <v>0.16666666666666666</v>
      </c>
      <c r="G50" s="67" t="s">
        <v>86</v>
      </c>
      <c r="H50" s="68"/>
      <c r="I50" s="35">
        <v>50</v>
      </c>
      <c r="J50" s="9">
        <f t="shared" si="2"/>
        <v>0.02</v>
      </c>
      <c r="K50" s="39"/>
      <c r="L50" s="39"/>
      <c r="M50" s="39">
        <v>1</v>
      </c>
      <c r="N50" s="39"/>
      <c r="O50" s="39"/>
      <c r="P50" s="39"/>
      <c r="Q50" s="39"/>
      <c r="R50" s="39"/>
      <c r="S50" s="10">
        <f t="shared" si="6"/>
        <v>1</v>
      </c>
      <c r="T50" s="10">
        <v>100000</v>
      </c>
      <c r="U50" s="10">
        <f t="shared" si="8"/>
        <v>100000</v>
      </c>
      <c r="V50" s="4"/>
      <c r="W50" s="4"/>
      <c r="X50" s="4"/>
      <c r="Y50" s="4"/>
      <c r="Z50" s="45"/>
    </row>
    <row r="51" spans="2:26" ht="18.75" hidden="1">
      <c r="B51" s="75"/>
      <c r="C51" s="60"/>
      <c r="D51" s="52" t="s">
        <v>100</v>
      </c>
      <c r="E51" s="63"/>
      <c r="F51" s="8">
        <v>0.25</v>
      </c>
      <c r="G51" s="67" t="s">
        <v>86</v>
      </c>
      <c r="H51" s="68"/>
      <c r="I51" s="35">
        <v>50</v>
      </c>
      <c r="J51" s="9">
        <f t="shared" si="2"/>
        <v>0.02</v>
      </c>
      <c r="K51" s="39"/>
      <c r="L51" s="39"/>
      <c r="M51" s="39">
        <v>1</v>
      </c>
      <c r="N51" s="39"/>
      <c r="O51" s="39"/>
      <c r="P51" s="39"/>
      <c r="Q51" s="39"/>
      <c r="R51" s="39"/>
      <c r="S51" s="10">
        <f t="shared" si="6"/>
        <v>1</v>
      </c>
      <c r="T51" s="10">
        <v>100000</v>
      </c>
      <c r="U51" s="10">
        <f t="shared" si="8"/>
        <v>100000</v>
      </c>
      <c r="V51" s="4"/>
      <c r="Y51" s="4"/>
      <c r="Z51" s="45"/>
    </row>
    <row r="52" spans="2:26" ht="18.75" hidden="1">
      <c r="B52" s="75"/>
      <c r="C52" s="60"/>
      <c r="D52" s="53" t="s">
        <v>100</v>
      </c>
      <c r="E52" s="64"/>
      <c r="F52" s="12">
        <v>0.33333333333333331</v>
      </c>
      <c r="G52" s="67" t="s">
        <v>86</v>
      </c>
      <c r="H52" s="68"/>
      <c r="I52" s="36">
        <v>50</v>
      </c>
      <c r="J52" s="9">
        <f t="shared" si="2"/>
        <v>0.02</v>
      </c>
      <c r="K52" s="41"/>
      <c r="L52" s="41"/>
      <c r="M52" s="41">
        <v>1</v>
      </c>
      <c r="N52" s="41"/>
      <c r="O52" s="41"/>
      <c r="P52" s="41"/>
      <c r="Q52" s="41"/>
      <c r="R52" s="41"/>
      <c r="S52" s="13">
        <f t="shared" si="6"/>
        <v>1</v>
      </c>
      <c r="T52" s="13">
        <v>100000</v>
      </c>
      <c r="U52" s="13">
        <f t="shared" si="8"/>
        <v>100000</v>
      </c>
      <c r="V52" s="4"/>
      <c r="W52" s="4"/>
      <c r="X52" s="4"/>
      <c r="Y52" s="4"/>
      <c r="Z52" s="45"/>
    </row>
    <row r="53" spans="2:26" ht="16.5" hidden="1" customHeight="1">
      <c r="B53" s="58">
        <v>46085</v>
      </c>
      <c r="C53" s="59" t="s">
        <v>14</v>
      </c>
      <c r="D53" s="51" t="s">
        <v>100</v>
      </c>
      <c r="E53" s="62" t="s">
        <v>101</v>
      </c>
      <c r="F53" s="5">
        <v>0.41666666666666669</v>
      </c>
      <c r="G53" s="65" t="s">
        <v>74</v>
      </c>
      <c r="H53" s="66"/>
      <c r="I53" s="34">
        <v>53</v>
      </c>
      <c r="J53" s="6">
        <f t="shared" si="2"/>
        <v>0</v>
      </c>
      <c r="K53" s="38"/>
      <c r="L53" s="38"/>
      <c r="M53" s="38"/>
      <c r="N53" s="38"/>
      <c r="O53" s="38"/>
      <c r="P53" s="38"/>
      <c r="Q53" s="38"/>
      <c r="R53" s="38"/>
      <c r="S53" s="7">
        <f>SUM(K53:R53)</f>
        <v>0</v>
      </c>
      <c r="T53" s="7">
        <v>100000</v>
      </c>
      <c r="U53" s="7">
        <f>T53*S53</f>
        <v>0</v>
      </c>
      <c r="V53" s="4"/>
      <c r="W53" s="4"/>
      <c r="X53" s="4"/>
      <c r="Y53" s="4"/>
      <c r="Z53" s="45"/>
    </row>
    <row r="54" spans="2:26" ht="18.75" hidden="1">
      <c r="B54" s="58"/>
      <c r="C54" s="60"/>
      <c r="D54" s="52" t="s">
        <v>100</v>
      </c>
      <c r="E54" s="63"/>
      <c r="F54" s="8">
        <v>0.5</v>
      </c>
      <c r="G54" s="67" t="s">
        <v>74</v>
      </c>
      <c r="H54" s="68"/>
      <c r="I54" s="35">
        <v>35</v>
      </c>
      <c r="J54" s="9">
        <f t="shared" si="2"/>
        <v>0.25714285714285712</v>
      </c>
      <c r="K54" s="39"/>
      <c r="L54" s="39"/>
      <c r="M54" s="39">
        <v>5</v>
      </c>
      <c r="N54" s="39"/>
      <c r="O54" s="39"/>
      <c r="P54" s="39"/>
      <c r="Q54" s="39"/>
      <c r="R54" s="39">
        <v>4</v>
      </c>
      <c r="S54" s="10">
        <f t="shared" ref="S54:S64" si="9">SUM(K54:R54)</f>
        <v>9</v>
      </c>
      <c r="T54" s="10">
        <v>100000</v>
      </c>
      <c r="U54" s="10">
        <f t="shared" ref="U54:U55" si="10">T54*S54</f>
        <v>900000</v>
      </c>
      <c r="V54" s="4"/>
      <c r="W54" s="4"/>
      <c r="X54" s="4"/>
      <c r="Y54" s="4"/>
      <c r="Z54" s="45"/>
    </row>
    <row r="55" spans="2:26" ht="18.75" hidden="1">
      <c r="B55" s="58"/>
      <c r="C55" s="60"/>
      <c r="D55" s="52" t="s">
        <v>100</v>
      </c>
      <c r="E55" s="63"/>
      <c r="F55" s="8">
        <v>0.58333333333333337</v>
      </c>
      <c r="G55" s="67" t="s">
        <v>74</v>
      </c>
      <c r="H55" s="68"/>
      <c r="I55" s="35">
        <v>53</v>
      </c>
      <c r="J55" s="9">
        <f t="shared" si="2"/>
        <v>0</v>
      </c>
      <c r="K55" s="39"/>
      <c r="L55" s="39"/>
      <c r="M55" s="39"/>
      <c r="N55" s="39"/>
      <c r="O55" s="39"/>
      <c r="P55" s="39"/>
      <c r="Q55" s="39"/>
      <c r="R55" s="39"/>
      <c r="S55" s="10">
        <f t="shared" si="9"/>
        <v>0</v>
      </c>
      <c r="T55" s="10">
        <v>100000</v>
      </c>
      <c r="U55" s="10">
        <f t="shared" si="10"/>
        <v>0</v>
      </c>
      <c r="V55" s="4"/>
      <c r="W55" s="4"/>
      <c r="X55" s="4"/>
      <c r="Y55" s="4"/>
      <c r="Z55" s="45"/>
    </row>
    <row r="56" spans="2:26" ht="18.75" hidden="1">
      <c r="B56" s="58"/>
      <c r="C56" s="60"/>
      <c r="D56" s="52" t="s">
        <v>100</v>
      </c>
      <c r="E56" s="63"/>
      <c r="F56" s="8">
        <v>0.66666666666666663</v>
      </c>
      <c r="G56" s="67" t="s">
        <v>74</v>
      </c>
      <c r="H56" s="68"/>
      <c r="I56" s="35">
        <v>53</v>
      </c>
      <c r="J56" s="9">
        <f t="shared" si="2"/>
        <v>0</v>
      </c>
      <c r="K56" s="39"/>
      <c r="L56" s="39"/>
      <c r="M56" s="39"/>
      <c r="N56" s="39"/>
      <c r="O56" s="39"/>
      <c r="P56" s="39"/>
      <c r="Q56" s="39"/>
      <c r="R56" s="39"/>
      <c r="S56" s="10">
        <f t="shared" si="9"/>
        <v>0</v>
      </c>
      <c r="T56" s="10">
        <v>100000</v>
      </c>
      <c r="U56" s="10">
        <f>T56*S56</f>
        <v>0</v>
      </c>
      <c r="V56" s="4"/>
      <c r="W56" s="4"/>
      <c r="X56" s="4"/>
      <c r="Y56" s="4"/>
      <c r="Z56" s="45"/>
    </row>
    <row r="57" spans="2:26" ht="18.75" hidden="1">
      <c r="B57" s="58"/>
      <c r="C57" s="60"/>
      <c r="D57" s="52" t="s">
        <v>100</v>
      </c>
      <c r="E57" s="63"/>
      <c r="F57" s="8">
        <v>0.75</v>
      </c>
      <c r="G57" s="67" t="s">
        <v>74</v>
      </c>
      <c r="H57" s="68"/>
      <c r="I57" s="35">
        <v>53</v>
      </c>
      <c r="J57" s="9">
        <f t="shared" si="2"/>
        <v>0</v>
      </c>
      <c r="K57" s="39"/>
      <c r="L57" s="39"/>
      <c r="M57" s="39"/>
      <c r="N57" s="39"/>
      <c r="O57" s="39"/>
      <c r="P57" s="39"/>
      <c r="Q57" s="39"/>
      <c r="R57" s="39"/>
      <c r="S57" s="10">
        <f t="shared" si="9"/>
        <v>0</v>
      </c>
      <c r="T57" s="10">
        <v>100000</v>
      </c>
      <c r="U57" s="10">
        <f t="shared" ref="U57:U64" si="11">T57*S57</f>
        <v>0</v>
      </c>
      <c r="V57" s="4"/>
      <c r="W57" s="4"/>
      <c r="X57" s="11"/>
      <c r="Y57" s="4"/>
      <c r="Z57" s="45"/>
    </row>
    <row r="58" spans="2:26" ht="18.75" hidden="1">
      <c r="B58" s="58"/>
      <c r="C58" s="60"/>
      <c r="D58" s="53" t="s">
        <v>100</v>
      </c>
      <c r="E58" s="64"/>
      <c r="F58" s="12">
        <v>0.83333333333333337</v>
      </c>
      <c r="G58" s="67" t="s">
        <v>74</v>
      </c>
      <c r="H58" s="68"/>
      <c r="I58" s="36">
        <v>53</v>
      </c>
      <c r="J58" s="9">
        <f t="shared" si="2"/>
        <v>0</v>
      </c>
      <c r="K58" s="41"/>
      <c r="L58" s="41"/>
      <c r="M58" s="41"/>
      <c r="N58" s="41"/>
      <c r="O58" s="41"/>
      <c r="P58" s="41"/>
      <c r="Q58" s="41"/>
      <c r="R58" s="41"/>
      <c r="S58" s="13">
        <f t="shared" si="9"/>
        <v>0</v>
      </c>
      <c r="T58" s="13">
        <v>100000</v>
      </c>
      <c r="U58" s="13">
        <f t="shared" si="11"/>
        <v>0</v>
      </c>
      <c r="V58" s="4"/>
      <c r="Y58" s="4"/>
      <c r="Z58" s="45"/>
    </row>
    <row r="59" spans="2:26" ht="18.75" hidden="1">
      <c r="B59" s="58"/>
      <c r="C59" s="60"/>
      <c r="D59" s="51" t="s">
        <v>100</v>
      </c>
      <c r="E59" s="62" t="s">
        <v>102</v>
      </c>
      <c r="F59" s="5">
        <v>0.91666666666666663</v>
      </c>
      <c r="G59" s="65" t="s">
        <v>85</v>
      </c>
      <c r="H59" s="66"/>
      <c r="I59" s="34">
        <v>51</v>
      </c>
      <c r="J59" s="6">
        <f t="shared" si="2"/>
        <v>3.9215686274509803E-2</v>
      </c>
      <c r="K59" s="38"/>
      <c r="L59" s="38"/>
      <c r="M59" s="38">
        <v>2</v>
      </c>
      <c r="N59" s="38"/>
      <c r="O59" s="38"/>
      <c r="P59" s="38"/>
      <c r="Q59" s="38"/>
      <c r="R59" s="38"/>
      <c r="S59" s="7">
        <f t="shared" si="9"/>
        <v>2</v>
      </c>
      <c r="T59" s="7">
        <v>100000</v>
      </c>
      <c r="U59" s="7">
        <f t="shared" si="11"/>
        <v>200000</v>
      </c>
      <c r="V59" s="4"/>
      <c r="Y59" s="4"/>
      <c r="Z59" s="45"/>
    </row>
    <row r="60" spans="2:26" ht="18.75" hidden="1">
      <c r="B60" s="58"/>
      <c r="C60" s="60"/>
      <c r="D60" s="52" t="s">
        <v>100</v>
      </c>
      <c r="E60" s="63"/>
      <c r="F60" s="8">
        <v>1</v>
      </c>
      <c r="G60" s="67" t="s">
        <v>85</v>
      </c>
      <c r="H60" s="68"/>
      <c r="I60" s="35">
        <v>20</v>
      </c>
      <c r="J60" s="9">
        <f t="shared" si="2"/>
        <v>0.05</v>
      </c>
      <c r="K60" s="39">
        <v>1</v>
      </c>
      <c r="L60" s="39"/>
      <c r="M60" s="39"/>
      <c r="N60" s="39"/>
      <c r="O60" s="39"/>
      <c r="P60" s="39"/>
      <c r="Q60" s="39"/>
      <c r="R60" s="39"/>
      <c r="S60" s="10">
        <f t="shared" si="9"/>
        <v>1</v>
      </c>
      <c r="T60" s="10">
        <v>100000</v>
      </c>
      <c r="U60" s="10">
        <f t="shared" si="11"/>
        <v>100000</v>
      </c>
      <c r="V60" s="4"/>
      <c r="Y60" s="4"/>
      <c r="Z60" s="45"/>
    </row>
    <row r="61" spans="2:26" ht="18.75" hidden="1">
      <c r="B61" s="58"/>
      <c r="C61" s="60"/>
      <c r="D61" s="52" t="s">
        <v>100</v>
      </c>
      <c r="E61" s="63"/>
      <c r="F61" s="8">
        <v>8.3333333333333329E-2</v>
      </c>
      <c r="G61" s="67" t="s">
        <v>85</v>
      </c>
      <c r="H61" s="68"/>
      <c r="I61" s="35">
        <v>52</v>
      </c>
      <c r="J61" s="9">
        <f t="shared" si="2"/>
        <v>1.9230769230769232E-2</v>
      </c>
      <c r="K61" s="39"/>
      <c r="L61" s="39"/>
      <c r="M61" s="39">
        <v>1</v>
      </c>
      <c r="N61" s="39"/>
      <c r="O61" s="39"/>
      <c r="P61" s="39"/>
      <c r="Q61" s="39"/>
      <c r="R61" s="39"/>
      <c r="S61" s="10">
        <f t="shared" si="9"/>
        <v>1</v>
      </c>
      <c r="T61" s="10">
        <v>100000</v>
      </c>
      <c r="U61" s="10">
        <f t="shared" si="11"/>
        <v>100000</v>
      </c>
      <c r="V61" s="4"/>
      <c r="Y61" s="4"/>
      <c r="Z61" s="46"/>
    </row>
    <row r="62" spans="2:26" ht="18.75" hidden="1">
      <c r="B62" s="58"/>
      <c r="C62" s="60"/>
      <c r="D62" s="52" t="s">
        <v>100</v>
      </c>
      <c r="E62" s="63"/>
      <c r="F62" s="8">
        <v>0.16666666666666666</v>
      </c>
      <c r="G62" s="67" t="s">
        <v>85</v>
      </c>
      <c r="H62" s="68"/>
      <c r="I62" s="35">
        <v>53</v>
      </c>
      <c r="J62" s="9">
        <f t="shared" si="2"/>
        <v>1.8867924528301886E-2</v>
      </c>
      <c r="K62" s="39"/>
      <c r="L62" s="39"/>
      <c r="M62" s="39">
        <v>1</v>
      </c>
      <c r="N62" s="39"/>
      <c r="O62" s="39"/>
      <c r="P62" s="39"/>
      <c r="Q62" s="39"/>
      <c r="R62" s="39"/>
      <c r="S62" s="10">
        <f t="shared" si="9"/>
        <v>1</v>
      </c>
      <c r="T62" s="10">
        <v>100000</v>
      </c>
      <c r="U62" s="10">
        <f t="shared" si="11"/>
        <v>100000</v>
      </c>
      <c r="V62" s="4"/>
      <c r="W62" s="4"/>
      <c r="X62" s="4"/>
      <c r="Y62" s="4"/>
    </row>
    <row r="63" spans="2:26" ht="18.75" hidden="1">
      <c r="B63" s="58"/>
      <c r="C63" s="60"/>
      <c r="D63" s="52" t="s">
        <v>100</v>
      </c>
      <c r="E63" s="63"/>
      <c r="F63" s="8">
        <v>0.25</v>
      </c>
      <c r="G63" s="67" t="s">
        <v>85</v>
      </c>
      <c r="H63" s="68"/>
      <c r="I63" s="35">
        <v>30</v>
      </c>
      <c r="J63" s="9">
        <f t="shared" si="2"/>
        <v>3.3333333333333333E-2</v>
      </c>
      <c r="K63" s="39"/>
      <c r="L63" s="39"/>
      <c r="M63" s="39">
        <v>1</v>
      </c>
      <c r="N63" s="39"/>
      <c r="O63" s="39"/>
      <c r="P63" s="39"/>
      <c r="Q63" s="39"/>
      <c r="R63" s="39"/>
      <c r="S63" s="10">
        <f t="shared" si="9"/>
        <v>1</v>
      </c>
      <c r="T63" s="10">
        <v>100000</v>
      </c>
      <c r="U63" s="10">
        <f t="shared" si="11"/>
        <v>100000</v>
      </c>
      <c r="V63" s="4"/>
      <c r="Y63" s="4"/>
    </row>
    <row r="64" spans="2:26" ht="18.75" hidden="1">
      <c r="B64" s="58"/>
      <c r="C64" s="61"/>
      <c r="D64" s="53" t="s">
        <v>100</v>
      </c>
      <c r="E64" s="64"/>
      <c r="F64" s="14">
        <v>0.33333333333333331</v>
      </c>
      <c r="G64" s="67" t="s">
        <v>85</v>
      </c>
      <c r="H64" s="68"/>
      <c r="I64" s="37">
        <v>53</v>
      </c>
      <c r="J64" s="9">
        <f t="shared" si="2"/>
        <v>1.8867924528301886E-2</v>
      </c>
      <c r="K64" s="40"/>
      <c r="L64" s="40"/>
      <c r="M64" s="40">
        <v>1</v>
      </c>
      <c r="N64" s="40"/>
      <c r="O64" s="40"/>
      <c r="P64" s="40"/>
      <c r="Q64" s="40"/>
      <c r="R64" s="40"/>
      <c r="S64" s="16">
        <f t="shared" si="9"/>
        <v>1</v>
      </c>
      <c r="T64" s="16">
        <v>100000</v>
      </c>
      <c r="U64" s="16">
        <f t="shared" si="11"/>
        <v>100000</v>
      </c>
      <c r="V64" s="4"/>
      <c r="W64" s="4"/>
      <c r="X64" s="4"/>
      <c r="Y64" s="4"/>
    </row>
    <row r="65" spans="2:25" ht="16.5" hidden="1" customHeight="1">
      <c r="B65" s="58">
        <v>46086</v>
      </c>
      <c r="C65" s="59" t="s">
        <v>14</v>
      </c>
      <c r="D65" s="51" t="s">
        <v>100</v>
      </c>
      <c r="E65" s="62" t="s">
        <v>101</v>
      </c>
      <c r="F65" s="5">
        <v>0.41666666666666669</v>
      </c>
      <c r="G65" s="65" t="s">
        <v>76</v>
      </c>
      <c r="H65" s="66"/>
      <c r="I65" s="34">
        <v>52</v>
      </c>
      <c r="J65" s="6">
        <f t="shared" si="2"/>
        <v>0</v>
      </c>
      <c r="K65" s="38"/>
      <c r="L65" s="38"/>
      <c r="M65" s="38"/>
      <c r="N65" s="38"/>
      <c r="O65" s="38"/>
      <c r="P65" s="38"/>
      <c r="Q65" s="38"/>
      <c r="R65" s="38"/>
      <c r="S65" s="7">
        <f>SUM(K65:R65)</f>
        <v>0</v>
      </c>
      <c r="T65" s="7">
        <v>100000</v>
      </c>
      <c r="U65" s="7">
        <f>T65*S65</f>
        <v>0</v>
      </c>
      <c r="V65" s="4"/>
      <c r="W65" s="4"/>
      <c r="X65" s="4"/>
      <c r="Y65" s="4"/>
    </row>
    <row r="66" spans="2:25" ht="18.75" hidden="1">
      <c r="B66" s="58"/>
      <c r="C66" s="60"/>
      <c r="D66" s="52" t="s">
        <v>100</v>
      </c>
      <c r="E66" s="63"/>
      <c r="F66" s="8">
        <v>0.5</v>
      </c>
      <c r="G66" s="67" t="s">
        <v>76</v>
      </c>
      <c r="H66" s="68"/>
      <c r="I66" s="35">
        <v>52</v>
      </c>
      <c r="J66" s="9">
        <f t="shared" si="2"/>
        <v>0</v>
      </c>
      <c r="K66" s="39"/>
      <c r="L66" s="39"/>
      <c r="M66" s="39"/>
      <c r="N66" s="39"/>
      <c r="O66" s="39"/>
      <c r="P66" s="39"/>
      <c r="Q66" s="39"/>
      <c r="R66" s="39"/>
      <c r="S66" s="10">
        <f t="shared" ref="S66:S76" si="12">SUM(K66:R66)</f>
        <v>0</v>
      </c>
      <c r="T66" s="10">
        <v>100000</v>
      </c>
      <c r="U66" s="10">
        <f t="shared" ref="U66:U67" si="13">T66*S66</f>
        <v>0</v>
      </c>
      <c r="V66" s="4"/>
      <c r="W66" s="4"/>
      <c r="X66" s="4"/>
      <c r="Y66" s="4"/>
    </row>
    <row r="67" spans="2:25" ht="18.75" hidden="1">
      <c r="B67" s="58"/>
      <c r="C67" s="60"/>
      <c r="D67" s="52" t="s">
        <v>100</v>
      </c>
      <c r="E67" s="63"/>
      <c r="F67" s="8">
        <v>0.58333333333333337</v>
      </c>
      <c r="G67" s="67" t="s">
        <v>76</v>
      </c>
      <c r="H67" s="68"/>
      <c r="I67" s="35">
        <v>52</v>
      </c>
      <c r="J67" s="9">
        <f t="shared" si="2"/>
        <v>0</v>
      </c>
      <c r="K67" s="39"/>
      <c r="L67" s="39"/>
      <c r="M67" s="39"/>
      <c r="N67" s="39"/>
      <c r="O67" s="39"/>
      <c r="P67" s="39"/>
      <c r="Q67" s="39"/>
      <c r="R67" s="39"/>
      <c r="S67" s="10">
        <f t="shared" si="12"/>
        <v>0</v>
      </c>
      <c r="T67" s="10">
        <v>100000</v>
      </c>
      <c r="U67" s="10">
        <f t="shared" si="13"/>
        <v>0</v>
      </c>
      <c r="V67" s="4"/>
      <c r="W67" s="4"/>
      <c r="X67" s="4"/>
      <c r="Y67" s="4"/>
    </row>
    <row r="68" spans="2:25" ht="18.75" hidden="1">
      <c r="B68" s="58"/>
      <c r="C68" s="60"/>
      <c r="D68" s="52" t="s">
        <v>100</v>
      </c>
      <c r="E68" s="63"/>
      <c r="F68" s="8">
        <v>0.66666666666666663</v>
      </c>
      <c r="G68" s="67" t="s">
        <v>76</v>
      </c>
      <c r="H68" s="68"/>
      <c r="I68" s="35">
        <v>52</v>
      </c>
      <c r="J68" s="9">
        <f t="shared" si="2"/>
        <v>0</v>
      </c>
      <c r="K68" s="39"/>
      <c r="L68" s="39"/>
      <c r="M68" s="39"/>
      <c r="N68" s="39"/>
      <c r="O68" s="39"/>
      <c r="P68" s="39"/>
      <c r="Q68" s="39"/>
      <c r="R68" s="39"/>
      <c r="S68" s="10">
        <f t="shared" si="12"/>
        <v>0</v>
      </c>
      <c r="T68" s="10">
        <v>100000</v>
      </c>
      <c r="U68" s="10">
        <f>T68*S68</f>
        <v>0</v>
      </c>
      <c r="V68" s="4"/>
      <c r="W68" s="4"/>
      <c r="X68" s="4"/>
      <c r="Y68" s="4"/>
    </row>
    <row r="69" spans="2:25" ht="18.75" hidden="1">
      <c r="B69" s="58"/>
      <c r="C69" s="60"/>
      <c r="D69" s="52" t="s">
        <v>100</v>
      </c>
      <c r="E69" s="63"/>
      <c r="F69" s="8">
        <v>0.75</v>
      </c>
      <c r="G69" s="67" t="s">
        <v>76</v>
      </c>
      <c r="H69" s="68"/>
      <c r="I69" s="35">
        <v>40</v>
      </c>
      <c r="J69" s="9">
        <f t="shared" si="2"/>
        <v>0.05</v>
      </c>
      <c r="K69" s="39"/>
      <c r="L69" s="39"/>
      <c r="M69" s="39">
        <v>2</v>
      </c>
      <c r="N69" s="39"/>
      <c r="O69" s="39"/>
      <c r="P69" s="39"/>
      <c r="Q69" s="39"/>
      <c r="R69" s="39"/>
      <c r="S69" s="10">
        <f t="shared" si="12"/>
        <v>2</v>
      </c>
      <c r="T69" s="10">
        <v>100000</v>
      </c>
      <c r="U69" s="10">
        <f t="shared" ref="U69:U76" si="14">T69*S69</f>
        <v>200000</v>
      </c>
      <c r="V69" s="4"/>
      <c r="W69" s="4"/>
      <c r="X69" s="11"/>
      <c r="Y69" s="4"/>
    </row>
    <row r="70" spans="2:25" ht="18.75" hidden="1">
      <c r="B70" s="58"/>
      <c r="C70" s="60"/>
      <c r="D70" s="53" t="s">
        <v>100</v>
      </c>
      <c r="E70" s="64"/>
      <c r="F70" s="12">
        <v>0.83333333333333337</v>
      </c>
      <c r="G70" s="67" t="s">
        <v>76</v>
      </c>
      <c r="H70" s="68"/>
      <c r="I70" s="36">
        <v>52</v>
      </c>
      <c r="J70" s="9">
        <f t="shared" si="2"/>
        <v>0</v>
      </c>
      <c r="K70" s="41"/>
      <c r="L70" s="41"/>
      <c r="M70" s="41"/>
      <c r="N70" s="41"/>
      <c r="O70" s="41"/>
      <c r="P70" s="41"/>
      <c r="Q70" s="41"/>
      <c r="R70" s="41"/>
      <c r="S70" s="13">
        <f t="shared" si="12"/>
        <v>0</v>
      </c>
      <c r="T70" s="13">
        <v>100000</v>
      </c>
      <c r="U70" s="13">
        <f t="shared" si="14"/>
        <v>0</v>
      </c>
      <c r="V70" s="4"/>
      <c r="Y70" s="4"/>
    </row>
    <row r="71" spans="2:25" ht="18.75" hidden="1">
      <c r="B71" s="58"/>
      <c r="C71" s="60"/>
      <c r="D71" s="51" t="s">
        <v>100</v>
      </c>
      <c r="E71" s="62" t="s">
        <v>102</v>
      </c>
      <c r="F71" s="5">
        <v>0.91666666666666663</v>
      </c>
      <c r="G71" s="65" t="s">
        <v>88</v>
      </c>
      <c r="H71" s="66"/>
      <c r="I71" s="34">
        <v>50</v>
      </c>
      <c r="J71" s="6">
        <f t="shared" si="2"/>
        <v>0.02</v>
      </c>
      <c r="K71" s="38"/>
      <c r="L71" s="38"/>
      <c r="M71" s="38">
        <v>1</v>
      </c>
      <c r="N71" s="38"/>
      <c r="O71" s="38"/>
      <c r="P71" s="38"/>
      <c r="Q71" s="38"/>
      <c r="R71" s="38"/>
      <c r="S71" s="7">
        <f t="shared" si="12"/>
        <v>1</v>
      </c>
      <c r="T71" s="7">
        <v>100000</v>
      </c>
      <c r="U71" s="7">
        <f t="shared" si="14"/>
        <v>100000</v>
      </c>
      <c r="V71" s="4"/>
      <c r="Y71" s="4"/>
    </row>
    <row r="72" spans="2:25" ht="18.75" hidden="1">
      <c r="B72" s="58"/>
      <c r="C72" s="60"/>
      <c r="D72" s="52" t="s">
        <v>100</v>
      </c>
      <c r="E72" s="63"/>
      <c r="F72" s="8">
        <v>1</v>
      </c>
      <c r="G72" s="67" t="s">
        <v>88</v>
      </c>
      <c r="H72" s="68"/>
      <c r="I72" s="35">
        <v>50</v>
      </c>
      <c r="J72" s="9">
        <f t="shared" si="2"/>
        <v>0.02</v>
      </c>
      <c r="K72" s="39"/>
      <c r="L72" s="39"/>
      <c r="M72" s="39">
        <v>1</v>
      </c>
      <c r="N72" s="39"/>
      <c r="O72" s="39"/>
      <c r="P72" s="39"/>
      <c r="Q72" s="39"/>
      <c r="R72" s="39"/>
      <c r="S72" s="10">
        <f t="shared" si="12"/>
        <v>1</v>
      </c>
      <c r="T72" s="10">
        <v>100000</v>
      </c>
      <c r="U72" s="10">
        <f t="shared" si="14"/>
        <v>100000</v>
      </c>
      <c r="V72" s="4"/>
      <c r="Y72" s="4"/>
    </row>
    <row r="73" spans="2:25" ht="18.75" hidden="1">
      <c r="B73" s="58"/>
      <c r="C73" s="60"/>
      <c r="D73" s="52" t="s">
        <v>100</v>
      </c>
      <c r="E73" s="63"/>
      <c r="F73" s="8">
        <v>8.3333333333333329E-2</v>
      </c>
      <c r="G73" s="67" t="s">
        <v>88</v>
      </c>
      <c r="H73" s="68"/>
      <c r="I73" s="35">
        <v>50</v>
      </c>
      <c r="J73" s="9">
        <f t="shared" si="2"/>
        <v>0</v>
      </c>
      <c r="K73" s="39"/>
      <c r="L73" s="39"/>
      <c r="M73" s="39"/>
      <c r="N73" s="39"/>
      <c r="O73" s="39"/>
      <c r="P73" s="39"/>
      <c r="Q73" s="39"/>
      <c r="R73" s="39"/>
      <c r="S73" s="10">
        <f t="shared" si="12"/>
        <v>0</v>
      </c>
      <c r="T73" s="10">
        <v>100000</v>
      </c>
      <c r="U73" s="10">
        <f t="shared" si="14"/>
        <v>0</v>
      </c>
      <c r="V73" s="4"/>
      <c r="Y73" s="4"/>
    </row>
    <row r="74" spans="2:25" ht="18.75" hidden="1">
      <c r="B74" s="58"/>
      <c r="C74" s="60"/>
      <c r="D74" s="52" t="s">
        <v>100</v>
      </c>
      <c r="E74" s="63"/>
      <c r="F74" s="8">
        <v>0.16666666666666666</v>
      </c>
      <c r="G74" s="67" t="s">
        <v>88</v>
      </c>
      <c r="H74" s="68"/>
      <c r="I74" s="35">
        <v>50</v>
      </c>
      <c r="J74" s="9">
        <f t="shared" si="2"/>
        <v>0</v>
      </c>
      <c r="K74" s="39"/>
      <c r="L74" s="39"/>
      <c r="M74" s="39"/>
      <c r="N74" s="39"/>
      <c r="O74" s="39"/>
      <c r="P74" s="39"/>
      <c r="Q74" s="39"/>
      <c r="R74" s="39"/>
      <c r="S74" s="10">
        <f t="shared" si="12"/>
        <v>0</v>
      </c>
      <c r="T74" s="10">
        <v>100000</v>
      </c>
      <c r="U74" s="10">
        <f t="shared" si="14"/>
        <v>0</v>
      </c>
      <c r="V74" s="4"/>
      <c r="W74" s="4"/>
      <c r="X74" s="4"/>
      <c r="Y74" s="4"/>
    </row>
    <row r="75" spans="2:25" ht="18.75" hidden="1">
      <c r="B75" s="58"/>
      <c r="C75" s="60"/>
      <c r="D75" s="52" t="s">
        <v>100</v>
      </c>
      <c r="E75" s="63"/>
      <c r="F75" s="8">
        <v>0.25</v>
      </c>
      <c r="G75" s="67" t="s">
        <v>88</v>
      </c>
      <c r="H75" s="68"/>
      <c r="I75" s="35">
        <v>50</v>
      </c>
      <c r="J75" s="9">
        <f t="shared" si="2"/>
        <v>0</v>
      </c>
      <c r="K75" s="39"/>
      <c r="L75" s="39"/>
      <c r="M75" s="39"/>
      <c r="N75" s="39"/>
      <c r="O75" s="39"/>
      <c r="P75" s="39"/>
      <c r="Q75" s="39"/>
      <c r="R75" s="39"/>
      <c r="S75" s="10">
        <f t="shared" si="12"/>
        <v>0</v>
      </c>
      <c r="T75" s="10">
        <v>100000</v>
      </c>
      <c r="U75" s="10">
        <f t="shared" si="14"/>
        <v>0</v>
      </c>
      <c r="V75" s="4"/>
      <c r="Y75" s="4"/>
    </row>
    <row r="76" spans="2:25" ht="18.75" hidden="1">
      <c r="B76" s="58"/>
      <c r="C76" s="61"/>
      <c r="D76" s="53" t="s">
        <v>100</v>
      </c>
      <c r="E76" s="64"/>
      <c r="F76" s="14">
        <v>0.33333333333333331</v>
      </c>
      <c r="G76" s="67" t="s">
        <v>88</v>
      </c>
      <c r="H76" s="68"/>
      <c r="I76" s="37"/>
      <c r="J76" s="9" t="str">
        <f t="shared" si="2"/>
        <v/>
      </c>
      <c r="K76" s="40"/>
      <c r="L76" s="40"/>
      <c r="M76" s="40"/>
      <c r="N76" s="40"/>
      <c r="O76" s="40"/>
      <c r="P76" s="40"/>
      <c r="Q76" s="40"/>
      <c r="R76" s="40"/>
      <c r="S76" s="16">
        <f t="shared" si="12"/>
        <v>0</v>
      </c>
      <c r="T76" s="16">
        <v>100000</v>
      </c>
      <c r="U76" s="16">
        <f t="shared" si="14"/>
        <v>0</v>
      </c>
      <c r="V76" s="4"/>
      <c r="W76" s="4"/>
      <c r="X76" s="4"/>
      <c r="Y76" s="4"/>
    </row>
    <row r="77" spans="2:25" ht="16.5" hidden="1" customHeight="1">
      <c r="B77" s="58">
        <v>46087</v>
      </c>
      <c r="C77" s="59" t="s">
        <v>14</v>
      </c>
      <c r="D77" s="51" t="s">
        <v>100</v>
      </c>
      <c r="E77" s="62" t="s">
        <v>101</v>
      </c>
      <c r="F77" s="5">
        <v>0.41666666666666669</v>
      </c>
      <c r="G77" s="65" t="s">
        <v>76</v>
      </c>
      <c r="H77" s="66"/>
      <c r="I77" s="34">
        <v>53</v>
      </c>
      <c r="J77" s="6">
        <f t="shared" si="2"/>
        <v>0</v>
      </c>
      <c r="K77" s="38"/>
      <c r="L77" s="38"/>
      <c r="M77" s="38"/>
      <c r="N77" s="38"/>
      <c r="O77" s="38"/>
      <c r="P77" s="38"/>
      <c r="Q77" s="38"/>
      <c r="R77" s="38"/>
      <c r="S77" s="7">
        <f>SUM(K77:R77)</f>
        <v>0</v>
      </c>
      <c r="T77" s="7">
        <v>100000</v>
      </c>
      <c r="U77" s="7">
        <f>T77*S77</f>
        <v>0</v>
      </c>
      <c r="V77" s="4"/>
      <c r="W77" s="4"/>
      <c r="X77" s="4"/>
      <c r="Y77" s="4"/>
    </row>
    <row r="78" spans="2:25" ht="18.75" hidden="1">
      <c r="B78" s="58"/>
      <c r="C78" s="60"/>
      <c r="D78" s="52" t="s">
        <v>100</v>
      </c>
      <c r="E78" s="63"/>
      <c r="F78" s="8">
        <v>0.5</v>
      </c>
      <c r="G78" s="67" t="s">
        <v>76</v>
      </c>
      <c r="H78" s="68"/>
      <c r="I78" s="35">
        <v>28</v>
      </c>
      <c r="J78" s="9">
        <f t="shared" si="2"/>
        <v>3.5714285714285712E-2</v>
      </c>
      <c r="K78" s="39"/>
      <c r="L78" s="39"/>
      <c r="M78" s="39"/>
      <c r="N78" s="39"/>
      <c r="O78" s="39"/>
      <c r="P78" s="39"/>
      <c r="Q78" s="39">
        <v>1</v>
      </c>
      <c r="R78" s="39"/>
      <c r="S78" s="10">
        <f t="shared" ref="S78:S88" si="15">SUM(K78:R78)</f>
        <v>1</v>
      </c>
      <c r="T78" s="10">
        <v>100000</v>
      </c>
      <c r="U78" s="10">
        <f t="shared" ref="U78:U79" si="16">T78*S78</f>
        <v>100000</v>
      </c>
      <c r="V78" s="4"/>
      <c r="W78" s="4"/>
      <c r="X78" s="4"/>
      <c r="Y78" s="4"/>
    </row>
    <row r="79" spans="2:25" ht="18.75" hidden="1">
      <c r="B79" s="58"/>
      <c r="C79" s="60"/>
      <c r="D79" s="52" t="s">
        <v>100</v>
      </c>
      <c r="E79" s="63"/>
      <c r="F79" s="8">
        <v>0.58333333333333337</v>
      </c>
      <c r="G79" s="67" t="s">
        <v>76</v>
      </c>
      <c r="H79" s="68"/>
      <c r="I79" s="35">
        <v>53</v>
      </c>
      <c r="J79" s="9">
        <f t="shared" si="2"/>
        <v>0</v>
      </c>
      <c r="K79" s="39"/>
      <c r="L79" s="39"/>
      <c r="M79" s="39"/>
      <c r="N79" s="39"/>
      <c r="O79" s="39"/>
      <c r="P79" s="39"/>
      <c r="Q79" s="39"/>
      <c r="R79" s="39"/>
      <c r="S79" s="10">
        <f t="shared" si="15"/>
        <v>0</v>
      </c>
      <c r="T79" s="10">
        <v>100000</v>
      </c>
      <c r="U79" s="10">
        <f t="shared" si="16"/>
        <v>0</v>
      </c>
      <c r="V79" s="4"/>
      <c r="W79" s="4"/>
      <c r="X79" s="4"/>
      <c r="Y79" s="4"/>
    </row>
    <row r="80" spans="2:25" ht="18.75" hidden="1">
      <c r="B80" s="58"/>
      <c r="C80" s="60"/>
      <c r="D80" s="52" t="s">
        <v>100</v>
      </c>
      <c r="E80" s="63"/>
      <c r="F80" s="8">
        <v>0.66666666666666663</v>
      </c>
      <c r="G80" s="67" t="s">
        <v>76</v>
      </c>
      <c r="H80" s="68"/>
      <c r="I80" s="35">
        <v>53</v>
      </c>
      <c r="J80" s="9">
        <f t="shared" si="2"/>
        <v>0</v>
      </c>
      <c r="K80" s="39"/>
      <c r="L80" s="39"/>
      <c r="M80" s="39"/>
      <c r="N80" s="39"/>
      <c r="O80" s="39"/>
      <c r="P80" s="39"/>
      <c r="Q80" s="39"/>
      <c r="R80" s="39"/>
      <c r="S80" s="10">
        <f t="shared" si="15"/>
        <v>0</v>
      </c>
      <c r="T80" s="10">
        <v>100000</v>
      </c>
      <c r="U80" s="10">
        <f>T80*S80</f>
        <v>0</v>
      </c>
      <c r="V80" s="4"/>
      <c r="W80" s="4"/>
      <c r="X80" s="4"/>
      <c r="Y80" s="4"/>
    </row>
    <row r="81" spans="2:25" ht="18.75" hidden="1">
      <c r="B81" s="58"/>
      <c r="C81" s="60"/>
      <c r="D81" s="52" t="s">
        <v>100</v>
      </c>
      <c r="E81" s="63"/>
      <c r="F81" s="8">
        <v>0.75</v>
      </c>
      <c r="G81" s="67" t="s">
        <v>76</v>
      </c>
      <c r="H81" s="68"/>
      <c r="I81" s="35">
        <v>40</v>
      </c>
      <c r="J81" s="9">
        <f t="shared" si="2"/>
        <v>2.5000000000000001E-2</v>
      </c>
      <c r="K81" s="39"/>
      <c r="L81" s="39"/>
      <c r="M81" s="39"/>
      <c r="N81" s="39"/>
      <c r="O81" s="39"/>
      <c r="P81" s="39"/>
      <c r="Q81" s="39">
        <v>1</v>
      </c>
      <c r="R81" s="39"/>
      <c r="S81" s="10">
        <f t="shared" si="15"/>
        <v>1</v>
      </c>
      <c r="T81" s="10">
        <v>100000</v>
      </c>
      <c r="U81" s="10">
        <f t="shared" ref="U81:U88" si="17">T81*S81</f>
        <v>100000</v>
      </c>
      <c r="V81" s="4"/>
      <c r="W81" s="4"/>
      <c r="X81" s="11"/>
      <c r="Y81" s="4"/>
    </row>
    <row r="82" spans="2:25" ht="18.75" hidden="1">
      <c r="B82" s="58"/>
      <c r="C82" s="60"/>
      <c r="D82" s="53" t="s">
        <v>100</v>
      </c>
      <c r="E82" s="64"/>
      <c r="F82" s="12">
        <v>0.83333333333333337</v>
      </c>
      <c r="G82" s="67" t="s">
        <v>76</v>
      </c>
      <c r="H82" s="68"/>
      <c r="I82" s="36">
        <v>53</v>
      </c>
      <c r="J82" s="9">
        <f t="shared" si="2"/>
        <v>0</v>
      </c>
      <c r="K82" s="41"/>
      <c r="L82" s="41"/>
      <c r="M82" s="41"/>
      <c r="N82" s="41"/>
      <c r="O82" s="41"/>
      <c r="P82" s="41"/>
      <c r="Q82" s="41"/>
      <c r="R82" s="41"/>
      <c r="S82" s="13">
        <f t="shared" si="15"/>
        <v>0</v>
      </c>
      <c r="T82" s="13">
        <v>100000</v>
      </c>
      <c r="U82" s="13">
        <f t="shared" si="17"/>
        <v>0</v>
      </c>
      <c r="V82" s="4"/>
      <c r="Y82" s="4"/>
    </row>
    <row r="83" spans="2:25" ht="18.75" hidden="1">
      <c r="B83" s="58"/>
      <c r="C83" s="60"/>
      <c r="D83" s="51" t="s">
        <v>100</v>
      </c>
      <c r="E83" s="62" t="s">
        <v>102</v>
      </c>
      <c r="F83" s="5">
        <v>0.91666666666666663</v>
      </c>
      <c r="G83" s="65" t="s">
        <v>88</v>
      </c>
      <c r="H83" s="66"/>
      <c r="I83" s="34">
        <v>45</v>
      </c>
      <c r="J83" s="6">
        <f t="shared" ref="J83:J136" si="18">IFERROR(S83/I83,"")</f>
        <v>2.2222222222222223E-2</v>
      </c>
      <c r="K83" s="38">
        <v>1</v>
      </c>
      <c r="L83" s="38"/>
      <c r="M83" s="38"/>
      <c r="N83" s="38"/>
      <c r="O83" s="38"/>
      <c r="P83" s="38"/>
      <c r="Q83" s="38"/>
      <c r="R83" s="38"/>
      <c r="S83" s="7">
        <f t="shared" si="15"/>
        <v>1</v>
      </c>
      <c r="T83" s="7">
        <v>100000</v>
      </c>
      <c r="U83" s="7">
        <f t="shared" si="17"/>
        <v>100000</v>
      </c>
      <c r="V83" s="4"/>
      <c r="Y83" s="4"/>
    </row>
    <row r="84" spans="2:25" ht="18.75" hidden="1">
      <c r="B84" s="58"/>
      <c r="C84" s="60"/>
      <c r="D84" s="52" t="s">
        <v>100</v>
      </c>
      <c r="E84" s="63"/>
      <c r="F84" s="8">
        <v>1</v>
      </c>
      <c r="G84" s="67" t="s">
        <v>88</v>
      </c>
      <c r="H84" s="68"/>
      <c r="I84" s="35">
        <v>45</v>
      </c>
      <c r="J84" s="9">
        <f t="shared" si="18"/>
        <v>2.2222222222222223E-2</v>
      </c>
      <c r="K84" s="39"/>
      <c r="L84" s="39"/>
      <c r="M84" s="39">
        <v>1</v>
      </c>
      <c r="N84" s="39"/>
      <c r="O84" s="39"/>
      <c r="P84" s="39"/>
      <c r="Q84" s="39"/>
      <c r="R84" s="39"/>
      <c r="S84" s="10">
        <f t="shared" si="15"/>
        <v>1</v>
      </c>
      <c r="T84" s="10">
        <v>100000</v>
      </c>
      <c r="U84" s="10">
        <f t="shared" si="17"/>
        <v>100000</v>
      </c>
      <c r="V84" s="4"/>
      <c r="Y84" s="4"/>
    </row>
    <row r="85" spans="2:25" ht="18.75" hidden="1">
      <c r="B85" s="58"/>
      <c r="C85" s="60"/>
      <c r="D85" s="52" t="s">
        <v>100</v>
      </c>
      <c r="E85" s="63"/>
      <c r="F85" s="8">
        <v>8.3333333333333329E-2</v>
      </c>
      <c r="G85" s="67" t="s">
        <v>88</v>
      </c>
      <c r="H85" s="68"/>
      <c r="I85" s="35">
        <v>45</v>
      </c>
      <c r="J85" s="9">
        <f t="shared" si="18"/>
        <v>2.2222222222222223E-2</v>
      </c>
      <c r="K85" s="39">
        <v>1</v>
      </c>
      <c r="L85" s="39"/>
      <c r="M85" s="39"/>
      <c r="N85" s="39"/>
      <c r="O85" s="39"/>
      <c r="P85" s="39"/>
      <c r="Q85" s="39"/>
      <c r="R85" s="39"/>
      <c r="S85" s="10">
        <f t="shared" si="15"/>
        <v>1</v>
      </c>
      <c r="T85" s="10">
        <v>100000</v>
      </c>
      <c r="U85" s="10">
        <f t="shared" si="17"/>
        <v>100000</v>
      </c>
      <c r="V85" s="4"/>
      <c r="Y85" s="4"/>
    </row>
    <row r="86" spans="2:25" ht="18.75" hidden="1">
      <c r="B86" s="58"/>
      <c r="C86" s="60"/>
      <c r="D86" s="52" t="s">
        <v>100</v>
      </c>
      <c r="E86" s="63"/>
      <c r="F86" s="8">
        <v>0.16666666666666666</v>
      </c>
      <c r="G86" s="67" t="s">
        <v>88</v>
      </c>
      <c r="H86" s="68"/>
      <c r="I86" s="35">
        <v>48</v>
      </c>
      <c r="J86" s="9">
        <f t="shared" si="18"/>
        <v>0</v>
      </c>
      <c r="K86" s="39"/>
      <c r="L86" s="39"/>
      <c r="M86" s="39"/>
      <c r="N86" s="39"/>
      <c r="O86" s="39"/>
      <c r="P86" s="39"/>
      <c r="Q86" s="39"/>
      <c r="R86" s="39"/>
      <c r="S86" s="10">
        <f t="shared" si="15"/>
        <v>0</v>
      </c>
      <c r="T86" s="10">
        <v>100000</v>
      </c>
      <c r="U86" s="10">
        <f t="shared" si="17"/>
        <v>0</v>
      </c>
      <c r="V86" s="4"/>
      <c r="W86" s="4"/>
      <c r="X86" s="4"/>
      <c r="Y86" s="4"/>
    </row>
    <row r="87" spans="2:25" ht="18.75" hidden="1">
      <c r="B87" s="58"/>
      <c r="C87" s="60"/>
      <c r="D87" s="52" t="s">
        <v>100</v>
      </c>
      <c r="E87" s="63"/>
      <c r="F87" s="8">
        <v>0.25</v>
      </c>
      <c r="G87" s="67" t="s">
        <v>88</v>
      </c>
      <c r="H87" s="68"/>
      <c r="I87" s="35">
        <v>48</v>
      </c>
      <c r="J87" s="9">
        <f t="shared" si="18"/>
        <v>0</v>
      </c>
      <c r="K87" s="39"/>
      <c r="L87" s="39"/>
      <c r="M87" s="39"/>
      <c r="N87" s="39"/>
      <c r="O87" s="39"/>
      <c r="P87" s="39"/>
      <c r="Q87" s="39"/>
      <c r="R87" s="39"/>
      <c r="S87" s="10">
        <f t="shared" si="15"/>
        <v>0</v>
      </c>
      <c r="T87" s="10">
        <v>100000</v>
      </c>
      <c r="U87" s="10">
        <f t="shared" si="17"/>
        <v>0</v>
      </c>
      <c r="V87" s="4"/>
      <c r="Y87" s="4"/>
    </row>
    <row r="88" spans="2:25" ht="18.75" hidden="1">
      <c r="B88" s="58"/>
      <c r="C88" s="61"/>
      <c r="D88" s="53" t="s">
        <v>100</v>
      </c>
      <c r="E88" s="64"/>
      <c r="F88" s="14">
        <v>0.33333333333333331</v>
      </c>
      <c r="G88" s="67" t="s">
        <v>88</v>
      </c>
      <c r="H88" s="68"/>
      <c r="I88" s="37">
        <v>49</v>
      </c>
      <c r="J88" s="9">
        <f t="shared" si="18"/>
        <v>0</v>
      </c>
      <c r="K88" s="40"/>
      <c r="L88" s="40"/>
      <c r="M88" s="40"/>
      <c r="N88" s="40"/>
      <c r="O88" s="40"/>
      <c r="P88" s="40"/>
      <c r="Q88" s="40"/>
      <c r="R88" s="40"/>
      <c r="S88" s="16">
        <f t="shared" si="15"/>
        <v>0</v>
      </c>
      <c r="T88" s="16">
        <v>100000</v>
      </c>
      <c r="U88" s="16">
        <f t="shared" si="17"/>
        <v>0</v>
      </c>
      <c r="V88" s="4"/>
      <c r="W88" s="4"/>
      <c r="X88" s="4"/>
      <c r="Y88" s="4"/>
    </row>
    <row r="89" spans="2:25" ht="16.5" hidden="1" customHeight="1">
      <c r="B89" s="58">
        <v>46088</v>
      </c>
      <c r="C89" s="59" t="s">
        <v>14</v>
      </c>
      <c r="D89" s="51" t="s">
        <v>100</v>
      </c>
      <c r="E89" s="62" t="s">
        <v>101</v>
      </c>
      <c r="F89" s="5">
        <v>0.41666666666666669</v>
      </c>
      <c r="G89" s="65" t="s">
        <v>74</v>
      </c>
      <c r="H89" s="66"/>
      <c r="I89" s="34">
        <v>54</v>
      </c>
      <c r="J89" s="6">
        <f t="shared" si="18"/>
        <v>0</v>
      </c>
      <c r="K89" s="38"/>
      <c r="L89" s="38"/>
      <c r="M89" s="38"/>
      <c r="N89" s="38"/>
      <c r="O89" s="38"/>
      <c r="P89" s="38"/>
      <c r="Q89" s="38"/>
      <c r="R89" s="38"/>
      <c r="S89" s="7">
        <f>SUM(K89:R89)</f>
        <v>0</v>
      </c>
      <c r="T89" s="7">
        <v>100000</v>
      </c>
      <c r="U89" s="7">
        <f>T89*S89</f>
        <v>0</v>
      </c>
      <c r="V89" s="4"/>
      <c r="W89" s="4"/>
      <c r="X89" s="4"/>
      <c r="Y89" s="4"/>
    </row>
    <row r="90" spans="2:25" ht="18.75" hidden="1">
      <c r="B90" s="58"/>
      <c r="C90" s="60"/>
      <c r="D90" s="52" t="s">
        <v>100</v>
      </c>
      <c r="E90" s="63"/>
      <c r="F90" s="8">
        <v>0.5</v>
      </c>
      <c r="G90" s="67" t="s">
        <v>74</v>
      </c>
      <c r="H90" s="68"/>
      <c r="I90" s="35">
        <v>27</v>
      </c>
      <c r="J90" s="9">
        <f t="shared" si="18"/>
        <v>3.7037037037037035E-2</v>
      </c>
      <c r="K90" s="39"/>
      <c r="L90" s="39"/>
      <c r="M90" s="39"/>
      <c r="N90" s="39"/>
      <c r="O90" s="39"/>
      <c r="P90" s="39"/>
      <c r="Q90" s="39">
        <v>1</v>
      </c>
      <c r="R90" s="39"/>
      <c r="S90" s="10">
        <f t="shared" ref="S90:S100" si="19">SUM(K90:R90)</f>
        <v>1</v>
      </c>
      <c r="T90" s="10">
        <v>100000</v>
      </c>
      <c r="U90" s="10">
        <f t="shared" ref="U90:U91" si="20">T90*S90</f>
        <v>100000</v>
      </c>
      <c r="V90" s="4"/>
      <c r="W90" s="4"/>
      <c r="X90" s="4"/>
      <c r="Y90" s="4"/>
    </row>
    <row r="91" spans="2:25" ht="18.75" hidden="1">
      <c r="B91" s="58"/>
      <c r="C91" s="60"/>
      <c r="D91" s="52" t="s">
        <v>100</v>
      </c>
      <c r="E91" s="63"/>
      <c r="F91" s="8">
        <v>0.58333333333333337</v>
      </c>
      <c r="G91" s="67" t="s">
        <v>74</v>
      </c>
      <c r="H91" s="68"/>
      <c r="I91" s="35">
        <v>54</v>
      </c>
      <c r="J91" s="9">
        <f t="shared" si="18"/>
        <v>0</v>
      </c>
      <c r="K91" s="39"/>
      <c r="L91" s="39"/>
      <c r="M91" s="39"/>
      <c r="N91" s="39"/>
      <c r="O91" s="39"/>
      <c r="P91" s="39"/>
      <c r="Q91" s="39"/>
      <c r="R91" s="39"/>
      <c r="S91" s="10">
        <f t="shared" si="19"/>
        <v>0</v>
      </c>
      <c r="T91" s="10">
        <v>100000</v>
      </c>
      <c r="U91" s="10">
        <f t="shared" si="20"/>
        <v>0</v>
      </c>
      <c r="V91" s="4"/>
      <c r="W91" s="4"/>
      <c r="X91" s="4"/>
      <c r="Y91" s="4"/>
    </row>
    <row r="92" spans="2:25" ht="18.75" hidden="1">
      <c r="B92" s="58"/>
      <c r="C92" s="60"/>
      <c r="D92" s="52" t="s">
        <v>100</v>
      </c>
      <c r="E92" s="63"/>
      <c r="F92" s="8">
        <v>0.66666666666666663</v>
      </c>
      <c r="G92" s="67" t="s">
        <v>74</v>
      </c>
      <c r="H92" s="68"/>
      <c r="I92" s="35">
        <v>54</v>
      </c>
      <c r="J92" s="9">
        <f t="shared" si="18"/>
        <v>0</v>
      </c>
      <c r="K92" s="39"/>
      <c r="L92" s="39"/>
      <c r="M92" s="39"/>
      <c r="N92" s="39"/>
      <c r="O92" s="39"/>
      <c r="P92" s="39"/>
      <c r="Q92" s="39"/>
      <c r="R92" s="39"/>
      <c r="S92" s="10">
        <f t="shared" si="19"/>
        <v>0</v>
      </c>
      <c r="T92" s="10">
        <v>100000</v>
      </c>
      <c r="U92" s="10">
        <f>T92*S92</f>
        <v>0</v>
      </c>
      <c r="V92" s="4"/>
      <c r="W92" s="4"/>
      <c r="X92" s="4"/>
      <c r="Y92" s="4"/>
    </row>
    <row r="93" spans="2:25" ht="18.75" hidden="1">
      <c r="B93" s="58"/>
      <c r="C93" s="60"/>
      <c r="D93" s="52" t="s">
        <v>100</v>
      </c>
      <c r="E93" s="63"/>
      <c r="F93" s="8">
        <v>0.75</v>
      </c>
      <c r="G93" s="67" t="s">
        <v>74</v>
      </c>
      <c r="H93" s="68"/>
      <c r="I93" s="35">
        <v>37</v>
      </c>
      <c r="J93" s="9">
        <f t="shared" si="18"/>
        <v>2.7027027027027029E-2</v>
      </c>
      <c r="K93" s="39"/>
      <c r="L93" s="39"/>
      <c r="M93" s="39"/>
      <c r="N93" s="39"/>
      <c r="O93" s="39"/>
      <c r="P93" s="39"/>
      <c r="Q93" s="39">
        <v>1</v>
      </c>
      <c r="R93" s="39"/>
      <c r="S93" s="10">
        <f t="shared" si="19"/>
        <v>1</v>
      </c>
      <c r="T93" s="10">
        <v>100000</v>
      </c>
      <c r="U93" s="10">
        <f t="shared" ref="U93:U100" si="21">T93*S93</f>
        <v>100000</v>
      </c>
      <c r="V93" s="4"/>
      <c r="W93" s="4"/>
      <c r="X93" s="11"/>
      <c r="Y93" s="4"/>
    </row>
    <row r="94" spans="2:25" ht="18.75" hidden="1">
      <c r="B94" s="58"/>
      <c r="C94" s="60"/>
      <c r="D94" s="53" t="s">
        <v>100</v>
      </c>
      <c r="E94" s="64"/>
      <c r="F94" s="12">
        <v>0.83333333333333337</v>
      </c>
      <c r="G94" s="67" t="s">
        <v>74</v>
      </c>
      <c r="H94" s="68"/>
      <c r="I94" s="36">
        <v>54</v>
      </c>
      <c r="J94" s="9">
        <f t="shared" si="18"/>
        <v>0</v>
      </c>
      <c r="K94" s="41"/>
      <c r="L94" s="41"/>
      <c r="M94" s="41"/>
      <c r="N94" s="41"/>
      <c r="O94" s="41"/>
      <c r="P94" s="41"/>
      <c r="Q94" s="41"/>
      <c r="R94" s="41"/>
      <c r="S94" s="13">
        <f t="shared" si="19"/>
        <v>0</v>
      </c>
      <c r="T94" s="13">
        <v>100000</v>
      </c>
      <c r="U94" s="13">
        <f t="shared" si="21"/>
        <v>0</v>
      </c>
      <c r="V94" s="4"/>
      <c r="Y94" s="4"/>
    </row>
    <row r="95" spans="2:25" ht="18.75" hidden="1">
      <c r="B95" s="58"/>
      <c r="C95" s="60"/>
      <c r="D95" s="51" t="s">
        <v>100</v>
      </c>
      <c r="E95" s="62" t="s">
        <v>102</v>
      </c>
      <c r="F95" s="5">
        <v>0.91666666666666663</v>
      </c>
      <c r="G95" s="65" t="s">
        <v>86</v>
      </c>
      <c r="H95" s="66"/>
      <c r="I95" s="34">
        <v>50</v>
      </c>
      <c r="J95" s="6">
        <f t="shared" si="18"/>
        <v>0.04</v>
      </c>
      <c r="K95" s="38"/>
      <c r="L95" s="38"/>
      <c r="M95" s="38"/>
      <c r="N95" s="38"/>
      <c r="O95" s="38"/>
      <c r="P95" s="38"/>
      <c r="Q95" s="38">
        <v>2</v>
      </c>
      <c r="R95" s="38"/>
      <c r="S95" s="7">
        <f t="shared" si="19"/>
        <v>2</v>
      </c>
      <c r="T95" s="7">
        <v>100000</v>
      </c>
      <c r="U95" s="7">
        <f t="shared" si="21"/>
        <v>200000</v>
      </c>
      <c r="V95" s="4"/>
      <c r="Y95" s="4"/>
    </row>
    <row r="96" spans="2:25" ht="18.75" hidden="1">
      <c r="B96" s="58"/>
      <c r="C96" s="60"/>
      <c r="D96" s="52" t="s">
        <v>100</v>
      </c>
      <c r="E96" s="63"/>
      <c r="F96" s="8">
        <v>1</v>
      </c>
      <c r="G96" s="67" t="s">
        <v>86</v>
      </c>
      <c r="H96" s="68"/>
      <c r="I96" s="35">
        <v>50</v>
      </c>
      <c r="J96" s="9">
        <f t="shared" si="18"/>
        <v>0.04</v>
      </c>
      <c r="K96" s="39"/>
      <c r="L96" s="39"/>
      <c r="M96" s="39"/>
      <c r="N96" s="39"/>
      <c r="O96" s="39"/>
      <c r="P96" s="39"/>
      <c r="Q96" s="39">
        <v>2</v>
      </c>
      <c r="R96" s="39"/>
      <c r="S96" s="10">
        <f t="shared" si="19"/>
        <v>2</v>
      </c>
      <c r="T96" s="10">
        <v>100000</v>
      </c>
      <c r="U96" s="10">
        <f t="shared" si="21"/>
        <v>200000</v>
      </c>
      <c r="V96" s="4"/>
      <c r="Y96" s="4"/>
    </row>
    <row r="97" spans="2:25" ht="18.75" hidden="1">
      <c r="B97" s="58"/>
      <c r="C97" s="60"/>
      <c r="D97" s="52" t="s">
        <v>100</v>
      </c>
      <c r="E97" s="63"/>
      <c r="F97" s="8">
        <v>8.3333333333333329E-2</v>
      </c>
      <c r="G97" s="67" t="s">
        <v>86</v>
      </c>
      <c r="H97" s="68"/>
      <c r="I97" s="35">
        <v>50</v>
      </c>
      <c r="J97" s="9">
        <f t="shared" si="18"/>
        <v>0.04</v>
      </c>
      <c r="K97" s="39"/>
      <c r="L97" s="39"/>
      <c r="M97" s="39">
        <v>2</v>
      </c>
      <c r="N97" s="39"/>
      <c r="O97" s="39"/>
      <c r="P97" s="39"/>
      <c r="Q97" s="39"/>
      <c r="R97" s="39"/>
      <c r="S97" s="10">
        <f t="shared" si="19"/>
        <v>2</v>
      </c>
      <c r="T97" s="10">
        <v>100000</v>
      </c>
      <c r="U97" s="10">
        <f t="shared" si="21"/>
        <v>200000</v>
      </c>
      <c r="V97" s="4"/>
      <c r="Y97" s="4"/>
    </row>
    <row r="98" spans="2:25" ht="18.75" hidden="1">
      <c r="B98" s="58"/>
      <c r="C98" s="60"/>
      <c r="D98" s="52" t="s">
        <v>100</v>
      </c>
      <c r="E98" s="63"/>
      <c r="F98" s="8">
        <v>0.16666666666666666</v>
      </c>
      <c r="G98" s="67" t="s">
        <v>86</v>
      </c>
      <c r="H98" s="68"/>
      <c r="I98" s="35">
        <v>50</v>
      </c>
      <c r="J98" s="9">
        <f t="shared" si="18"/>
        <v>0.02</v>
      </c>
      <c r="K98" s="39"/>
      <c r="L98" s="39"/>
      <c r="M98" s="39">
        <v>1</v>
      </c>
      <c r="N98" s="39"/>
      <c r="O98" s="39"/>
      <c r="P98" s="39"/>
      <c r="Q98" s="39"/>
      <c r="R98" s="39"/>
      <c r="S98" s="10">
        <f t="shared" si="19"/>
        <v>1</v>
      </c>
      <c r="T98" s="10">
        <v>100000</v>
      </c>
      <c r="U98" s="10">
        <f t="shared" si="21"/>
        <v>100000</v>
      </c>
      <c r="V98" s="4"/>
      <c r="W98" s="4"/>
      <c r="X98" s="4"/>
      <c r="Y98" s="4"/>
    </row>
    <row r="99" spans="2:25" ht="18.75" hidden="1">
      <c r="B99" s="58"/>
      <c r="C99" s="60"/>
      <c r="D99" s="52" t="s">
        <v>100</v>
      </c>
      <c r="E99" s="63"/>
      <c r="F99" s="8">
        <v>0.25</v>
      </c>
      <c r="G99" s="67" t="s">
        <v>86</v>
      </c>
      <c r="H99" s="68"/>
      <c r="I99" s="35">
        <v>20</v>
      </c>
      <c r="J99" s="9">
        <f t="shared" si="18"/>
        <v>0</v>
      </c>
      <c r="K99" s="39"/>
      <c r="L99" s="39"/>
      <c r="M99" s="39"/>
      <c r="N99" s="39"/>
      <c r="O99" s="39"/>
      <c r="P99" s="39"/>
      <c r="Q99" s="39"/>
      <c r="R99" s="39"/>
      <c r="S99" s="10">
        <f t="shared" si="19"/>
        <v>0</v>
      </c>
      <c r="T99" s="10">
        <v>100000</v>
      </c>
      <c r="U99" s="10">
        <f t="shared" si="21"/>
        <v>0</v>
      </c>
      <c r="V99" s="4"/>
      <c r="Y99" s="4"/>
    </row>
    <row r="100" spans="2:25" ht="18.75" hidden="1">
      <c r="B100" s="58"/>
      <c r="C100" s="61"/>
      <c r="D100" s="53" t="s">
        <v>100</v>
      </c>
      <c r="E100" s="64"/>
      <c r="F100" s="14">
        <v>0.33333333333333331</v>
      </c>
      <c r="G100" s="67" t="s">
        <v>86</v>
      </c>
      <c r="H100" s="68"/>
      <c r="I100" s="37">
        <v>0</v>
      </c>
      <c r="J100" s="9" t="str">
        <f t="shared" si="18"/>
        <v/>
      </c>
      <c r="K100" s="40"/>
      <c r="L100" s="40"/>
      <c r="M100" s="40"/>
      <c r="N100" s="40"/>
      <c r="O100" s="40"/>
      <c r="P100" s="40"/>
      <c r="Q100" s="40"/>
      <c r="R100" s="40"/>
      <c r="S100" s="16">
        <f t="shared" si="19"/>
        <v>0</v>
      </c>
      <c r="T100" s="16">
        <v>100000</v>
      </c>
      <c r="U100" s="16">
        <f t="shared" si="21"/>
        <v>0</v>
      </c>
      <c r="V100" s="4"/>
      <c r="W100" s="4"/>
      <c r="X100" s="4"/>
      <c r="Y100" s="4"/>
    </row>
    <row r="101" spans="2:25" ht="16.5" hidden="1" customHeight="1">
      <c r="B101" s="58">
        <v>46089</v>
      </c>
      <c r="C101" s="59" t="s">
        <v>14</v>
      </c>
      <c r="D101" s="51" t="s">
        <v>60</v>
      </c>
      <c r="E101" s="62" t="s">
        <v>101</v>
      </c>
      <c r="F101" s="5">
        <v>0.41666666666666669</v>
      </c>
      <c r="G101" s="65" t="s">
        <v>74</v>
      </c>
      <c r="H101" s="66"/>
      <c r="I101" s="34">
        <v>15</v>
      </c>
      <c r="J101" s="6">
        <f t="shared" si="18"/>
        <v>0.46666666666666667</v>
      </c>
      <c r="K101" s="38"/>
      <c r="L101" s="38"/>
      <c r="M101" s="38">
        <v>1</v>
      </c>
      <c r="N101" s="38"/>
      <c r="O101" s="38"/>
      <c r="P101" s="38"/>
      <c r="Q101" s="38">
        <v>6</v>
      </c>
      <c r="R101" s="38"/>
      <c r="S101" s="7">
        <f>SUM(K101:R101)</f>
        <v>7</v>
      </c>
      <c r="T101" s="7">
        <v>100000</v>
      </c>
      <c r="U101" s="7">
        <f>T101*S101</f>
        <v>700000</v>
      </c>
      <c r="V101" s="4"/>
      <c r="W101" s="4"/>
      <c r="X101" s="4"/>
      <c r="Y101" s="4"/>
    </row>
    <row r="102" spans="2:25" ht="18.75" hidden="1">
      <c r="B102" s="58"/>
      <c r="C102" s="60"/>
      <c r="D102" s="52" t="s">
        <v>60</v>
      </c>
      <c r="E102" s="63"/>
      <c r="F102" s="8">
        <v>0.5</v>
      </c>
      <c r="G102" s="67" t="s">
        <v>74</v>
      </c>
      <c r="H102" s="68"/>
      <c r="I102" s="35">
        <v>60</v>
      </c>
      <c r="J102" s="9">
        <f t="shared" si="18"/>
        <v>0</v>
      </c>
      <c r="K102" s="39"/>
      <c r="L102" s="39"/>
      <c r="M102" s="39"/>
      <c r="N102" s="39"/>
      <c r="O102" s="39"/>
      <c r="P102" s="39"/>
      <c r="Q102" s="39"/>
      <c r="R102" s="39"/>
      <c r="S102" s="10">
        <f t="shared" ref="S102:S112" si="22">SUM(K102:R102)</f>
        <v>0</v>
      </c>
      <c r="T102" s="10">
        <v>100000</v>
      </c>
      <c r="U102" s="10">
        <f t="shared" ref="U102:U103" si="23">T102*S102</f>
        <v>0</v>
      </c>
      <c r="V102" s="4"/>
      <c r="W102" s="4"/>
      <c r="X102" s="4"/>
      <c r="Y102" s="4"/>
    </row>
    <row r="103" spans="2:25" ht="18.75" hidden="1">
      <c r="B103" s="58"/>
      <c r="C103" s="60"/>
      <c r="D103" s="52" t="s">
        <v>60</v>
      </c>
      <c r="E103" s="63"/>
      <c r="F103" s="8">
        <v>0.58333333333333337</v>
      </c>
      <c r="G103" s="67" t="s">
        <v>74</v>
      </c>
      <c r="H103" s="68"/>
      <c r="I103" s="35">
        <v>60</v>
      </c>
      <c r="J103" s="9">
        <f t="shared" si="18"/>
        <v>0</v>
      </c>
      <c r="K103" s="39"/>
      <c r="L103" s="39"/>
      <c r="M103" s="39"/>
      <c r="N103" s="39"/>
      <c r="O103" s="39"/>
      <c r="P103" s="39"/>
      <c r="Q103" s="39"/>
      <c r="R103" s="39"/>
      <c r="S103" s="10">
        <f t="shared" si="22"/>
        <v>0</v>
      </c>
      <c r="T103" s="10">
        <v>100000</v>
      </c>
      <c r="U103" s="10">
        <f t="shared" si="23"/>
        <v>0</v>
      </c>
      <c r="V103" s="4"/>
      <c r="W103" s="4"/>
      <c r="X103" s="4"/>
      <c r="Y103" s="4"/>
    </row>
    <row r="104" spans="2:25" ht="18.75" hidden="1">
      <c r="B104" s="58"/>
      <c r="C104" s="60"/>
      <c r="D104" s="52" t="s">
        <v>60</v>
      </c>
      <c r="E104" s="63"/>
      <c r="F104" s="8">
        <v>0.66666666666666663</v>
      </c>
      <c r="G104" s="67" t="s">
        <v>74</v>
      </c>
      <c r="H104" s="68"/>
      <c r="I104" s="35">
        <v>60</v>
      </c>
      <c r="J104" s="9">
        <f t="shared" si="18"/>
        <v>0</v>
      </c>
      <c r="K104" s="39"/>
      <c r="L104" s="39"/>
      <c r="M104" s="39"/>
      <c r="N104" s="39"/>
      <c r="O104" s="39"/>
      <c r="P104" s="39"/>
      <c r="Q104" s="39"/>
      <c r="R104" s="39"/>
      <c r="S104" s="10">
        <f t="shared" si="22"/>
        <v>0</v>
      </c>
      <c r="T104" s="10">
        <v>100000</v>
      </c>
      <c r="U104" s="10">
        <f>T104*S104</f>
        <v>0</v>
      </c>
      <c r="V104" s="4"/>
      <c r="W104" s="4"/>
      <c r="X104" s="4"/>
      <c r="Y104" s="4"/>
    </row>
    <row r="105" spans="2:25" ht="18.75" hidden="1">
      <c r="B105" s="58"/>
      <c r="C105" s="60"/>
      <c r="D105" s="52" t="s">
        <v>60</v>
      </c>
      <c r="E105" s="63"/>
      <c r="F105" s="8">
        <v>0.75</v>
      </c>
      <c r="G105" s="67" t="s">
        <v>74</v>
      </c>
      <c r="H105" s="68"/>
      <c r="I105" s="35">
        <v>15</v>
      </c>
      <c r="J105" s="9">
        <f t="shared" si="18"/>
        <v>0</v>
      </c>
      <c r="K105" s="39"/>
      <c r="L105" s="39"/>
      <c r="M105" s="39"/>
      <c r="N105" s="39"/>
      <c r="O105" s="39"/>
      <c r="P105" s="39"/>
      <c r="Q105" s="39"/>
      <c r="R105" s="39"/>
      <c r="S105" s="10">
        <f t="shared" si="22"/>
        <v>0</v>
      </c>
      <c r="T105" s="10">
        <v>100000</v>
      </c>
      <c r="U105" s="10">
        <f t="shared" ref="U105:U112" si="24">T105*S105</f>
        <v>0</v>
      </c>
      <c r="V105" s="4"/>
      <c r="W105" s="4"/>
      <c r="X105" s="11"/>
      <c r="Y105" s="4"/>
    </row>
    <row r="106" spans="2:25" ht="18.75" hidden="1">
      <c r="B106" s="58"/>
      <c r="C106" s="60"/>
      <c r="D106" s="53" t="s">
        <v>60</v>
      </c>
      <c r="E106" s="64"/>
      <c r="F106" s="12">
        <v>0.83333333333333337</v>
      </c>
      <c r="G106" s="67" t="s">
        <v>74</v>
      </c>
      <c r="H106" s="68"/>
      <c r="I106" s="36"/>
      <c r="J106" s="9" t="str">
        <f t="shared" si="18"/>
        <v/>
      </c>
      <c r="K106" s="41"/>
      <c r="L106" s="41"/>
      <c r="M106" s="41"/>
      <c r="N106" s="41"/>
      <c r="O106" s="41"/>
      <c r="P106" s="41"/>
      <c r="Q106" s="41"/>
      <c r="R106" s="41"/>
      <c r="S106" s="13">
        <f t="shared" si="22"/>
        <v>0</v>
      </c>
      <c r="T106" s="13">
        <v>100000</v>
      </c>
      <c r="U106" s="13">
        <f t="shared" si="24"/>
        <v>0</v>
      </c>
      <c r="V106" s="4"/>
      <c r="Y106" s="4"/>
    </row>
    <row r="107" spans="2:25" ht="18.75" hidden="1">
      <c r="B107" s="58"/>
      <c r="C107" s="60"/>
      <c r="D107" s="51" t="s">
        <v>60</v>
      </c>
      <c r="E107" s="62" t="s">
        <v>102</v>
      </c>
      <c r="F107" s="5">
        <v>0.91666666666666663</v>
      </c>
      <c r="G107" s="65" t="s">
        <v>88</v>
      </c>
      <c r="H107" s="66"/>
      <c r="I107" s="34">
        <v>23</v>
      </c>
      <c r="J107" s="6">
        <f t="shared" si="18"/>
        <v>0.2608695652173913</v>
      </c>
      <c r="K107" s="38"/>
      <c r="L107" s="38"/>
      <c r="M107" s="38">
        <v>1</v>
      </c>
      <c r="N107" s="38"/>
      <c r="O107" s="38"/>
      <c r="P107" s="38"/>
      <c r="Q107" s="38">
        <v>5</v>
      </c>
      <c r="R107" s="38"/>
      <c r="S107" s="7">
        <f t="shared" si="22"/>
        <v>6</v>
      </c>
      <c r="T107" s="7">
        <v>100000</v>
      </c>
      <c r="U107" s="7">
        <f t="shared" si="24"/>
        <v>600000</v>
      </c>
      <c r="V107" s="4"/>
      <c r="Y107" s="4"/>
    </row>
    <row r="108" spans="2:25" ht="18.75" hidden="1">
      <c r="B108" s="58"/>
      <c r="C108" s="60"/>
      <c r="D108" s="52" t="s">
        <v>60</v>
      </c>
      <c r="E108" s="63"/>
      <c r="F108" s="8">
        <v>1</v>
      </c>
      <c r="G108" s="67" t="s">
        <v>88</v>
      </c>
      <c r="H108" s="68"/>
      <c r="I108" s="35">
        <v>59</v>
      </c>
      <c r="J108" s="9">
        <f t="shared" si="18"/>
        <v>1.6949152542372881E-2</v>
      </c>
      <c r="K108" s="39"/>
      <c r="L108" s="39"/>
      <c r="M108" s="39">
        <v>1</v>
      </c>
      <c r="N108" s="39"/>
      <c r="O108" s="39"/>
      <c r="P108" s="39"/>
      <c r="Q108" s="39"/>
      <c r="R108" s="39"/>
      <c r="S108" s="10">
        <f t="shared" si="22"/>
        <v>1</v>
      </c>
      <c r="T108" s="10">
        <v>100000</v>
      </c>
      <c r="U108" s="10">
        <f t="shared" si="24"/>
        <v>100000</v>
      </c>
      <c r="V108" s="4"/>
      <c r="Y108" s="4"/>
    </row>
    <row r="109" spans="2:25" ht="18.75" hidden="1">
      <c r="B109" s="58"/>
      <c r="C109" s="60"/>
      <c r="D109" s="52" t="s">
        <v>60</v>
      </c>
      <c r="E109" s="63"/>
      <c r="F109" s="8">
        <v>8.3333333333333329E-2</v>
      </c>
      <c r="G109" s="67" t="s">
        <v>88</v>
      </c>
      <c r="H109" s="68"/>
      <c r="I109" s="35">
        <v>59</v>
      </c>
      <c r="J109" s="9">
        <f t="shared" si="18"/>
        <v>1.6949152542372881E-2</v>
      </c>
      <c r="K109" s="39"/>
      <c r="L109" s="39"/>
      <c r="M109" s="39">
        <v>1</v>
      </c>
      <c r="N109" s="39"/>
      <c r="O109" s="39"/>
      <c r="P109" s="39"/>
      <c r="Q109" s="39"/>
      <c r="R109" s="39"/>
      <c r="S109" s="10">
        <f t="shared" si="22"/>
        <v>1</v>
      </c>
      <c r="T109" s="10">
        <v>100000</v>
      </c>
      <c r="U109" s="10">
        <f t="shared" si="24"/>
        <v>100000</v>
      </c>
      <c r="V109" s="4"/>
      <c r="Y109" s="4"/>
    </row>
    <row r="110" spans="2:25" ht="18.75" hidden="1">
      <c r="B110" s="58"/>
      <c r="C110" s="60"/>
      <c r="D110" s="52" t="s">
        <v>60</v>
      </c>
      <c r="E110" s="63"/>
      <c r="F110" s="8">
        <v>0.16666666666666666</v>
      </c>
      <c r="G110" s="67" t="s">
        <v>88</v>
      </c>
      <c r="H110" s="68"/>
      <c r="I110" s="35">
        <v>59</v>
      </c>
      <c r="J110" s="9">
        <f t="shared" si="18"/>
        <v>1.6949152542372881E-2</v>
      </c>
      <c r="K110" s="39"/>
      <c r="L110" s="39"/>
      <c r="M110" s="39">
        <v>1</v>
      </c>
      <c r="N110" s="39"/>
      <c r="O110" s="39"/>
      <c r="P110" s="39"/>
      <c r="Q110" s="39"/>
      <c r="R110" s="39"/>
      <c r="S110" s="10">
        <f t="shared" si="22"/>
        <v>1</v>
      </c>
      <c r="T110" s="10">
        <v>100000</v>
      </c>
      <c r="U110" s="10">
        <f t="shared" si="24"/>
        <v>100000</v>
      </c>
      <c r="V110" s="4"/>
      <c r="W110" s="4"/>
      <c r="X110" s="4"/>
      <c r="Y110" s="4"/>
    </row>
    <row r="111" spans="2:25" ht="18.75" hidden="1">
      <c r="B111" s="58"/>
      <c r="C111" s="60"/>
      <c r="D111" s="52" t="s">
        <v>60</v>
      </c>
      <c r="E111" s="63"/>
      <c r="F111" s="8">
        <v>0.25</v>
      </c>
      <c r="G111" s="67" t="s">
        <v>88</v>
      </c>
      <c r="H111" s="68"/>
      <c r="I111" s="35">
        <v>60</v>
      </c>
      <c r="J111" s="9">
        <f t="shared" si="18"/>
        <v>0</v>
      </c>
      <c r="K111" s="39"/>
      <c r="L111" s="39"/>
      <c r="M111" s="39"/>
      <c r="N111" s="39"/>
      <c r="O111" s="39"/>
      <c r="P111" s="39"/>
      <c r="Q111" s="39"/>
      <c r="R111" s="39"/>
      <c r="S111" s="10">
        <f t="shared" si="22"/>
        <v>0</v>
      </c>
      <c r="T111" s="10">
        <v>100000</v>
      </c>
      <c r="U111" s="10">
        <f t="shared" si="24"/>
        <v>0</v>
      </c>
      <c r="V111" s="4"/>
      <c r="Y111" s="4"/>
    </row>
    <row r="112" spans="2:25" ht="18.75" hidden="1">
      <c r="B112" s="58"/>
      <c r="C112" s="61"/>
      <c r="D112" s="53" t="s">
        <v>60</v>
      </c>
      <c r="E112" s="64"/>
      <c r="F112" s="14">
        <v>0.33333333333333331</v>
      </c>
      <c r="G112" s="67" t="s">
        <v>88</v>
      </c>
      <c r="H112" s="68"/>
      <c r="I112" s="37">
        <v>60</v>
      </c>
      <c r="J112" s="9">
        <f t="shared" si="18"/>
        <v>0</v>
      </c>
      <c r="K112" s="40"/>
      <c r="L112" s="40"/>
      <c r="M112" s="40"/>
      <c r="N112" s="40"/>
      <c r="O112" s="40"/>
      <c r="P112" s="40"/>
      <c r="Q112" s="40"/>
      <c r="R112" s="40"/>
      <c r="S112" s="16">
        <f t="shared" si="22"/>
        <v>0</v>
      </c>
      <c r="T112" s="16">
        <v>100000</v>
      </c>
      <c r="U112" s="16">
        <f t="shared" si="24"/>
        <v>0</v>
      </c>
      <c r="V112" s="4"/>
      <c r="W112" s="4"/>
      <c r="X112" s="4"/>
      <c r="Y112" s="4"/>
    </row>
    <row r="113" spans="2:25" ht="16.5" hidden="1" customHeight="1">
      <c r="B113" s="58">
        <v>46090</v>
      </c>
      <c r="C113" s="59" t="s">
        <v>14</v>
      </c>
      <c r="D113" s="51" t="s">
        <v>60</v>
      </c>
      <c r="E113" s="62" t="s">
        <v>101</v>
      </c>
      <c r="F113" s="5">
        <v>0.41666666666666669</v>
      </c>
      <c r="G113" s="65" t="s">
        <v>75</v>
      </c>
      <c r="H113" s="66"/>
      <c r="I113" s="34">
        <v>26</v>
      </c>
      <c r="J113" s="6">
        <f t="shared" si="18"/>
        <v>0.61538461538461542</v>
      </c>
      <c r="K113" s="38"/>
      <c r="L113" s="38"/>
      <c r="M113" s="38"/>
      <c r="N113" s="38"/>
      <c r="O113" s="38"/>
      <c r="P113" s="38"/>
      <c r="Q113" s="38">
        <v>12</v>
      </c>
      <c r="R113" s="38">
        <v>4</v>
      </c>
      <c r="S113" s="7">
        <f>SUM(K113:R113)</f>
        <v>16</v>
      </c>
      <c r="T113" s="7">
        <v>100000</v>
      </c>
      <c r="U113" s="7">
        <f>T113*S113</f>
        <v>1600000</v>
      </c>
      <c r="V113" s="4"/>
      <c r="W113" s="4"/>
      <c r="X113" s="4"/>
      <c r="Y113" s="4"/>
    </row>
    <row r="114" spans="2:25" ht="18.75" hidden="1" customHeight="1">
      <c r="B114" s="58"/>
      <c r="C114" s="60"/>
      <c r="D114" s="52" t="s">
        <v>60</v>
      </c>
      <c r="E114" s="63"/>
      <c r="F114" s="8">
        <v>0.5</v>
      </c>
      <c r="G114" s="67" t="s">
        <v>75</v>
      </c>
      <c r="H114" s="68"/>
      <c r="I114" s="35">
        <v>30</v>
      </c>
      <c r="J114" s="9">
        <f t="shared" si="18"/>
        <v>0</v>
      </c>
      <c r="K114" s="39"/>
      <c r="L114" s="39"/>
      <c r="M114" s="39"/>
      <c r="N114" s="39"/>
      <c r="O114" s="39"/>
      <c r="P114" s="39"/>
      <c r="Q114" s="39"/>
      <c r="R114" s="39"/>
      <c r="S114" s="10">
        <f t="shared" ref="S114:S124" si="25">SUM(K114:R114)</f>
        <v>0</v>
      </c>
      <c r="T114" s="10">
        <v>100000</v>
      </c>
      <c r="U114" s="10">
        <f t="shared" ref="U114:U115" si="26">T114*S114</f>
        <v>0</v>
      </c>
      <c r="V114" s="4"/>
      <c r="W114" s="4"/>
      <c r="X114" s="4"/>
      <c r="Y114" s="4"/>
    </row>
    <row r="115" spans="2:25" ht="18.75" hidden="1" customHeight="1">
      <c r="B115" s="58"/>
      <c r="C115" s="60"/>
      <c r="D115" s="52" t="s">
        <v>60</v>
      </c>
      <c r="E115" s="63"/>
      <c r="F115" s="8">
        <v>0.58333333333333337</v>
      </c>
      <c r="G115" s="67" t="s">
        <v>75</v>
      </c>
      <c r="H115" s="68"/>
      <c r="I115" s="35">
        <v>30</v>
      </c>
      <c r="J115" s="9">
        <f t="shared" si="18"/>
        <v>0</v>
      </c>
      <c r="K115" s="39"/>
      <c r="L115" s="39"/>
      <c r="M115" s="39"/>
      <c r="N115" s="39"/>
      <c r="O115" s="39"/>
      <c r="P115" s="39"/>
      <c r="Q115" s="39"/>
      <c r="R115" s="39"/>
      <c r="S115" s="10">
        <f t="shared" si="25"/>
        <v>0</v>
      </c>
      <c r="T115" s="10">
        <v>100000</v>
      </c>
      <c r="U115" s="10">
        <f t="shared" si="26"/>
        <v>0</v>
      </c>
      <c r="V115" s="4"/>
      <c r="W115" s="4"/>
      <c r="X115" s="4"/>
      <c r="Y115" s="4"/>
    </row>
    <row r="116" spans="2:25" ht="18.75" hidden="1" customHeight="1">
      <c r="B116" s="58"/>
      <c r="C116" s="60"/>
      <c r="D116" s="52" t="s">
        <v>59</v>
      </c>
      <c r="E116" s="63"/>
      <c r="F116" s="8">
        <v>0.66666666666666663</v>
      </c>
      <c r="G116" s="67" t="s">
        <v>75</v>
      </c>
      <c r="H116" s="68"/>
      <c r="I116" s="35">
        <v>20</v>
      </c>
      <c r="J116" s="9">
        <f t="shared" si="18"/>
        <v>0.1</v>
      </c>
      <c r="K116" s="39"/>
      <c r="L116" s="39"/>
      <c r="M116" s="39"/>
      <c r="N116" s="39"/>
      <c r="O116" s="39"/>
      <c r="P116" s="39"/>
      <c r="Q116" s="39"/>
      <c r="R116" s="39">
        <v>2</v>
      </c>
      <c r="S116" s="10">
        <f t="shared" si="25"/>
        <v>2</v>
      </c>
      <c r="T116" s="10">
        <v>100000</v>
      </c>
      <c r="U116" s="10">
        <f>T116*S116</f>
        <v>200000</v>
      </c>
      <c r="V116" s="4"/>
      <c r="W116" s="4"/>
      <c r="X116" s="4"/>
      <c r="Y116" s="4"/>
    </row>
    <row r="117" spans="2:25" ht="18.75" hidden="1" customHeight="1">
      <c r="B117" s="58"/>
      <c r="C117" s="60"/>
      <c r="D117" s="52" t="s">
        <v>59</v>
      </c>
      <c r="E117" s="63"/>
      <c r="F117" s="8">
        <v>0.75</v>
      </c>
      <c r="G117" s="67" t="s">
        <v>75</v>
      </c>
      <c r="H117" s="68"/>
      <c r="I117" s="35">
        <v>60</v>
      </c>
      <c r="J117" s="9">
        <f t="shared" si="18"/>
        <v>0</v>
      </c>
      <c r="K117" s="39"/>
      <c r="L117" s="39"/>
      <c r="M117" s="39"/>
      <c r="N117" s="39"/>
      <c r="O117" s="39"/>
      <c r="P117" s="39"/>
      <c r="Q117" s="39"/>
      <c r="R117" s="39"/>
      <c r="S117" s="10">
        <f t="shared" si="25"/>
        <v>0</v>
      </c>
      <c r="T117" s="10">
        <v>100000</v>
      </c>
      <c r="U117" s="10">
        <f t="shared" ref="U117:U124" si="27">T117*S117</f>
        <v>0</v>
      </c>
      <c r="V117" s="4"/>
      <c r="W117" s="4"/>
      <c r="X117" s="11"/>
      <c r="Y117" s="4"/>
    </row>
    <row r="118" spans="2:25" ht="18.75" hidden="1" customHeight="1">
      <c r="B118" s="58"/>
      <c r="C118" s="60"/>
      <c r="D118" s="53" t="s">
        <v>59</v>
      </c>
      <c r="E118" s="64"/>
      <c r="F118" s="12">
        <v>0.83333333333333337</v>
      </c>
      <c r="G118" s="67" t="s">
        <v>75</v>
      </c>
      <c r="H118" s="68"/>
      <c r="I118" s="36">
        <v>60</v>
      </c>
      <c r="J118" s="9">
        <f t="shared" si="18"/>
        <v>0</v>
      </c>
      <c r="K118" s="41"/>
      <c r="L118" s="41"/>
      <c r="M118" s="41"/>
      <c r="N118" s="41"/>
      <c r="O118" s="41"/>
      <c r="P118" s="41"/>
      <c r="Q118" s="41"/>
      <c r="R118" s="41"/>
      <c r="S118" s="13">
        <f t="shared" si="25"/>
        <v>0</v>
      </c>
      <c r="T118" s="13">
        <v>100000</v>
      </c>
      <c r="U118" s="13">
        <f t="shared" si="27"/>
        <v>0</v>
      </c>
      <c r="V118" s="4"/>
      <c r="Y118" s="4"/>
    </row>
    <row r="119" spans="2:25" ht="18.75" hidden="1">
      <c r="B119" s="58"/>
      <c r="C119" s="60"/>
      <c r="D119" s="51" t="s">
        <v>59</v>
      </c>
      <c r="E119" s="62" t="s">
        <v>102</v>
      </c>
      <c r="F119" s="5">
        <v>0.91666666666666663</v>
      </c>
      <c r="G119" s="65" t="s">
        <v>85</v>
      </c>
      <c r="H119" s="66"/>
      <c r="I119" s="34">
        <v>53</v>
      </c>
      <c r="J119" s="6">
        <f t="shared" si="18"/>
        <v>1.8867924528301886E-2</v>
      </c>
      <c r="K119" s="38">
        <v>1</v>
      </c>
      <c r="L119" s="38"/>
      <c r="M119" s="38"/>
      <c r="N119" s="38"/>
      <c r="O119" s="38"/>
      <c r="P119" s="38"/>
      <c r="Q119" s="38"/>
      <c r="R119" s="38"/>
      <c r="S119" s="7">
        <f t="shared" si="25"/>
        <v>1</v>
      </c>
      <c r="T119" s="7">
        <v>100000</v>
      </c>
      <c r="U119" s="7">
        <f t="shared" si="27"/>
        <v>100000</v>
      </c>
      <c r="V119" s="4"/>
      <c r="Y119" s="4"/>
    </row>
    <row r="120" spans="2:25" ht="18.75" hidden="1">
      <c r="B120" s="58"/>
      <c r="C120" s="60"/>
      <c r="D120" s="52" t="s">
        <v>59</v>
      </c>
      <c r="E120" s="63"/>
      <c r="F120" s="8">
        <v>1</v>
      </c>
      <c r="G120" s="67" t="s">
        <v>85</v>
      </c>
      <c r="H120" s="68"/>
      <c r="I120" s="35">
        <v>53</v>
      </c>
      <c r="J120" s="9">
        <f t="shared" si="18"/>
        <v>1.8867924528301886E-2</v>
      </c>
      <c r="K120" s="39">
        <v>1</v>
      </c>
      <c r="L120" s="39"/>
      <c r="M120" s="39"/>
      <c r="N120" s="39"/>
      <c r="O120" s="39"/>
      <c r="P120" s="39"/>
      <c r="Q120" s="39"/>
      <c r="R120" s="39"/>
      <c r="S120" s="10">
        <f t="shared" si="25"/>
        <v>1</v>
      </c>
      <c r="T120" s="10">
        <v>100000</v>
      </c>
      <c r="U120" s="10">
        <f t="shared" si="27"/>
        <v>100000</v>
      </c>
      <c r="V120" s="4"/>
      <c r="Y120" s="4"/>
    </row>
    <row r="121" spans="2:25" ht="18.75" hidden="1">
      <c r="B121" s="58"/>
      <c r="C121" s="60"/>
      <c r="D121" s="52" t="s">
        <v>59</v>
      </c>
      <c r="E121" s="63"/>
      <c r="F121" s="8">
        <v>8.3333333333333329E-2</v>
      </c>
      <c r="G121" s="67" t="s">
        <v>85</v>
      </c>
      <c r="H121" s="68"/>
      <c r="I121" s="35">
        <v>53</v>
      </c>
      <c r="J121" s="9">
        <f t="shared" si="18"/>
        <v>1.8867924528301886E-2</v>
      </c>
      <c r="K121" s="39">
        <v>1</v>
      </c>
      <c r="L121" s="39"/>
      <c r="M121" s="39"/>
      <c r="N121" s="39"/>
      <c r="O121" s="39"/>
      <c r="P121" s="39"/>
      <c r="Q121" s="39"/>
      <c r="R121" s="39"/>
      <c r="S121" s="10">
        <f t="shared" si="25"/>
        <v>1</v>
      </c>
      <c r="T121" s="10">
        <v>100000</v>
      </c>
      <c r="U121" s="10">
        <f t="shared" si="27"/>
        <v>100000</v>
      </c>
      <c r="V121" s="4"/>
      <c r="Y121" s="4"/>
    </row>
    <row r="122" spans="2:25" ht="18.75" hidden="1">
      <c r="B122" s="58"/>
      <c r="C122" s="60"/>
      <c r="D122" s="52" t="s">
        <v>59</v>
      </c>
      <c r="E122" s="63"/>
      <c r="F122" s="8">
        <v>0.16666666666666666</v>
      </c>
      <c r="G122" s="67" t="s">
        <v>85</v>
      </c>
      <c r="H122" s="68"/>
      <c r="I122" s="35">
        <v>53</v>
      </c>
      <c r="J122" s="9">
        <f t="shared" si="18"/>
        <v>1.8867924528301886E-2</v>
      </c>
      <c r="K122" s="39">
        <v>1</v>
      </c>
      <c r="L122" s="39"/>
      <c r="M122" s="39"/>
      <c r="N122" s="39"/>
      <c r="O122" s="39"/>
      <c r="P122" s="39"/>
      <c r="Q122" s="39"/>
      <c r="R122" s="39"/>
      <c r="S122" s="10">
        <f t="shared" si="25"/>
        <v>1</v>
      </c>
      <c r="T122" s="10">
        <v>100000</v>
      </c>
      <c r="U122" s="10">
        <f t="shared" si="27"/>
        <v>100000</v>
      </c>
      <c r="V122" s="4"/>
      <c r="W122" s="4"/>
      <c r="X122" s="4"/>
      <c r="Y122" s="4"/>
    </row>
    <row r="123" spans="2:25" ht="18.75" hidden="1">
      <c r="B123" s="58"/>
      <c r="C123" s="60"/>
      <c r="D123" s="52" t="s">
        <v>59</v>
      </c>
      <c r="E123" s="63"/>
      <c r="F123" s="8">
        <v>0.25</v>
      </c>
      <c r="G123" s="67" t="s">
        <v>85</v>
      </c>
      <c r="H123" s="68"/>
      <c r="I123" s="35">
        <v>53</v>
      </c>
      <c r="J123" s="9">
        <f t="shared" si="18"/>
        <v>1.8867924528301886E-2</v>
      </c>
      <c r="K123" s="39">
        <v>1</v>
      </c>
      <c r="L123" s="39"/>
      <c r="M123" s="39"/>
      <c r="N123" s="39"/>
      <c r="O123" s="39"/>
      <c r="P123" s="39"/>
      <c r="Q123" s="39"/>
      <c r="R123" s="39"/>
      <c r="S123" s="10">
        <f t="shared" si="25"/>
        <v>1</v>
      </c>
      <c r="T123" s="10">
        <v>100000</v>
      </c>
      <c r="U123" s="10">
        <f t="shared" si="27"/>
        <v>100000</v>
      </c>
      <c r="V123" s="4"/>
      <c r="Y123" s="4"/>
    </row>
    <row r="124" spans="2:25" ht="18.75" hidden="1">
      <c r="B124" s="58"/>
      <c r="C124" s="61"/>
      <c r="D124" s="53" t="s">
        <v>59</v>
      </c>
      <c r="E124" s="64"/>
      <c r="F124" s="14">
        <v>0.33333333333333331</v>
      </c>
      <c r="G124" s="67" t="s">
        <v>85</v>
      </c>
      <c r="H124" s="68"/>
      <c r="I124" s="37">
        <v>53</v>
      </c>
      <c r="J124" s="9">
        <f t="shared" si="18"/>
        <v>1.8867924528301886E-2</v>
      </c>
      <c r="K124" s="40">
        <v>1</v>
      </c>
      <c r="L124" s="40"/>
      <c r="M124" s="40"/>
      <c r="N124" s="40"/>
      <c r="O124" s="40"/>
      <c r="P124" s="40"/>
      <c r="Q124" s="40"/>
      <c r="R124" s="40"/>
      <c r="S124" s="16">
        <f t="shared" si="25"/>
        <v>1</v>
      </c>
      <c r="T124" s="16">
        <v>100000</v>
      </c>
      <c r="U124" s="16">
        <f t="shared" si="27"/>
        <v>100000</v>
      </c>
      <c r="V124" s="4"/>
      <c r="W124" s="4"/>
      <c r="X124" s="4"/>
      <c r="Y124" s="4"/>
    </row>
    <row r="125" spans="2:25" ht="16.5" hidden="1" customHeight="1">
      <c r="B125" s="58">
        <v>46091</v>
      </c>
      <c r="C125" s="59" t="s">
        <v>14</v>
      </c>
      <c r="D125" s="51" t="s">
        <v>59</v>
      </c>
      <c r="E125" s="62" t="s">
        <v>101</v>
      </c>
      <c r="F125" s="5">
        <v>0.41666666666666669</v>
      </c>
      <c r="G125" s="65" t="s">
        <v>74</v>
      </c>
      <c r="H125" s="66"/>
      <c r="I125" s="34">
        <v>50</v>
      </c>
      <c r="J125" s="6">
        <f t="shared" si="18"/>
        <v>0.24</v>
      </c>
      <c r="K125" s="38">
        <v>2</v>
      </c>
      <c r="L125" s="38"/>
      <c r="M125" s="38"/>
      <c r="N125" s="38"/>
      <c r="O125" s="38"/>
      <c r="P125" s="38"/>
      <c r="Q125" s="38">
        <v>10</v>
      </c>
      <c r="R125" s="38"/>
      <c r="S125" s="7">
        <f>SUM(K125:R125)</f>
        <v>12</v>
      </c>
      <c r="T125" s="7">
        <v>100000</v>
      </c>
      <c r="U125" s="7">
        <f>T125*S125</f>
        <v>1200000</v>
      </c>
      <c r="V125" s="4"/>
      <c r="W125" s="4"/>
      <c r="X125" s="4"/>
      <c r="Y125" s="4"/>
    </row>
    <row r="126" spans="2:25" ht="18.75" hidden="1">
      <c r="B126" s="58"/>
      <c r="C126" s="60"/>
      <c r="D126" s="52" t="s">
        <v>59</v>
      </c>
      <c r="E126" s="63"/>
      <c r="F126" s="8">
        <v>0.5</v>
      </c>
      <c r="G126" s="67" t="s">
        <v>74</v>
      </c>
      <c r="H126" s="68"/>
      <c r="I126" s="35">
        <v>50</v>
      </c>
      <c r="J126" s="9">
        <f t="shared" si="18"/>
        <v>0</v>
      </c>
      <c r="K126" s="39"/>
      <c r="L126" s="39"/>
      <c r="M126" s="39"/>
      <c r="N126" s="39"/>
      <c r="O126" s="39"/>
      <c r="P126" s="39"/>
      <c r="Q126" s="39"/>
      <c r="R126" s="39"/>
      <c r="S126" s="10">
        <f t="shared" ref="S126:S136" si="28">SUM(K126:R126)</f>
        <v>0</v>
      </c>
      <c r="T126" s="10">
        <v>100000</v>
      </c>
      <c r="U126" s="10">
        <f t="shared" ref="U126:U127" si="29">T126*S126</f>
        <v>0</v>
      </c>
      <c r="V126" s="4"/>
      <c r="W126" s="4"/>
      <c r="X126" s="4"/>
      <c r="Y126" s="4"/>
    </row>
    <row r="127" spans="2:25" ht="18.75" hidden="1">
      <c r="B127" s="58"/>
      <c r="C127" s="60"/>
      <c r="D127" s="52"/>
      <c r="E127" s="63"/>
      <c r="F127" s="8">
        <v>0.58333333333333337</v>
      </c>
      <c r="G127" s="67"/>
      <c r="H127" s="68"/>
      <c r="I127" s="35"/>
      <c r="J127" s="9" t="str">
        <f t="shared" si="18"/>
        <v/>
      </c>
      <c r="K127" s="39"/>
      <c r="L127" s="39"/>
      <c r="M127" s="39"/>
      <c r="N127" s="39"/>
      <c r="O127" s="39"/>
      <c r="P127" s="39"/>
      <c r="Q127" s="39"/>
      <c r="R127" s="39"/>
      <c r="S127" s="10">
        <f t="shared" si="28"/>
        <v>0</v>
      </c>
      <c r="T127" s="10">
        <v>100000</v>
      </c>
      <c r="U127" s="10">
        <f t="shared" si="29"/>
        <v>0</v>
      </c>
      <c r="V127" s="4"/>
      <c r="W127" s="4"/>
      <c r="X127" s="4"/>
      <c r="Y127" s="4"/>
    </row>
    <row r="128" spans="2:25" ht="18.75" hidden="1">
      <c r="B128" s="58"/>
      <c r="C128" s="60"/>
      <c r="D128" s="52"/>
      <c r="E128" s="63"/>
      <c r="F128" s="8">
        <v>0.66666666666666663</v>
      </c>
      <c r="G128" s="67"/>
      <c r="H128" s="68"/>
      <c r="I128" s="35"/>
      <c r="J128" s="9" t="str">
        <f t="shared" si="18"/>
        <v/>
      </c>
      <c r="K128" s="39"/>
      <c r="L128" s="39"/>
      <c r="M128" s="39"/>
      <c r="N128" s="39"/>
      <c r="O128" s="39"/>
      <c r="P128" s="39"/>
      <c r="Q128" s="39"/>
      <c r="R128" s="39"/>
      <c r="S128" s="10">
        <f t="shared" si="28"/>
        <v>0</v>
      </c>
      <c r="T128" s="10">
        <v>100000</v>
      </c>
      <c r="U128" s="10">
        <f>T128*S128</f>
        <v>0</v>
      </c>
      <c r="V128" s="4"/>
      <c r="W128" s="4"/>
      <c r="X128" s="4"/>
      <c r="Y128" s="4"/>
    </row>
    <row r="129" spans="2:25" ht="18.75" hidden="1">
      <c r="B129" s="58"/>
      <c r="C129" s="60"/>
      <c r="D129" s="52" t="s">
        <v>100</v>
      </c>
      <c r="E129" s="63"/>
      <c r="F129" s="8">
        <v>0.75</v>
      </c>
      <c r="G129" s="67" t="s">
        <v>74</v>
      </c>
      <c r="H129" s="68"/>
      <c r="I129" s="35">
        <v>47</v>
      </c>
      <c r="J129" s="9">
        <f t="shared" si="18"/>
        <v>6.3829787234042548E-2</v>
      </c>
      <c r="K129" s="39"/>
      <c r="L129" s="39"/>
      <c r="M129" s="39"/>
      <c r="N129" s="39"/>
      <c r="O129" s="39"/>
      <c r="P129" s="39"/>
      <c r="Q129" s="39"/>
      <c r="R129" s="39">
        <v>3</v>
      </c>
      <c r="S129" s="10">
        <f t="shared" si="28"/>
        <v>3</v>
      </c>
      <c r="T129" s="10">
        <v>100000</v>
      </c>
      <c r="U129" s="10">
        <f t="shared" ref="U129:U136" si="30">T129*S129</f>
        <v>300000</v>
      </c>
      <c r="V129" s="4"/>
      <c r="W129" s="4"/>
      <c r="X129" s="11"/>
      <c r="Y129" s="4"/>
    </row>
    <row r="130" spans="2:25" ht="18.75" hidden="1">
      <c r="B130" s="58"/>
      <c r="C130" s="60"/>
      <c r="D130" s="53" t="s">
        <v>100</v>
      </c>
      <c r="E130" s="64"/>
      <c r="F130" s="12">
        <v>0.83333333333333337</v>
      </c>
      <c r="G130" s="67" t="s">
        <v>74</v>
      </c>
      <c r="H130" s="68"/>
      <c r="I130" s="36">
        <v>53</v>
      </c>
      <c r="J130" s="9">
        <f t="shared" si="18"/>
        <v>0</v>
      </c>
      <c r="K130" s="41"/>
      <c r="L130" s="41"/>
      <c r="M130" s="41"/>
      <c r="N130" s="41"/>
      <c r="O130" s="41"/>
      <c r="P130" s="41"/>
      <c r="Q130" s="41"/>
      <c r="R130" s="41"/>
      <c r="S130" s="13">
        <f t="shared" si="28"/>
        <v>0</v>
      </c>
      <c r="T130" s="13">
        <v>100000</v>
      </c>
      <c r="U130" s="13">
        <f t="shared" si="30"/>
        <v>0</v>
      </c>
      <c r="V130" s="4"/>
      <c r="Y130" s="4"/>
    </row>
    <row r="131" spans="2:25" ht="18.75" hidden="1">
      <c r="B131" s="58"/>
      <c r="C131" s="60"/>
      <c r="D131" s="51" t="s">
        <v>100</v>
      </c>
      <c r="E131" s="62" t="s">
        <v>102</v>
      </c>
      <c r="F131" s="5">
        <v>0.91666666666666663</v>
      </c>
      <c r="G131" s="65" t="s">
        <v>88</v>
      </c>
      <c r="H131" s="66"/>
      <c r="I131" s="34">
        <v>50</v>
      </c>
      <c r="J131" s="6">
        <f t="shared" si="18"/>
        <v>0.02</v>
      </c>
      <c r="K131" s="38"/>
      <c r="L131" s="38"/>
      <c r="M131" s="38">
        <v>1</v>
      </c>
      <c r="N131" s="38"/>
      <c r="O131" s="38"/>
      <c r="P131" s="38"/>
      <c r="Q131" s="38"/>
      <c r="R131" s="38"/>
      <c r="S131" s="7">
        <f t="shared" si="28"/>
        <v>1</v>
      </c>
      <c r="T131" s="7">
        <v>100000</v>
      </c>
      <c r="U131" s="7">
        <f t="shared" si="30"/>
        <v>100000</v>
      </c>
      <c r="V131" s="4"/>
      <c r="Y131" s="4"/>
    </row>
    <row r="132" spans="2:25" ht="18.75" hidden="1">
      <c r="B132" s="58"/>
      <c r="C132" s="60"/>
      <c r="D132" s="52" t="s">
        <v>100</v>
      </c>
      <c r="E132" s="63"/>
      <c r="F132" s="8">
        <v>1</v>
      </c>
      <c r="G132" s="67" t="s">
        <v>88</v>
      </c>
      <c r="H132" s="68"/>
      <c r="I132" s="35">
        <v>50</v>
      </c>
      <c r="J132" s="9">
        <f t="shared" si="18"/>
        <v>0.02</v>
      </c>
      <c r="K132" s="39">
        <v>1</v>
      </c>
      <c r="L132" s="39"/>
      <c r="M132" s="39"/>
      <c r="N132" s="39"/>
      <c r="O132" s="39"/>
      <c r="P132" s="39"/>
      <c r="Q132" s="39"/>
      <c r="R132" s="39"/>
      <c r="S132" s="10">
        <f t="shared" si="28"/>
        <v>1</v>
      </c>
      <c r="T132" s="10">
        <v>100000</v>
      </c>
      <c r="U132" s="10">
        <f t="shared" si="30"/>
        <v>100000</v>
      </c>
      <c r="V132" s="4"/>
      <c r="Y132" s="4"/>
    </row>
    <row r="133" spans="2:25" ht="18.75" hidden="1">
      <c r="B133" s="58"/>
      <c r="C133" s="60"/>
      <c r="D133" s="52" t="s">
        <v>100</v>
      </c>
      <c r="E133" s="63"/>
      <c r="F133" s="8">
        <v>8.3333333333333329E-2</v>
      </c>
      <c r="G133" s="67" t="s">
        <v>88</v>
      </c>
      <c r="H133" s="68"/>
      <c r="I133" s="35">
        <v>50</v>
      </c>
      <c r="J133" s="9">
        <f t="shared" si="18"/>
        <v>0.02</v>
      </c>
      <c r="K133" s="39"/>
      <c r="L133" s="39"/>
      <c r="M133" s="39">
        <v>1</v>
      </c>
      <c r="N133" s="39"/>
      <c r="O133" s="39"/>
      <c r="P133" s="39"/>
      <c r="Q133" s="39"/>
      <c r="R133" s="39"/>
      <c r="S133" s="10">
        <f t="shared" si="28"/>
        <v>1</v>
      </c>
      <c r="T133" s="10">
        <v>100000</v>
      </c>
      <c r="U133" s="10">
        <f t="shared" si="30"/>
        <v>100000</v>
      </c>
      <c r="V133" s="4"/>
      <c r="Y133" s="4"/>
    </row>
    <row r="134" spans="2:25" ht="18.75" hidden="1">
      <c r="B134" s="58"/>
      <c r="C134" s="60"/>
      <c r="D134" s="52" t="s">
        <v>100</v>
      </c>
      <c r="E134" s="63"/>
      <c r="F134" s="8">
        <v>0.16666666666666666</v>
      </c>
      <c r="G134" s="67" t="s">
        <v>88</v>
      </c>
      <c r="H134" s="68"/>
      <c r="I134" s="35">
        <v>50</v>
      </c>
      <c r="J134" s="9">
        <f t="shared" si="18"/>
        <v>0.02</v>
      </c>
      <c r="K134" s="39">
        <v>1</v>
      </c>
      <c r="L134" s="39"/>
      <c r="M134" s="39"/>
      <c r="N134" s="39"/>
      <c r="O134" s="39"/>
      <c r="P134" s="39"/>
      <c r="Q134" s="39"/>
      <c r="R134" s="39"/>
      <c r="S134" s="10">
        <f t="shared" si="28"/>
        <v>1</v>
      </c>
      <c r="T134" s="10">
        <v>100000</v>
      </c>
      <c r="U134" s="10">
        <f t="shared" si="30"/>
        <v>100000</v>
      </c>
      <c r="V134" s="4"/>
      <c r="W134" s="4"/>
      <c r="X134" s="4"/>
      <c r="Y134" s="4"/>
    </row>
    <row r="135" spans="2:25" ht="18.75" hidden="1">
      <c r="B135" s="58"/>
      <c r="C135" s="60"/>
      <c r="D135" s="52" t="s">
        <v>100</v>
      </c>
      <c r="E135" s="63"/>
      <c r="F135" s="8">
        <v>0.25</v>
      </c>
      <c r="G135" s="67" t="s">
        <v>88</v>
      </c>
      <c r="H135" s="68"/>
      <c r="I135" s="35">
        <v>50</v>
      </c>
      <c r="J135" s="9">
        <f t="shared" si="18"/>
        <v>0.02</v>
      </c>
      <c r="K135" s="39"/>
      <c r="L135" s="39"/>
      <c r="M135" s="39">
        <v>1</v>
      </c>
      <c r="N135" s="39"/>
      <c r="O135" s="39"/>
      <c r="P135" s="39"/>
      <c r="Q135" s="39"/>
      <c r="R135" s="39"/>
      <c r="S135" s="10">
        <f t="shared" si="28"/>
        <v>1</v>
      </c>
      <c r="T135" s="10">
        <v>100000</v>
      </c>
      <c r="U135" s="10">
        <f t="shared" si="30"/>
        <v>100000</v>
      </c>
      <c r="V135" s="4"/>
      <c r="Y135" s="4"/>
    </row>
    <row r="136" spans="2:25" ht="18.75" hidden="1">
      <c r="B136" s="58"/>
      <c r="C136" s="61"/>
      <c r="D136" s="53" t="s">
        <v>100</v>
      </c>
      <c r="E136" s="64"/>
      <c r="F136" s="14">
        <v>0.33333333333333331</v>
      </c>
      <c r="G136" s="67" t="s">
        <v>88</v>
      </c>
      <c r="H136" s="68"/>
      <c r="I136" s="37">
        <v>50</v>
      </c>
      <c r="J136" s="15">
        <f t="shared" si="18"/>
        <v>0.02</v>
      </c>
      <c r="K136" s="40"/>
      <c r="L136" s="40"/>
      <c r="M136" s="40">
        <v>1</v>
      </c>
      <c r="N136" s="40"/>
      <c r="O136" s="40"/>
      <c r="P136" s="40"/>
      <c r="Q136" s="40"/>
      <c r="R136" s="40"/>
      <c r="S136" s="16">
        <f t="shared" si="28"/>
        <v>1</v>
      </c>
      <c r="T136" s="16">
        <v>100000</v>
      </c>
      <c r="U136" s="16">
        <f t="shared" si="30"/>
        <v>100000</v>
      </c>
      <c r="V136" s="4"/>
      <c r="W136" s="4"/>
      <c r="X136" s="4"/>
      <c r="Y136" s="4"/>
    </row>
    <row r="137" spans="2:25" ht="16.5" hidden="1" customHeight="1">
      <c r="B137" s="58">
        <v>46092</v>
      </c>
      <c r="C137" s="59" t="s">
        <v>14</v>
      </c>
      <c r="D137" s="51" t="s">
        <v>100</v>
      </c>
      <c r="E137" s="62" t="s">
        <v>101</v>
      </c>
      <c r="F137" s="5">
        <v>0.41666666666666669</v>
      </c>
      <c r="G137" s="65" t="s">
        <v>74</v>
      </c>
      <c r="H137" s="66"/>
      <c r="I137" s="34">
        <v>31</v>
      </c>
      <c r="J137" s="6">
        <f t="shared" ref="J137:J148" si="31">IFERROR(S137/I137,"")</f>
        <v>6.4516129032258063E-2</v>
      </c>
      <c r="K137" s="38">
        <v>2</v>
      </c>
      <c r="L137" s="38"/>
      <c r="M137" s="38"/>
      <c r="N137" s="38"/>
      <c r="O137" s="38"/>
      <c r="P137" s="38"/>
      <c r="Q137" s="38"/>
      <c r="R137" s="38"/>
      <c r="S137" s="7">
        <f>SUM(K137:R137)</f>
        <v>2</v>
      </c>
      <c r="T137" s="7">
        <v>100000</v>
      </c>
      <c r="U137" s="7">
        <f>T137*S137</f>
        <v>200000</v>
      </c>
      <c r="V137" s="4"/>
      <c r="W137" s="4"/>
      <c r="X137" s="4"/>
      <c r="Y137" s="4"/>
    </row>
    <row r="138" spans="2:25" ht="18.75" hidden="1">
      <c r="B138" s="58"/>
      <c r="C138" s="60"/>
      <c r="D138" s="52" t="s">
        <v>100</v>
      </c>
      <c r="E138" s="63"/>
      <c r="F138" s="8">
        <v>0.5</v>
      </c>
      <c r="G138" s="67" t="s">
        <v>74</v>
      </c>
      <c r="H138" s="68"/>
      <c r="I138" s="35">
        <v>35</v>
      </c>
      <c r="J138" s="9">
        <f t="shared" si="31"/>
        <v>0.14285714285714285</v>
      </c>
      <c r="K138" s="39"/>
      <c r="L138" s="39"/>
      <c r="M138" s="39">
        <v>5</v>
      </c>
      <c r="N138" s="39"/>
      <c r="O138" s="39"/>
      <c r="P138" s="39"/>
      <c r="Q138" s="39"/>
      <c r="R138" s="39"/>
      <c r="S138" s="10">
        <f t="shared" ref="S138:S148" si="32">SUM(K138:R138)</f>
        <v>5</v>
      </c>
      <c r="T138" s="10">
        <v>100000</v>
      </c>
      <c r="U138" s="10">
        <f t="shared" ref="U138:U139" si="33">T138*S138</f>
        <v>500000</v>
      </c>
      <c r="V138" s="4"/>
      <c r="W138" s="4"/>
      <c r="X138" s="4"/>
      <c r="Y138" s="4"/>
    </row>
    <row r="139" spans="2:25" ht="18.75" hidden="1">
      <c r="B139" s="58"/>
      <c r="C139" s="60"/>
      <c r="D139" s="52" t="s">
        <v>100</v>
      </c>
      <c r="E139" s="63"/>
      <c r="F139" s="8">
        <v>0.58333333333333337</v>
      </c>
      <c r="G139" s="67" t="s">
        <v>74</v>
      </c>
      <c r="H139" s="68"/>
      <c r="I139" s="35">
        <v>35</v>
      </c>
      <c r="J139" s="9">
        <f t="shared" si="31"/>
        <v>0.14285714285714285</v>
      </c>
      <c r="K139" s="39"/>
      <c r="L139" s="39"/>
      <c r="M139" s="39">
        <v>5</v>
      </c>
      <c r="N139" s="39"/>
      <c r="O139" s="39"/>
      <c r="P139" s="39"/>
      <c r="Q139" s="39"/>
      <c r="R139" s="39"/>
      <c r="S139" s="10">
        <f t="shared" si="32"/>
        <v>5</v>
      </c>
      <c r="T139" s="10">
        <v>100000</v>
      </c>
      <c r="U139" s="10">
        <f t="shared" si="33"/>
        <v>500000</v>
      </c>
      <c r="V139" s="4"/>
      <c r="W139" s="4"/>
      <c r="X139" s="4"/>
      <c r="Y139" s="4"/>
    </row>
    <row r="140" spans="2:25" ht="18.75" hidden="1">
      <c r="B140" s="58"/>
      <c r="C140" s="60"/>
      <c r="D140" s="52" t="s">
        <v>100</v>
      </c>
      <c r="E140" s="63"/>
      <c r="F140" s="8">
        <v>0.66666666666666663</v>
      </c>
      <c r="G140" s="67" t="s">
        <v>74</v>
      </c>
      <c r="H140" s="68"/>
      <c r="I140" s="35">
        <v>53</v>
      </c>
      <c r="J140" s="9">
        <f t="shared" si="31"/>
        <v>0</v>
      </c>
      <c r="K140" s="39"/>
      <c r="L140" s="39"/>
      <c r="M140" s="39"/>
      <c r="N140" s="39"/>
      <c r="O140" s="39"/>
      <c r="P140" s="39"/>
      <c r="Q140" s="39"/>
      <c r="R140" s="39"/>
      <c r="S140" s="10">
        <f t="shared" si="32"/>
        <v>0</v>
      </c>
      <c r="T140" s="10">
        <v>100000</v>
      </c>
      <c r="U140" s="10">
        <f>T140*S140</f>
        <v>0</v>
      </c>
      <c r="V140" s="4"/>
      <c r="W140" s="4"/>
      <c r="X140" s="4"/>
      <c r="Y140" s="4"/>
    </row>
    <row r="141" spans="2:25" ht="18.75" hidden="1">
      <c r="B141" s="58"/>
      <c r="C141" s="60"/>
      <c r="D141" s="52" t="s">
        <v>100</v>
      </c>
      <c r="E141" s="63"/>
      <c r="F141" s="8">
        <v>0.75</v>
      </c>
      <c r="G141" s="67" t="s">
        <v>74</v>
      </c>
      <c r="H141" s="68"/>
      <c r="I141" s="35">
        <v>53</v>
      </c>
      <c r="J141" s="9">
        <f t="shared" si="31"/>
        <v>0</v>
      </c>
      <c r="K141" s="39"/>
      <c r="L141" s="39"/>
      <c r="M141" s="39"/>
      <c r="N141" s="39"/>
      <c r="O141" s="39"/>
      <c r="P141" s="39"/>
      <c r="Q141" s="39"/>
      <c r="R141" s="39"/>
      <c r="S141" s="10">
        <f t="shared" si="32"/>
        <v>0</v>
      </c>
      <c r="T141" s="10">
        <v>100000</v>
      </c>
      <c r="U141" s="10">
        <f t="shared" ref="U141:U148" si="34">T141*S141</f>
        <v>0</v>
      </c>
      <c r="V141" s="4"/>
      <c r="W141" s="4"/>
      <c r="X141" s="11"/>
      <c r="Y141" s="4"/>
    </row>
    <row r="142" spans="2:25" ht="18.75" hidden="1">
      <c r="B142" s="58"/>
      <c r="C142" s="60"/>
      <c r="D142" s="53" t="s">
        <v>100</v>
      </c>
      <c r="E142" s="64"/>
      <c r="F142" s="12">
        <v>0.83333333333333337</v>
      </c>
      <c r="G142" s="67" t="s">
        <v>74</v>
      </c>
      <c r="H142" s="68"/>
      <c r="I142" s="36">
        <v>53</v>
      </c>
      <c r="J142" s="9">
        <f t="shared" si="31"/>
        <v>0</v>
      </c>
      <c r="K142" s="41"/>
      <c r="L142" s="41"/>
      <c r="M142" s="41"/>
      <c r="N142" s="41"/>
      <c r="O142" s="41"/>
      <c r="P142" s="41"/>
      <c r="Q142" s="41"/>
      <c r="R142" s="41"/>
      <c r="S142" s="13">
        <f t="shared" si="32"/>
        <v>0</v>
      </c>
      <c r="T142" s="13">
        <v>100000</v>
      </c>
      <c r="U142" s="13">
        <f t="shared" si="34"/>
        <v>0</v>
      </c>
      <c r="V142" s="4"/>
      <c r="Y142" s="4"/>
    </row>
    <row r="143" spans="2:25" ht="18.75" hidden="1">
      <c r="B143" s="58"/>
      <c r="C143" s="60"/>
      <c r="D143" s="51" t="s">
        <v>100</v>
      </c>
      <c r="E143" s="62" t="s">
        <v>102</v>
      </c>
      <c r="F143" s="5">
        <v>0.91666666666666663</v>
      </c>
      <c r="G143" s="65" t="s">
        <v>88</v>
      </c>
      <c r="H143" s="66"/>
      <c r="I143" s="34">
        <v>50</v>
      </c>
      <c r="J143" s="6">
        <f t="shared" si="31"/>
        <v>0.04</v>
      </c>
      <c r="K143" s="38">
        <v>2</v>
      </c>
      <c r="L143" s="38"/>
      <c r="M143" s="38"/>
      <c r="N143" s="38"/>
      <c r="O143" s="38"/>
      <c r="P143" s="38"/>
      <c r="Q143" s="38"/>
      <c r="R143" s="38"/>
      <c r="S143" s="7">
        <f t="shared" si="32"/>
        <v>2</v>
      </c>
      <c r="T143" s="7">
        <v>100000</v>
      </c>
      <c r="U143" s="7">
        <f t="shared" si="34"/>
        <v>200000</v>
      </c>
      <c r="V143" s="4"/>
      <c r="Y143" s="4"/>
    </row>
    <row r="144" spans="2:25" ht="18.75" hidden="1">
      <c r="B144" s="58"/>
      <c r="C144" s="60"/>
      <c r="D144" s="52" t="s">
        <v>100</v>
      </c>
      <c r="E144" s="63"/>
      <c r="F144" s="8">
        <v>1</v>
      </c>
      <c r="G144" s="67" t="s">
        <v>88</v>
      </c>
      <c r="H144" s="68"/>
      <c r="I144" s="35">
        <v>50</v>
      </c>
      <c r="J144" s="9">
        <f t="shared" si="31"/>
        <v>0.02</v>
      </c>
      <c r="K144" s="39"/>
      <c r="L144" s="39"/>
      <c r="M144" s="39">
        <v>1</v>
      </c>
      <c r="N144" s="39"/>
      <c r="O144" s="39"/>
      <c r="P144" s="39"/>
      <c r="Q144" s="39"/>
      <c r="R144" s="39"/>
      <c r="S144" s="10">
        <f t="shared" si="32"/>
        <v>1</v>
      </c>
      <c r="T144" s="10">
        <v>100000</v>
      </c>
      <c r="U144" s="10">
        <f t="shared" si="34"/>
        <v>100000</v>
      </c>
      <c r="V144" s="4"/>
      <c r="Y144" s="4"/>
    </row>
    <row r="145" spans="2:25" ht="18.75" hidden="1">
      <c r="B145" s="58"/>
      <c r="C145" s="60"/>
      <c r="D145" s="52" t="s">
        <v>100</v>
      </c>
      <c r="E145" s="63"/>
      <c r="F145" s="8">
        <v>8.3333333333333329E-2</v>
      </c>
      <c r="G145" s="67" t="s">
        <v>88</v>
      </c>
      <c r="H145" s="68"/>
      <c r="I145" s="35">
        <v>50</v>
      </c>
      <c r="J145" s="9">
        <f t="shared" si="31"/>
        <v>0.02</v>
      </c>
      <c r="K145" s="39"/>
      <c r="L145" s="39"/>
      <c r="M145" s="39">
        <v>1</v>
      </c>
      <c r="N145" s="39"/>
      <c r="O145" s="39"/>
      <c r="P145" s="39"/>
      <c r="Q145" s="39"/>
      <c r="R145" s="39"/>
      <c r="S145" s="10">
        <f t="shared" si="32"/>
        <v>1</v>
      </c>
      <c r="T145" s="10">
        <v>100000</v>
      </c>
      <c r="U145" s="10">
        <f t="shared" si="34"/>
        <v>100000</v>
      </c>
      <c r="V145" s="4"/>
      <c r="Y145" s="4"/>
    </row>
    <row r="146" spans="2:25" ht="18.75" hidden="1">
      <c r="B146" s="58"/>
      <c r="C146" s="60"/>
      <c r="D146" s="52" t="s">
        <v>100</v>
      </c>
      <c r="E146" s="63"/>
      <c r="F146" s="8">
        <v>0.16666666666666666</v>
      </c>
      <c r="G146" s="67" t="s">
        <v>88</v>
      </c>
      <c r="H146" s="68"/>
      <c r="I146" s="35">
        <v>50</v>
      </c>
      <c r="J146" s="9">
        <f t="shared" si="31"/>
        <v>0.04</v>
      </c>
      <c r="K146" s="39"/>
      <c r="L146" s="39"/>
      <c r="M146" s="39">
        <v>2</v>
      </c>
      <c r="N146" s="39"/>
      <c r="O146" s="39"/>
      <c r="P146" s="39"/>
      <c r="Q146" s="39"/>
      <c r="R146" s="39"/>
      <c r="S146" s="10">
        <f t="shared" si="32"/>
        <v>2</v>
      </c>
      <c r="T146" s="10">
        <v>100000</v>
      </c>
      <c r="U146" s="10">
        <f t="shared" si="34"/>
        <v>200000</v>
      </c>
      <c r="V146" s="4"/>
      <c r="W146" s="4"/>
      <c r="X146" s="4"/>
      <c r="Y146" s="4"/>
    </row>
    <row r="147" spans="2:25" ht="18.75" hidden="1">
      <c r="B147" s="58"/>
      <c r="C147" s="60"/>
      <c r="D147" s="52" t="s">
        <v>100</v>
      </c>
      <c r="E147" s="63"/>
      <c r="F147" s="8">
        <v>0.25</v>
      </c>
      <c r="G147" s="67" t="s">
        <v>88</v>
      </c>
      <c r="H147" s="68"/>
      <c r="I147" s="35"/>
      <c r="J147" s="9" t="str">
        <f t="shared" si="31"/>
        <v/>
      </c>
      <c r="K147" s="39"/>
      <c r="L147" s="39"/>
      <c r="M147" s="39"/>
      <c r="N147" s="39"/>
      <c r="O147" s="39"/>
      <c r="P147" s="39"/>
      <c r="Q147" s="39"/>
      <c r="R147" s="39"/>
      <c r="S147" s="10">
        <f t="shared" si="32"/>
        <v>0</v>
      </c>
      <c r="T147" s="10">
        <v>100000</v>
      </c>
      <c r="U147" s="10">
        <f t="shared" si="34"/>
        <v>0</v>
      </c>
      <c r="V147" s="4"/>
      <c r="Y147" s="4"/>
    </row>
    <row r="148" spans="2:25" ht="18.75" hidden="1">
      <c r="B148" s="58"/>
      <c r="C148" s="61"/>
      <c r="D148" s="53" t="s">
        <v>100</v>
      </c>
      <c r="E148" s="69"/>
      <c r="F148" s="14">
        <v>0.33333333333333331</v>
      </c>
      <c r="G148" s="67" t="s">
        <v>88</v>
      </c>
      <c r="H148" s="68"/>
      <c r="I148" s="37"/>
      <c r="J148" s="15" t="str">
        <f t="shared" si="31"/>
        <v/>
      </c>
      <c r="K148" s="40"/>
      <c r="L148" s="40"/>
      <c r="M148" s="40"/>
      <c r="N148" s="40"/>
      <c r="O148" s="40"/>
      <c r="P148" s="40"/>
      <c r="Q148" s="40"/>
      <c r="R148" s="40"/>
      <c r="S148" s="16">
        <f t="shared" si="32"/>
        <v>0</v>
      </c>
      <c r="T148" s="16">
        <v>100000</v>
      </c>
      <c r="U148" s="16">
        <f t="shared" si="34"/>
        <v>0</v>
      </c>
      <c r="V148" s="4"/>
      <c r="W148" s="4"/>
      <c r="X148" s="4"/>
      <c r="Y148" s="4"/>
    </row>
    <row r="149" spans="2:25" ht="42.75" hidden="1" customHeight="1">
      <c r="B149" s="58">
        <v>46093</v>
      </c>
      <c r="C149" s="59" t="s">
        <v>14</v>
      </c>
      <c r="D149" s="51" t="s">
        <v>41</v>
      </c>
      <c r="E149" s="62" t="s">
        <v>101</v>
      </c>
      <c r="F149" s="5">
        <v>0.41666666666666669</v>
      </c>
      <c r="G149" s="65" t="s">
        <v>78</v>
      </c>
      <c r="H149" s="66"/>
      <c r="I149" s="34">
        <v>0</v>
      </c>
      <c r="J149" s="6" t="str">
        <f t="shared" ref="J149:J160" si="35">IFERROR(S149/I149,"")</f>
        <v/>
      </c>
      <c r="K149" s="38"/>
      <c r="L149" s="38"/>
      <c r="M149" s="38"/>
      <c r="N149" s="38"/>
      <c r="O149" s="38"/>
      <c r="P149" s="38"/>
      <c r="Q149" s="38">
        <v>20</v>
      </c>
      <c r="R149" s="38"/>
      <c r="S149" s="7">
        <f>SUM(K149:R149)</f>
        <v>20</v>
      </c>
      <c r="T149" s="7">
        <v>100000</v>
      </c>
      <c r="U149" s="7">
        <f>T149*S149</f>
        <v>2000000</v>
      </c>
      <c r="V149" s="4"/>
      <c r="W149" s="4"/>
      <c r="X149" s="4"/>
      <c r="Y149" s="4"/>
    </row>
    <row r="150" spans="2:25" ht="37.5" hidden="1">
      <c r="B150" s="58"/>
      <c r="C150" s="60"/>
      <c r="D150" s="52" t="s">
        <v>41</v>
      </c>
      <c r="E150" s="63"/>
      <c r="F150" s="8">
        <v>0.5</v>
      </c>
      <c r="G150" s="67" t="s">
        <v>78</v>
      </c>
      <c r="H150" s="68"/>
      <c r="I150" s="35">
        <v>12</v>
      </c>
      <c r="J150" s="9">
        <f t="shared" si="35"/>
        <v>0.66666666666666663</v>
      </c>
      <c r="K150" s="39"/>
      <c r="L150" s="39"/>
      <c r="M150" s="39"/>
      <c r="N150" s="39"/>
      <c r="O150" s="39"/>
      <c r="P150" s="39"/>
      <c r="Q150" s="39"/>
      <c r="R150" s="39">
        <v>8</v>
      </c>
      <c r="S150" s="10">
        <f t="shared" ref="S150:S160" si="36">SUM(K150:R150)</f>
        <v>8</v>
      </c>
      <c r="T150" s="10">
        <v>100000</v>
      </c>
      <c r="U150" s="10">
        <f t="shared" ref="U150:U151" si="37">T150*S150</f>
        <v>800000</v>
      </c>
      <c r="V150" s="4"/>
      <c r="W150" s="4"/>
      <c r="X150" s="4"/>
      <c r="Y150" s="4"/>
    </row>
    <row r="151" spans="2:25" ht="37.5" hidden="1">
      <c r="B151" s="58"/>
      <c r="C151" s="60"/>
      <c r="D151" s="52" t="s">
        <v>41</v>
      </c>
      <c r="E151" s="63"/>
      <c r="F151" s="8">
        <v>0.58333333333333337</v>
      </c>
      <c r="G151" s="67" t="s">
        <v>78</v>
      </c>
      <c r="H151" s="68"/>
      <c r="I151" s="35">
        <v>120</v>
      </c>
      <c r="J151" s="9">
        <f t="shared" si="35"/>
        <v>8.3333333333333329E-2</v>
      </c>
      <c r="K151" s="39"/>
      <c r="L151" s="39"/>
      <c r="M151" s="39"/>
      <c r="N151" s="39"/>
      <c r="O151" s="39"/>
      <c r="P151" s="39"/>
      <c r="Q151" s="39"/>
      <c r="R151" s="39">
        <v>10</v>
      </c>
      <c r="S151" s="10">
        <f t="shared" si="36"/>
        <v>10</v>
      </c>
      <c r="T151" s="10">
        <v>100000</v>
      </c>
      <c r="U151" s="10">
        <f t="shared" si="37"/>
        <v>1000000</v>
      </c>
      <c r="V151" s="4"/>
      <c r="W151" s="4"/>
      <c r="X151" s="4"/>
      <c r="Y151" s="4"/>
    </row>
    <row r="152" spans="2:25" ht="37.5" hidden="1">
      <c r="B152" s="58"/>
      <c r="C152" s="60"/>
      <c r="D152" s="52" t="s">
        <v>41</v>
      </c>
      <c r="E152" s="63"/>
      <c r="F152" s="8">
        <v>0.66666666666666663</v>
      </c>
      <c r="G152" s="67" t="s">
        <v>78</v>
      </c>
      <c r="H152" s="68"/>
      <c r="I152" s="35">
        <v>145</v>
      </c>
      <c r="J152" s="9">
        <f t="shared" si="35"/>
        <v>0</v>
      </c>
      <c r="K152" s="39"/>
      <c r="L152" s="39"/>
      <c r="M152" s="39"/>
      <c r="N152" s="39"/>
      <c r="O152" s="39"/>
      <c r="P152" s="39"/>
      <c r="Q152" s="39"/>
      <c r="R152" s="39"/>
      <c r="S152" s="10">
        <f t="shared" si="36"/>
        <v>0</v>
      </c>
      <c r="T152" s="10">
        <v>100000</v>
      </c>
      <c r="U152" s="10">
        <f>T152*S152</f>
        <v>0</v>
      </c>
      <c r="V152" s="4"/>
      <c r="W152" s="4"/>
      <c r="X152" s="4"/>
      <c r="Y152" s="4"/>
    </row>
    <row r="153" spans="2:25" ht="37.5" hidden="1">
      <c r="B153" s="58"/>
      <c r="C153" s="60"/>
      <c r="D153" s="52" t="s">
        <v>41</v>
      </c>
      <c r="E153" s="63"/>
      <c r="F153" s="8">
        <v>0.75</v>
      </c>
      <c r="G153" s="67" t="s">
        <v>78</v>
      </c>
      <c r="H153" s="68"/>
      <c r="I153" s="35">
        <v>141</v>
      </c>
      <c r="J153" s="9">
        <f t="shared" si="35"/>
        <v>0</v>
      </c>
      <c r="K153" s="39"/>
      <c r="L153" s="39"/>
      <c r="M153" s="39"/>
      <c r="N153" s="39"/>
      <c r="O153" s="39"/>
      <c r="P153" s="39"/>
      <c r="Q153" s="39"/>
      <c r="R153" s="39"/>
      <c r="S153" s="10">
        <f t="shared" si="36"/>
        <v>0</v>
      </c>
      <c r="T153" s="10">
        <v>100000</v>
      </c>
      <c r="U153" s="10">
        <f t="shared" ref="U153:U160" si="38">T153*S153</f>
        <v>0</v>
      </c>
      <c r="V153" s="4"/>
      <c r="W153" s="4"/>
      <c r="X153" s="11"/>
      <c r="Y153" s="4"/>
    </row>
    <row r="154" spans="2:25" ht="37.5" hidden="1">
      <c r="B154" s="58"/>
      <c r="C154" s="60"/>
      <c r="D154" s="53" t="s">
        <v>41</v>
      </c>
      <c r="E154" s="64"/>
      <c r="F154" s="12">
        <v>0.83333333333333337</v>
      </c>
      <c r="G154" s="67" t="s">
        <v>78</v>
      </c>
      <c r="H154" s="68"/>
      <c r="I154" s="36">
        <v>142</v>
      </c>
      <c r="J154" s="9">
        <f t="shared" si="35"/>
        <v>0</v>
      </c>
      <c r="K154" s="41"/>
      <c r="L154" s="41"/>
      <c r="M154" s="41"/>
      <c r="N154" s="41"/>
      <c r="O154" s="41"/>
      <c r="P154" s="41"/>
      <c r="Q154" s="41"/>
      <c r="R154" s="41"/>
      <c r="S154" s="13">
        <f t="shared" si="36"/>
        <v>0</v>
      </c>
      <c r="T154" s="13">
        <v>100000</v>
      </c>
      <c r="U154" s="13">
        <f t="shared" si="38"/>
        <v>0</v>
      </c>
      <c r="V154" s="4"/>
      <c r="Y154" s="4"/>
    </row>
    <row r="155" spans="2:25" ht="37.5" hidden="1">
      <c r="B155" s="58"/>
      <c r="C155" s="60"/>
      <c r="D155" s="51" t="s">
        <v>41</v>
      </c>
      <c r="E155" s="62" t="s">
        <v>102</v>
      </c>
      <c r="F155" s="5">
        <v>0.91666666666666663</v>
      </c>
      <c r="G155" s="65" t="s">
        <v>85</v>
      </c>
      <c r="H155" s="66"/>
      <c r="I155" s="34">
        <v>146</v>
      </c>
      <c r="J155" s="6">
        <f t="shared" si="35"/>
        <v>0</v>
      </c>
      <c r="K155" s="38"/>
      <c r="L155" s="38"/>
      <c r="M155" s="38"/>
      <c r="N155" s="38"/>
      <c r="O155" s="38"/>
      <c r="P155" s="38"/>
      <c r="Q155" s="38"/>
      <c r="R155" s="38"/>
      <c r="S155" s="7">
        <f t="shared" si="36"/>
        <v>0</v>
      </c>
      <c r="T155" s="7">
        <v>100000</v>
      </c>
      <c r="U155" s="7">
        <f t="shared" si="38"/>
        <v>0</v>
      </c>
      <c r="V155" s="4"/>
      <c r="Y155" s="4"/>
    </row>
    <row r="156" spans="2:25" ht="37.5" hidden="1">
      <c r="B156" s="58"/>
      <c r="C156" s="60"/>
      <c r="D156" s="52" t="s">
        <v>41</v>
      </c>
      <c r="E156" s="63"/>
      <c r="F156" s="8">
        <v>1</v>
      </c>
      <c r="G156" s="67" t="s">
        <v>85</v>
      </c>
      <c r="H156" s="68"/>
      <c r="I156" s="35">
        <v>146</v>
      </c>
      <c r="J156" s="9">
        <f t="shared" si="35"/>
        <v>0</v>
      </c>
      <c r="K156" s="39"/>
      <c r="L156" s="39"/>
      <c r="M156" s="39"/>
      <c r="N156" s="39"/>
      <c r="O156" s="39"/>
      <c r="P156" s="39"/>
      <c r="Q156" s="39"/>
      <c r="R156" s="39"/>
      <c r="S156" s="10">
        <f t="shared" si="36"/>
        <v>0</v>
      </c>
      <c r="T156" s="10">
        <v>100000</v>
      </c>
      <c r="U156" s="10">
        <f t="shared" si="38"/>
        <v>0</v>
      </c>
      <c r="V156" s="4"/>
      <c r="Y156" s="4"/>
    </row>
    <row r="157" spans="2:25" ht="37.5" hidden="1">
      <c r="B157" s="58"/>
      <c r="C157" s="60"/>
      <c r="D157" s="52" t="s">
        <v>41</v>
      </c>
      <c r="E157" s="63"/>
      <c r="F157" s="8">
        <v>8.3333333333333329E-2</v>
      </c>
      <c r="G157" s="67" t="s">
        <v>85</v>
      </c>
      <c r="H157" s="68"/>
      <c r="I157" s="35">
        <v>147</v>
      </c>
      <c r="J157" s="9">
        <f t="shared" si="35"/>
        <v>0</v>
      </c>
      <c r="K157" s="39"/>
      <c r="L157" s="39"/>
      <c r="M157" s="39"/>
      <c r="N157" s="39"/>
      <c r="O157" s="39"/>
      <c r="P157" s="39"/>
      <c r="Q157" s="39"/>
      <c r="R157" s="39"/>
      <c r="S157" s="10">
        <f t="shared" si="36"/>
        <v>0</v>
      </c>
      <c r="T157" s="10">
        <v>100000</v>
      </c>
      <c r="U157" s="10">
        <f t="shared" si="38"/>
        <v>0</v>
      </c>
      <c r="V157" s="4"/>
      <c r="Y157" s="4"/>
    </row>
    <row r="158" spans="2:25" ht="37.5" hidden="1">
      <c r="B158" s="58"/>
      <c r="C158" s="60"/>
      <c r="D158" s="52" t="s">
        <v>41</v>
      </c>
      <c r="E158" s="63"/>
      <c r="F158" s="8">
        <v>0.16666666666666666</v>
      </c>
      <c r="G158" s="67" t="s">
        <v>85</v>
      </c>
      <c r="H158" s="68"/>
      <c r="I158" s="35">
        <v>147</v>
      </c>
      <c r="J158" s="9">
        <f t="shared" si="35"/>
        <v>0</v>
      </c>
      <c r="K158" s="39"/>
      <c r="L158" s="39"/>
      <c r="M158" s="39"/>
      <c r="N158" s="39"/>
      <c r="O158" s="39"/>
      <c r="P158" s="39"/>
      <c r="Q158" s="39"/>
      <c r="R158" s="39"/>
      <c r="S158" s="10">
        <f t="shared" si="36"/>
        <v>0</v>
      </c>
      <c r="T158" s="10">
        <v>100000</v>
      </c>
      <c r="U158" s="10">
        <f t="shared" si="38"/>
        <v>0</v>
      </c>
      <c r="V158" s="4"/>
      <c r="W158" s="4"/>
      <c r="X158" s="4"/>
      <c r="Y158" s="4"/>
    </row>
    <row r="159" spans="2:25" ht="37.5" hidden="1">
      <c r="B159" s="58"/>
      <c r="C159" s="60"/>
      <c r="D159" s="52" t="s">
        <v>41</v>
      </c>
      <c r="E159" s="63"/>
      <c r="F159" s="8">
        <v>0.25</v>
      </c>
      <c r="G159" s="67" t="s">
        <v>85</v>
      </c>
      <c r="H159" s="68"/>
      <c r="I159" s="35">
        <v>147</v>
      </c>
      <c r="J159" s="9">
        <f t="shared" si="35"/>
        <v>0</v>
      </c>
      <c r="K159" s="39"/>
      <c r="L159" s="39"/>
      <c r="M159" s="39"/>
      <c r="N159" s="39"/>
      <c r="O159" s="39"/>
      <c r="P159" s="39"/>
      <c r="Q159" s="39"/>
      <c r="R159" s="39"/>
      <c r="S159" s="10">
        <f t="shared" si="36"/>
        <v>0</v>
      </c>
      <c r="T159" s="10">
        <v>100000</v>
      </c>
      <c r="U159" s="10">
        <f t="shared" si="38"/>
        <v>0</v>
      </c>
      <c r="V159" s="4"/>
      <c r="Y159" s="4"/>
    </row>
    <row r="160" spans="2:25" ht="37.5" hidden="1">
      <c r="B160" s="58"/>
      <c r="C160" s="61"/>
      <c r="D160" s="53" t="s">
        <v>41</v>
      </c>
      <c r="E160" s="69"/>
      <c r="F160" s="14">
        <v>0.33333333333333331</v>
      </c>
      <c r="G160" s="67" t="s">
        <v>85</v>
      </c>
      <c r="H160" s="68"/>
      <c r="I160" s="37">
        <v>147</v>
      </c>
      <c r="J160" s="15">
        <f t="shared" si="35"/>
        <v>0</v>
      </c>
      <c r="K160" s="40"/>
      <c r="L160" s="40"/>
      <c r="M160" s="40"/>
      <c r="N160" s="40"/>
      <c r="O160" s="40"/>
      <c r="P160" s="40"/>
      <c r="Q160" s="40"/>
      <c r="R160" s="40"/>
      <c r="S160" s="16">
        <f t="shared" si="36"/>
        <v>0</v>
      </c>
      <c r="T160" s="16">
        <v>100000</v>
      </c>
      <c r="U160" s="16">
        <f t="shared" si="38"/>
        <v>0</v>
      </c>
      <c r="V160" s="4"/>
      <c r="W160" s="4"/>
      <c r="X160" s="4"/>
      <c r="Y160" s="4"/>
    </row>
    <row r="161" spans="2:25" ht="45" hidden="1" customHeight="1">
      <c r="B161" s="58">
        <v>46094</v>
      </c>
      <c r="C161" s="59" t="s">
        <v>14</v>
      </c>
      <c r="D161" s="51" t="s">
        <v>41</v>
      </c>
      <c r="E161" s="62" t="s">
        <v>101</v>
      </c>
      <c r="F161" s="5">
        <v>0.41666666666666669</v>
      </c>
      <c r="G161" s="65" t="s">
        <v>104</v>
      </c>
      <c r="H161" s="66"/>
      <c r="I161" s="34">
        <v>168</v>
      </c>
      <c r="J161" s="6">
        <f t="shared" ref="J161:J184" si="39">IFERROR(S161/I161,"")</f>
        <v>2.3809523809523808E-2</v>
      </c>
      <c r="K161" s="38"/>
      <c r="L161" s="38"/>
      <c r="M161" s="38"/>
      <c r="N161" s="38"/>
      <c r="O161" s="38"/>
      <c r="P161" s="38"/>
      <c r="Q161" s="38"/>
      <c r="R161" s="38">
        <v>4</v>
      </c>
      <c r="S161" s="7">
        <f>SUM(K161:R161)</f>
        <v>4</v>
      </c>
      <c r="T161" s="7">
        <v>100000</v>
      </c>
      <c r="U161" s="7">
        <f>T161*S161</f>
        <v>400000</v>
      </c>
      <c r="V161" s="4"/>
      <c r="W161" s="4"/>
      <c r="X161" s="4"/>
      <c r="Y161" s="4"/>
    </row>
    <row r="162" spans="2:25" ht="37.5" hidden="1">
      <c r="B162" s="58"/>
      <c r="C162" s="60"/>
      <c r="D162" s="52" t="s">
        <v>41</v>
      </c>
      <c r="E162" s="63"/>
      <c r="F162" s="8">
        <v>0.5</v>
      </c>
      <c r="G162" s="65" t="s">
        <v>104</v>
      </c>
      <c r="H162" s="66"/>
      <c r="I162" s="35">
        <v>0</v>
      </c>
      <c r="J162" s="9" t="str">
        <f t="shared" si="39"/>
        <v/>
      </c>
      <c r="K162" s="39"/>
      <c r="L162" s="39"/>
      <c r="M162" s="39"/>
      <c r="N162" s="39"/>
      <c r="O162" s="39"/>
      <c r="P162" s="39"/>
      <c r="Q162" s="39"/>
      <c r="R162" s="39"/>
      <c r="S162" s="10">
        <f t="shared" ref="S162:S172" si="40">SUM(K162:R162)</f>
        <v>0</v>
      </c>
      <c r="T162" s="10">
        <v>100000</v>
      </c>
      <c r="U162" s="10">
        <f t="shared" ref="U162:U163" si="41">T162*S162</f>
        <v>0</v>
      </c>
      <c r="V162" s="4"/>
      <c r="W162" s="4"/>
      <c r="X162" s="4"/>
      <c r="Y162" s="4"/>
    </row>
    <row r="163" spans="2:25" ht="37.5" hidden="1">
      <c r="B163" s="58"/>
      <c r="C163" s="60"/>
      <c r="D163" s="52" t="s">
        <v>41</v>
      </c>
      <c r="E163" s="63"/>
      <c r="F163" s="8">
        <v>0.58333333333333337</v>
      </c>
      <c r="G163" s="65" t="s">
        <v>104</v>
      </c>
      <c r="H163" s="66"/>
      <c r="I163" s="35">
        <v>0</v>
      </c>
      <c r="J163" s="9" t="str">
        <f t="shared" si="39"/>
        <v/>
      </c>
      <c r="K163" s="39"/>
      <c r="L163" s="39"/>
      <c r="M163" s="39"/>
      <c r="N163" s="39"/>
      <c r="O163" s="39"/>
      <c r="P163" s="39"/>
      <c r="Q163" s="39"/>
      <c r="R163" s="39"/>
      <c r="S163" s="10">
        <f t="shared" si="40"/>
        <v>0</v>
      </c>
      <c r="T163" s="10">
        <v>100000</v>
      </c>
      <c r="U163" s="10">
        <f t="shared" si="41"/>
        <v>0</v>
      </c>
      <c r="V163" s="4"/>
      <c r="W163" s="4"/>
      <c r="X163" s="4"/>
      <c r="Y163" s="4"/>
    </row>
    <row r="164" spans="2:25" ht="37.5" hidden="1">
      <c r="B164" s="58"/>
      <c r="C164" s="60"/>
      <c r="D164" s="52" t="s">
        <v>41</v>
      </c>
      <c r="E164" s="63"/>
      <c r="F164" s="8">
        <v>0.66666666666666663</v>
      </c>
      <c r="G164" s="65" t="s">
        <v>104</v>
      </c>
      <c r="H164" s="66"/>
      <c r="I164" s="35">
        <v>0</v>
      </c>
      <c r="J164" s="9" t="str">
        <f t="shared" si="39"/>
        <v/>
      </c>
      <c r="K164" s="39"/>
      <c r="L164" s="39"/>
      <c r="M164" s="39"/>
      <c r="N164" s="39"/>
      <c r="O164" s="39"/>
      <c r="P164" s="39"/>
      <c r="Q164" s="39"/>
      <c r="R164" s="39"/>
      <c r="S164" s="10">
        <f t="shared" si="40"/>
        <v>0</v>
      </c>
      <c r="T164" s="10">
        <v>100000</v>
      </c>
      <c r="U164" s="10">
        <f>T164*S164</f>
        <v>0</v>
      </c>
      <c r="V164" s="4"/>
      <c r="W164" s="4"/>
      <c r="X164" s="4"/>
      <c r="Y164" s="4"/>
    </row>
    <row r="165" spans="2:25" ht="37.5" hidden="1">
      <c r="B165" s="58"/>
      <c r="C165" s="60"/>
      <c r="D165" s="52" t="s">
        <v>41</v>
      </c>
      <c r="E165" s="63"/>
      <c r="F165" s="8">
        <v>0.75</v>
      </c>
      <c r="G165" s="65" t="s">
        <v>104</v>
      </c>
      <c r="H165" s="66"/>
      <c r="I165" s="35">
        <v>0</v>
      </c>
      <c r="J165" s="9" t="str">
        <f t="shared" si="39"/>
        <v/>
      </c>
      <c r="K165" s="39"/>
      <c r="L165" s="39"/>
      <c r="M165" s="39"/>
      <c r="N165" s="39"/>
      <c r="O165" s="39"/>
      <c r="P165" s="39"/>
      <c r="Q165" s="39"/>
      <c r="R165" s="39"/>
      <c r="S165" s="10">
        <f t="shared" si="40"/>
        <v>0</v>
      </c>
      <c r="T165" s="10">
        <v>100000</v>
      </c>
      <c r="U165" s="10">
        <f t="shared" ref="U165:U172" si="42">T165*S165</f>
        <v>0</v>
      </c>
      <c r="V165" s="4"/>
      <c r="W165" s="4"/>
      <c r="X165" s="11"/>
      <c r="Y165" s="4"/>
    </row>
    <row r="166" spans="2:25" ht="37.5" hidden="1">
      <c r="B166" s="58"/>
      <c r="C166" s="60"/>
      <c r="D166" s="53" t="s">
        <v>41</v>
      </c>
      <c r="E166" s="64"/>
      <c r="F166" s="12">
        <v>0.83333333333333337</v>
      </c>
      <c r="G166" s="67" t="s">
        <v>104</v>
      </c>
      <c r="H166" s="68"/>
      <c r="I166" s="36">
        <v>72</v>
      </c>
      <c r="J166" s="9">
        <f t="shared" si="39"/>
        <v>5.5555555555555552E-2</v>
      </c>
      <c r="K166" s="41"/>
      <c r="L166" s="41"/>
      <c r="M166" s="41"/>
      <c r="N166" s="41"/>
      <c r="O166" s="41"/>
      <c r="P166" s="41"/>
      <c r="Q166" s="41">
        <v>4</v>
      </c>
      <c r="R166" s="41"/>
      <c r="S166" s="13">
        <f t="shared" si="40"/>
        <v>4</v>
      </c>
      <c r="T166" s="13">
        <v>100000</v>
      </c>
      <c r="U166" s="13">
        <f t="shared" si="42"/>
        <v>400000</v>
      </c>
      <c r="V166" s="4"/>
      <c r="Y166" s="4"/>
    </row>
    <row r="167" spans="2:25" ht="37.5" hidden="1">
      <c r="B167" s="58"/>
      <c r="C167" s="60"/>
      <c r="D167" s="51" t="s">
        <v>41</v>
      </c>
      <c r="E167" s="62" t="s">
        <v>102</v>
      </c>
      <c r="F167" s="5">
        <v>0.91666666666666663</v>
      </c>
      <c r="G167" s="65" t="s">
        <v>85</v>
      </c>
      <c r="H167" s="66"/>
      <c r="I167" s="34">
        <v>140</v>
      </c>
      <c r="J167" s="6">
        <f t="shared" si="39"/>
        <v>1.4285714285714285E-2</v>
      </c>
      <c r="K167" s="38">
        <v>2</v>
      </c>
      <c r="L167" s="38"/>
      <c r="M167" s="38"/>
      <c r="N167" s="38"/>
      <c r="O167" s="38"/>
      <c r="P167" s="38"/>
      <c r="Q167" s="38"/>
      <c r="R167" s="38"/>
      <c r="S167" s="7">
        <f t="shared" si="40"/>
        <v>2</v>
      </c>
      <c r="T167" s="7">
        <v>100000</v>
      </c>
      <c r="U167" s="7">
        <f t="shared" si="42"/>
        <v>200000</v>
      </c>
      <c r="V167" s="4"/>
      <c r="Y167" s="4"/>
    </row>
    <row r="168" spans="2:25" ht="37.5" hidden="1">
      <c r="B168" s="58"/>
      <c r="C168" s="60"/>
      <c r="D168" s="52" t="s">
        <v>41</v>
      </c>
      <c r="E168" s="63"/>
      <c r="F168" s="8">
        <v>1</v>
      </c>
      <c r="G168" s="67" t="s">
        <v>85</v>
      </c>
      <c r="H168" s="68"/>
      <c r="I168" s="35">
        <v>140</v>
      </c>
      <c r="J168" s="9">
        <f t="shared" si="39"/>
        <v>1.4285714285714285E-2</v>
      </c>
      <c r="K168" s="39">
        <v>2</v>
      </c>
      <c r="L168" s="39"/>
      <c r="M168" s="39"/>
      <c r="N168" s="39"/>
      <c r="O168" s="39"/>
      <c r="P168" s="39"/>
      <c r="Q168" s="39"/>
      <c r="R168" s="39"/>
      <c r="S168" s="10">
        <f t="shared" si="40"/>
        <v>2</v>
      </c>
      <c r="T168" s="10">
        <v>100000</v>
      </c>
      <c r="U168" s="10">
        <f t="shared" si="42"/>
        <v>200000</v>
      </c>
      <c r="V168" s="4"/>
      <c r="Y168" s="4"/>
    </row>
    <row r="169" spans="2:25" ht="37.5" hidden="1">
      <c r="B169" s="58"/>
      <c r="C169" s="60"/>
      <c r="D169" s="52" t="s">
        <v>41</v>
      </c>
      <c r="E169" s="63"/>
      <c r="F169" s="8">
        <v>8.3333333333333329E-2</v>
      </c>
      <c r="G169" s="67" t="s">
        <v>85</v>
      </c>
      <c r="H169" s="68"/>
      <c r="I169" s="35">
        <v>140</v>
      </c>
      <c r="J169" s="9">
        <f t="shared" si="39"/>
        <v>1.4285714285714285E-2</v>
      </c>
      <c r="K169" s="39">
        <v>2</v>
      </c>
      <c r="L169" s="39"/>
      <c r="M169" s="39"/>
      <c r="N169" s="39"/>
      <c r="O169" s="39"/>
      <c r="P169" s="39"/>
      <c r="Q169" s="39"/>
      <c r="R169" s="39"/>
      <c r="S169" s="10">
        <f t="shared" si="40"/>
        <v>2</v>
      </c>
      <c r="T169" s="10">
        <v>100000</v>
      </c>
      <c r="U169" s="10">
        <f t="shared" si="42"/>
        <v>200000</v>
      </c>
      <c r="V169" s="4"/>
      <c r="Y169" s="4"/>
    </row>
    <row r="170" spans="2:25" ht="37.5" hidden="1">
      <c r="B170" s="58"/>
      <c r="C170" s="60"/>
      <c r="D170" s="52" t="s">
        <v>41</v>
      </c>
      <c r="E170" s="63"/>
      <c r="F170" s="8">
        <v>0.16666666666666666</v>
      </c>
      <c r="G170" s="67" t="s">
        <v>85</v>
      </c>
      <c r="H170" s="68"/>
      <c r="I170" s="35">
        <v>140</v>
      </c>
      <c r="J170" s="9">
        <f t="shared" si="39"/>
        <v>1.4285714285714285E-2</v>
      </c>
      <c r="K170" s="39">
        <v>2</v>
      </c>
      <c r="L170" s="39"/>
      <c r="M170" s="39"/>
      <c r="N170" s="39"/>
      <c r="O170" s="39"/>
      <c r="P170" s="39"/>
      <c r="Q170" s="39"/>
      <c r="R170" s="39"/>
      <c r="S170" s="10">
        <f t="shared" si="40"/>
        <v>2</v>
      </c>
      <c r="T170" s="10">
        <v>100000</v>
      </c>
      <c r="U170" s="10">
        <f t="shared" si="42"/>
        <v>200000</v>
      </c>
      <c r="V170" s="4"/>
      <c r="W170" s="4"/>
      <c r="X170" s="4"/>
      <c r="Y170" s="4"/>
    </row>
    <row r="171" spans="2:25" ht="37.5" hidden="1">
      <c r="B171" s="58"/>
      <c r="C171" s="60"/>
      <c r="D171" s="52" t="s">
        <v>41</v>
      </c>
      <c r="E171" s="63"/>
      <c r="F171" s="8">
        <v>0.25</v>
      </c>
      <c r="G171" s="67" t="s">
        <v>85</v>
      </c>
      <c r="H171" s="68"/>
      <c r="I171" s="35">
        <v>140</v>
      </c>
      <c r="J171" s="9">
        <f t="shared" si="39"/>
        <v>0</v>
      </c>
      <c r="K171" s="39"/>
      <c r="L171" s="39"/>
      <c r="M171" s="39"/>
      <c r="N171" s="39"/>
      <c r="O171" s="39"/>
      <c r="P171" s="39"/>
      <c r="Q171" s="39"/>
      <c r="R171" s="39"/>
      <c r="S171" s="10">
        <f t="shared" si="40"/>
        <v>0</v>
      </c>
      <c r="T171" s="10">
        <v>100000</v>
      </c>
      <c r="U171" s="10">
        <f t="shared" si="42"/>
        <v>0</v>
      </c>
      <c r="V171" s="4"/>
      <c r="Y171" s="4"/>
    </row>
    <row r="172" spans="2:25" ht="37.5" hidden="1">
      <c r="B172" s="58"/>
      <c r="C172" s="61"/>
      <c r="D172" s="53" t="s">
        <v>41</v>
      </c>
      <c r="E172" s="69"/>
      <c r="F172" s="14">
        <v>0.33333333333333331</v>
      </c>
      <c r="G172" s="67" t="s">
        <v>85</v>
      </c>
      <c r="H172" s="68"/>
      <c r="I172" s="37">
        <v>44</v>
      </c>
      <c r="J172" s="15">
        <f t="shared" si="39"/>
        <v>0</v>
      </c>
      <c r="K172" s="40"/>
      <c r="L172" s="40"/>
      <c r="M172" s="40"/>
      <c r="N172" s="40"/>
      <c r="O172" s="40"/>
      <c r="P172" s="40"/>
      <c r="Q172" s="40"/>
      <c r="R172" s="40"/>
      <c r="S172" s="16">
        <f t="shared" si="40"/>
        <v>0</v>
      </c>
      <c r="T172" s="16">
        <v>100000</v>
      </c>
      <c r="U172" s="16">
        <f t="shared" si="42"/>
        <v>0</v>
      </c>
      <c r="V172" s="4"/>
      <c r="W172" s="4"/>
      <c r="X172" s="4"/>
      <c r="Y172" s="4"/>
    </row>
    <row r="173" spans="2:25" ht="40.5" hidden="1" customHeight="1">
      <c r="B173" s="58">
        <v>46095</v>
      </c>
      <c r="C173" s="59" t="s">
        <v>14</v>
      </c>
      <c r="D173" s="51" t="s">
        <v>40</v>
      </c>
      <c r="E173" s="62" t="s">
        <v>101</v>
      </c>
      <c r="F173" s="5">
        <v>0.41666666666666669</v>
      </c>
      <c r="G173" s="65" t="s">
        <v>78</v>
      </c>
      <c r="H173" s="66"/>
      <c r="I173" s="34">
        <v>60</v>
      </c>
      <c r="J173" s="6">
        <f t="shared" si="39"/>
        <v>0.43333333333333335</v>
      </c>
      <c r="K173" s="38"/>
      <c r="L173" s="38"/>
      <c r="M173" s="38">
        <v>6</v>
      </c>
      <c r="N173" s="38"/>
      <c r="O173" s="38"/>
      <c r="P173" s="38"/>
      <c r="Q173" s="38">
        <v>20</v>
      </c>
      <c r="R173" s="38"/>
      <c r="S173" s="7">
        <f>SUM(K173:R173)</f>
        <v>26</v>
      </c>
      <c r="T173" s="7">
        <v>100000</v>
      </c>
      <c r="U173" s="7">
        <f>T173*S173</f>
        <v>2600000</v>
      </c>
      <c r="V173" s="4"/>
      <c r="W173" s="4"/>
      <c r="X173" s="4"/>
      <c r="Y173" s="4"/>
    </row>
    <row r="174" spans="2:25" ht="56.25" hidden="1">
      <c r="B174" s="58"/>
      <c r="C174" s="60"/>
      <c r="D174" s="52" t="s">
        <v>40</v>
      </c>
      <c r="E174" s="63"/>
      <c r="F174" s="8">
        <v>0.5</v>
      </c>
      <c r="G174" s="67" t="s">
        <v>78</v>
      </c>
      <c r="H174" s="68"/>
      <c r="I174" s="35">
        <v>152</v>
      </c>
      <c r="J174" s="9">
        <f t="shared" si="39"/>
        <v>0</v>
      </c>
      <c r="K174" s="39"/>
      <c r="L174" s="39"/>
      <c r="M174" s="39"/>
      <c r="N174" s="39"/>
      <c r="O174" s="39"/>
      <c r="P174" s="39"/>
      <c r="Q174" s="39"/>
      <c r="R174" s="39"/>
      <c r="S174" s="10">
        <f t="shared" ref="S174:S184" si="43">SUM(K174:R174)</f>
        <v>0</v>
      </c>
      <c r="T174" s="10">
        <v>100000</v>
      </c>
      <c r="U174" s="10">
        <f t="shared" ref="U174:U175" si="44">T174*S174</f>
        <v>0</v>
      </c>
      <c r="V174" s="4"/>
      <c r="W174" s="4"/>
      <c r="X174" s="4"/>
      <c r="Y174" s="4"/>
    </row>
    <row r="175" spans="2:25" ht="56.25" hidden="1">
      <c r="B175" s="58"/>
      <c r="C175" s="60"/>
      <c r="D175" s="52" t="s">
        <v>40</v>
      </c>
      <c r="E175" s="63"/>
      <c r="F175" s="8">
        <v>0.58333333333333337</v>
      </c>
      <c r="G175" s="67" t="s">
        <v>78</v>
      </c>
      <c r="H175" s="68"/>
      <c r="I175" s="35">
        <v>152</v>
      </c>
      <c r="J175" s="9">
        <f t="shared" si="39"/>
        <v>0</v>
      </c>
      <c r="K175" s="39"/>
      <c r="L175" s="39"/>
      <c r="M175" s="39"/>
      <c r="N175" s="39"/>
      <c r="O175" s="39"/>
      <c r="P175" s="39"/>
      <c r="Q175" s="39"/>
      <c r="R175" s="39"/>
      <c r="S175" s="10">
        <f t="shared" si="43"/>
        <v>0</v>
      </c>
      <c r="T175" s="10">
        <v>100000</v>
      </c>
      <c r="U175" s="10">
        <f t="shared" si="44"/>
        <v>0</v>
      </c>
      <c r="V175" s="4"/>
      <c r="W175" s="4"/>
      <c r="X175" s="4"/>
      <c r="Y175" s="4"/>
    </row>
    <row r="176" spans="2:25" ht="56.25" hidden="1">
      <c r="B176" s="58"/>
      <c r="C176" s="60"/>
      <c r="D176" s="52" t="s">
        <v>40</v>
      </c>
      <c r="E176" s="63"/>
      <c r="F176" s="8">
        <v>0.66666666666666663</v>
      </c>
      <c r="G176" s="67" t="s">
        <v>78</v>
      </c>
      <c r="H176" s="68"/>
      <c r="I176" s="35">
        <v>152</v>
      </c>
      <c r="J176" s="9">
        <f t="shared" si="39"/>
        <v>0</v>
      </c>
      <c r="K176" s="39"/>
      <c r="L176" s="39"/>
      <c r="M176" s="39"/>
      <c r="N176" s="39"/>
      <c r="O176" s="39"/>
      <c r="P176" s="39"/>
      <c r="Q176" s="39"/>
      <c r="R176" s="39"/>
      <c r="S176" s="10">
        <f t="shared" si="43"/>
        <v>0</v>
      </c>
      <c r="T176" s="10">
        <v>100000</v>
      </c>
      <c r="U176" s="10">
        <f>T176*S176</f>
        <v>0</v>
      </c>
      <c r="V176" s="4"/>
      <c r="W176" s="4"/>
      <c r="X176" s="4"/>
      <c r="Y176" s="4"/>
    </row>
    <row r="177" spans="2:25" ht="56.25" hidden="1">
      <c r="B177" s="58"/>
      <c r="C177" s="60"/>
      <c r="D177" s="52" t="s">
        <v>40</v>
      </c>
      <c r="E177" s="63"/>
      <c r="F177" s="8">
        <v>0.75</v>
      </c>
      <c r="G177" s="67" t="s">
        <v>78</v>
      </c>
      <c r="H177" s="68"/>
      <c r="I177" s="35">
        <v>152</v>
      </c>
      <c r="J177" s="9">
        <f t="shared" si="39"/>
        <v>0</v>
      </c>
      <c r="K177" s="39"/>
      <c r="L177" s="39"/>
      <c r="M177" s="39"/>
      <c r="N177" s="39"/>
      <c r="O177" s="39"/>
      <c r="P177" s="39"/>
      <c r="Q177" s="39"/>
      <c r="R177" s="39"/>
      <c r="S177" s="10">
        <f t="shared" si="43"/>
        <v>0</v>
      </c>
      <c r="T177" s="10">
        <v>100000</v>
      </c>
      <c r="U177" s="10">
        <f t="shared" ref="U177:U184" si="45">T177*S177</f>
        <v>0</v>
      </c>
      <c r="V177" s="4"/>
      <c r="W177" s="4"/>
      <c r="X177" s="11"/>
      <c r="Y177" s="4"/>
    </row>
    <row r="178" spans="2:25" ht="56.25" hidden="1">
      <c r="B178" s="58"/>
      <c r="C178" s="60"/>
      <c r="D178" s="53" t="s">
        <v>40</v>
      </c>
      <c r="E178" s="64"/>
      <c r="F178" s="12">
        <v>0.83333333333333337</v>
      </c>
      <c r="G178" s="67" t="s">
        <v>78</v>
      </c>
      <c r="H178" s="68"/>
      <c r="I178" s="36">
        <v>152</v>
      </c>
      <c r="J178" s="9">
        <f t="shared" si="39"/>
        <v>0</v>
      </c>
      <c r="K178" s="41"/>
      <c r="L178" s="41"/>
      <c r="M178" s="41"/>
      <c r="N178" s="41"/>
      <c r="O178" s="41"/>
      <c r="P178" s="41"/>
      <c r="Q178" s="41"/>
      <c r="R178" s="41"/>
      <c r="S178" s="13">
        <f t="shared" si="43"/>
        <v>0</v>
      </c>
      <c r="T178" s="13">
        <v>100000</v>
      </c>
      <c r="U178" s="13">
        <f t="shared" si="45"/>
        <v>0</v>
      </c>
      <c r="V178" s="4"/>
      <c r="Y178" s="4"/>
    </row>
    <row r="179" spans="2:25" ht="56.25" hidden="1">
      <c r="B179" s="58"/>
      <c r="C179" s="60"/>
      <c r="D179" s="51" t="s">
        <v>40</v>
      </c>
      <c r="E179" s="62" t="s">
        <v>102</v>
      </c>
      <c r="F179" s="5">
        <v>0.91666666666666663</v>
      </c>
      <c r="G179" s="65" t="s">
        <v>88</v>
      </c>
      <c r="H179" s="66"/>
      <c r="I179" s="34">
        <v>130</v>
      </c>
      <c r="J179" s="6">
        <f t="shared" si="39"/>
        <v>0.15384615384615385</v>
      </c>
      <c r="K179" s="38"/>
      <c r="L179" s="38"/>
      <c r="M179" s="38"/>
      <c r="N179" s="38"/>
      <c r="O179" s="38"/>
      <c r="P179" s="38"/>
      <c r="Q179" s="38">
        <v>20</v>
      </c>
      <c r="R179" s="38"/>
      <c r="S179" s="7">
        <f t="shared" si="43"/>
        <v>20</v>
      </c>
      <c r="T179" s="7">
        <v>100000</v>
      </c>
      <c r="U179" s="7">
        <f t="shared" si="45"/>
        <v>2000000</v>
      </c>
      <c r="V179" s="4"/>
      <c r="Y179" s="4"/>
    </row>
    <row r="180" spans="2:25" ht="56.25" hidden="1">
      <c r="B180" s="58"/>
      <c r="C180" s="60"/>
      <c r="D180" s="52" t="s">
        <v>40</v>
      </c>
      <c r="E180" s="63"/>
      <c r="F180" s="8">
        <v>1</v>
      </c>
      <c r="G180" s="67" t="s">
        <v>88</v>
      </c>
      <c r="H180" s="68"/>
      <c r="I180" s="35">
        <v>130</v>
      </c>
      <c r="J180" s="9">
        <f t="shared" si="39"/>
        <v>0</v>
      </c>
      <c r="K180" s="39"/>
      <c r="L180" s="39"/>
      <c r="M180" s="39"/>
      <c r="N180" s="39"/>
      <c r="O180" s="39"/>
      <c r="P180" s="39"/>
      <c r="Q180" s="39"/>
      <c r="R180" s="39"/>
      <c r="S180" s="10">
        <f t="shared" si="43"/>
        <v>0</v>
      </c>
      <c r="T180" s="10">
        <v>100000</v>
      </c>
      <c r="U180" s="10">
        <f t="shared" si="45"/>
        <v>0</v>
      </c>
      <c r="V180" s="4"/>
      <c r="Y180" s="4"/>
    </row>
    <row r="181" spans="2:25" ht="56.25" hidden="1">
      <c r="B181" s="58"/>
      <c r="C181" s="60"/>
      <c r="D181" s="52" t="s">
        <v>40</v>
      </c>
      <c r="E181" s="63"/>
      <c r="F181" s="8">
        <v>8.3333333333333329E-2</v>
      </c>
      <c r="G181" s="67" t="s">
        <v>88</v>
      </c>
      <c r="H181" s="68"/>
      <c r="I181" s="35">
        <v>130</v>
      </c>
      <c r="J181" s="9">
        <f t="shared" si="39"/>
        <v>0</v>
      </c>
      <c r="K181" s="39"/>
      <c r="L181" s="39"/>
      <c r="M181" s="39"/>
      <c r="N181" s="39"/>
      <c r="O181" s="39"/>
      <c r="P181" s="39"/>
      <c r="Q181" s="39"/>
      <c r="R181" s="39"/>
      <c r="S181" s="10">
        <f t="shared" si="43"/>
        <v>0</v>
      </c>
      <c r="T181" s="10">
        <v>100000</v>
      </c>
      <c r="U181" s="10">
        <f t="shared" si="45"/>
        <v>0</v>
      </c>
      <c r="V181" s="4"/>
      <c r="Y181" s="4"/>
    </row>
    <row r="182" spans="2:25" ht="56.25" hidden="1">
      <c r="B182" s="58"/>
      <c r="C182" s="60"/>
      <c r="D182" s="52" t="s">
        <v>40</v>
      </c>
      <c r="E182" s="63"/>
      <c r="F182" s="8">
        <v>0.16666666666666666</v>
      </c>
      <c r="G182" s="67" t="s">
        <v>88</v>
      </c>
      <c r="H182" s="68"/>
      <c r="I182" s="35">
        <v>98</v>
      </c>
      <c r="J182" s="9">
        <f t="shared" si="39"/>
        <v>0</v>
      </c>
      <c r="K182" s="39"/>
      <c r="L182" s="39"/>
      <c r="M182" s="39"/>
      <c r="N182" s="39"/>
      <c r="O182" s="39"/>
      <c r="P182" s="39"/>
      <c r="Q182" s="39"/>
      <c r="R182" s="39"/>
      <c r="S182" s="10">
        <f t="shared" si="43"/>
        <v>0</v>
      </c>
      <c r="T182" s="10">
        <v>100000</v>
      </c>
      <c r="U182" s="10">
        <f t="shared" si="45"/>
        <v>0</v>
      </c>
      <c r="V182" s="4"/>
      <c r="W182" s="4"/>
      <c r="X182" s="4"/>
      <c r="Y182" s="4"/>
    </row>
    <row r="183" spans="2:25" ht="56.25" hidden="1">
      <c r="B183" s="58"/>
      <c r="C183" s="60"/>
      <c r="D183" s="52" t="s">
        <v>40</v>
      </c>
      <c r="E183" s="63"/>
      <c r="F183" s="8">
        <v>0.25</v>
      </c>
      <c r="G183" s="67" t="s">
        <v>88</v>
      </c>
      <c r="H183" s="68"/>
      <c r="I183" s="35">
        <v>0</v>
      </c>
      <c r="J183" s="9" t="str">
        <f t="shared" si="39"/>
        <v/>
      </c>
      <c r="K183" s="39"/>
      <c r="L183" s="39"/>
      <c r="M183" s="39"/>
      <c r="N183" s="39"/>
      <c r="O183" s="39"/>
      <c r="P183" s="39"/>
      <c r="Q183" s="39"/>
      <c r="R183" s="39"/>
      <c r="S183" s="10">
        <f t="shared" si="43"/>
        <v>0</v>
      </c>
      <c r="T183" s="10">
        <v>100000</v>
      </c>
      <c r="U183" s="10">
        <f t="shared" si="45"/>
        <v>0</v>
      </c>
      <c r="V183" s="4"/>
      <c r="Y183" s="4"/>
    </row>
    <row r="184" spans="2:25" ht="56.25" hidden="1">
      <c r="B184" s="58"/>
      <c r="C184" s="61"/>
      <c r="D184" s="53" t="s">
        <v>40</v>
      </c>
      <c r="E184" s="69"/>
      <c r="F184" s="14">
        <v>0.33333333333333331</v>
      </c>
      <c r="G184" s="67" t="s">
        <v>88</v>
      </c>
      <c r="H184" s="68"/>
      <c r="I184" s="37">
        <v>0</v>
      </c>
      <c r="J184" s="15" t="str">
        <f t="shared" si="39"/>
        <v/>
      </c>
      <c r="K184" s="40"/>
      <c r="L184" s="40"/>
      <c r="M184" s="40"/>
      <c r="N184" s="40"/>
      <c r="O184" s="40"/>
      <c r="P184" s="40"/>
      <c r="Q184" s="40"/>
      <c r="R184" s="40"/>
      <c r="S184" s="16">
        <f t="shared" si="43"/>
        <v>0</v>
      </c>
      <c r="T184" s="16">
        <v>100000</v>
      </c>
      <c r="U184" s="16">
        <f t="shared" si="45"/>
        <v>0</v>
      </c>
      <c r="V184" s="4"/>
      <c r="W184" s="4"/>
      <c r="X184" s="4"/>
      <c r="Y184" s="4"/>
    </row>
    <row r="185" spans="2:25" ht="16.5" hidden="1" customHeight="1">
      <c r="B185" s="58">
        <v>46096</v>
      </c>
      <c r="C185" s="59" t="s">
        <v>14</v>
      </c>
      <c r="D185" s="51"/>
      <c r="E185" s="62" t="s">
        <v>101</v>
      </c>
      <c r="F185" s="5">
        <v>0.41666666666666669</v>
      </c>
      <c r="G185" s="65"/>
      <c r="H185" s="66"/>
      <c r="I185" s="34"/>
      <c r="J185" s="6" t="str">
        <f t="shared" ref="J185:J220" si="46">IFERROR(S185/I185,"")</f>
        <v/>
      </c>
      <c r="K185" s="38"/>
      <c r="L185" s="38"/>
      <c r="M185" s="38"/>
      <c r="N185" s="38"/>
      <c r="O185" s="38"/>
      <c r="P185" s="38"/>
      <c r="Q185" s="38"/>
      <c r="R185" s="38"/>
      <c r="S185" s="7">
        <f>SUM(K185:R185)</f>
        <v>0</v>
      </c>
      <c r="T185" s="7">
        <v>100000</v>
      </c>
      <c r="U185" s="7">
        <f>T185*S185</f>
        <v>0</v>
      </c>
      <c r="V185" s="4"/>
      <c r="W185" s="4"/>
      <c r="X185" s="4"/>
      <c r="Y185" s="4"/>
    </row>
    <row r="186" spans="2:25" ht="18.75" hidden="1">
      <c r="B186" s="58"/>
      <c r="C186" s="60"/>
      <c r="D186" s="52"/>
      <c r="E186" s="63"/>
      <c r="F186" s="8">
        <v>0.5</v>
      </c>
      <c r="G186" s="67"/>
      <c r="H186" s="68"/>
      <c r="I186" s="35"/>
      <c r="J186" s="9" t="str">
        <f t="shared" si="46"/>
        <v/>
      </c>
      <c r="K186" s="39"/>
      <c r="L186" s="39"/>
      <c r="M186" s="39"/>
      <c r="N186" s="39"/>
      <c r="O186" s="39"/>
      <c r="P186" s="39"/>
      <c r="Q186" s="39"/>
      <c r="R186" s="39"/>
      <c r="S186" s="10">
        <f t="shared" ref="S186:S196" si="47">SUM(K186:R186)</f>
        <v>0</v>
      </c>
      <c r="T186" s="10">
        <v>100000</v>
      </c>
      <c r="U186" s="10">
        <f t="shared" ref="U186:U187" si="48">T186*S186</f>
        <v>0</v>
      </c>
      <c r="V186" s="4"/>
      <c r="W186" s="4"/>
      <c r="X186" s="4"/>
      <c r="Y186" s="4"/>
    </row>
    <row r="187" spans="2:25" ht="18.75" hidden="1">
      <c r="B187" s="58"/>
      <c r="C187" s="60"/>
      <c r="D187" s="52"/>
      <c r="E187" s="63"/>
      <c r="F187" s="8">
        <v>0.58333333333333337</v>
      </c>
      <c r="G187" s="67"/>
      <c r="H187" s="68"/>
      <c r="I187" s="35"/>
      <c r="J187" s="9" t="str">
        <f t="shared" si="46"/>
        <v/>
      </c>
      <c r="K187" s="39"/>
      <c r="L187" s="39"/>
      <c r="M187" s="39"/>
      <c r="N187" s="39"/>
      <c r="O187" s="39"/>
      <c r="P187" s="39"/>
      <c r="Q187" s="39"/>
      <c r="R187" s="39"/>
      <c r="S187" s="10">
        <f t="shared" si="47"/>
        <v>0</v>
      </c>
      <c r="T187" s="10">
        <v>100000</v>
      </c>
      <c r="U187" s="10">
        <f t="shared" si="48"/>
        <v>0</v>
      </c>
      <c r="V187" s="4"/>
      <c r="W187" s="4"/>
      <c r="X187" s="4"/>
      <c r="Y187" s="4"/>
    </row>
    <row r="188" spans="2:25" ht="18.75" hidden="1">
      <c r="B188" s="58"/>
      <c r="C188" s="60"/>
      <c r="D188" s="52"/>
      <c r="E188" s="63"/>
      <c r="F188" s="8">
        <v>0.66666666666666663</v>
      </c>
      <c r="G188" s="67"/>
      <c r="H188" s="68"/>
      <c r="I188" s="35"/>
      <c r="J188" s="9" t="str">
        <f t="shared" si="46"/>
        <v/>
      </c>
      <c r="K188" s="39"/>
      <c r="L188" s="39"/>
      <c r="M188" s="39"/>
      <c r="N188" s="39"/>
      <c r="O188" s="39"/>
      <c r="P188" s="39"/>
      <c r="Q188" s="39"/>
      <c r="R188" s="39"/>
      <c r="S188" s="10">
        <f t="shared" si="47"/>
        <v>0</v>
      </c>
      <c r="T188" s="10">
        <v>100000</v>
      </c>
      <c r="U188" s="10">
        <f>T188*S188</f>
        <v>0</v>
      </c>
      <c r="V188" s="4"/>
      <c r="W188" s="4"/>
      <c r="X188" s="4"/>
      <c r="Y188" s="4"/>
    </row>
    <row r="189" spans="2:25" ht="18.75" hidden="1">
      <c r="B189" s="58"/>
      <c r="C189" s="60"/>
      <c r="D189" s="52"/>
      <c r="E189" s="63"/>
      <c r="F189" s="8">
        <v>0.75</v>
      </c>
      <c r="G189" s="67"/>
      <c r="H189" s="68"/>
      <c r="I189" s="35"/>
      <c r="J189" s="9" t="str">
        <f t="shared" si="46"/>
        <v/>
      </c>
      <c r="K189" s="39"/>
      <c r="L189" s="39"/>
      <c r="M189" s="39"/>
      <c r="N189" s="39"/>
      <c r="O189" s="39"/>
      <c r="P189" s="39"/>
      <c r="Q189" s="39"/>
      <c r="R189" s="39"/>
      <c r="S189" s="10">
        <f t="shared" si="47"/>
        <v>0</v>
      </c>
      <c r="T189" s="10">
        <v>100000</v>
      </c>
      <c r="U189" s="10">
        <f t="shared" ref="U189:U196" si="49">T189*S189</f>
        <v>0</v>
      </c>
      <c r="V189" s="4"/>
      <c r="W189" s="4"/>
      <c r="X189" s="11"/>
      <c r="Y189" s="4"/>
    </row>
    <row r="190" spans="2:25" ht="18.75" hidden="1">
      <c r="B190" s="58"/>
      <c r="C190" s="60"/>
      <c r="D190" s="53"/>
      <c r="E190" s="64"/>
      <c r="F190" s="12">
        <v>0.83333333333333337</v>
      </c>
      <c r="G190" s="67"/>
      <c r="H190" s="68"/>
      <c r="I190" s="36"/>
      <c r="J190" s="9" t="str">
        <f t="shared" si="46"/>
        <v/>
      </c>
      <c r="K190" s="41"/>
      <c r="L190" s="41"/>
      <c r="M190" s="41"/>
      <c r="N190" s="41"/>
      <c r="O190" s="41"/>
      <c r="P190" s="41"/>
      <c r="Q190" s="41"/>
      <c r="R190" s="41"/>
      <c r="S190" s="13">
        <f t="shared" si="47"/>
        <v>0</v>
      </c>
      <c r="T190" s="13">
        <v>100000</v>
      </c>
      <c r="U190" s="13">
        <f t="shared" si="49"/>
        <v>0</v>
      </c>
      <c r="V190" s="4"/>
      <c r="Y190" s="4"/>
    </row>
    <row r="191" spans="2:25" ht="18.75" hidden="1">
      <c r="B191" s="58"/>
      <c r="C191" s="60"/>
      <c r="D191" s="51"/>
      <c r="E191" s="62" t="s">
        <v>102</v>
      </c>
      <c r="F191" s="5">
        <v>0.91666666666666663</v>
      </c>
      <c r="G191" s="65"/>
      <c r="H191" s="66"/>
      <c r="I191" s="34"/>
      <c r="J191" s="6" t="str">
        <f t="shared" si="46"/>
        <v/>
      </c>
      <c r="K191" s="38"/>
      <c r="L191" s="38"/>
      <c r="M191" s="38"/>
      <c r="N191" s="38"/>
      <c r="O191" s="38"/>
      <c r="P191" s="38"/>
      <c r="Q191" s="38"/>
      <c r="R191" s="38"/>
      <c r="S191" s="7">
        <f t="shared" si="47"/>
        <v>0</v>
      </c>
      <c r="T191" s="7">
        <v>100000</v>
      </c>
      <c r="U191" s="7">
        <f t="shared" si="49"/>
        <v>0</v>
      </c>
      <c r="V191" s="4"/>
      <c r="Y191" s="4"/>
    </row>
    <row r="192" spans="2:25" ht="18.75" hidden="1">
      <c r="B192" s="58"/>
      <c r="C192" s="60"/>
      <c r="D192" s="52"/>
      <c r="E192" s="63"/>
      <c r="F192" s="8">
        <v>1</v>
      </c>
      <c r="G192" s="67"/>
      <c r="H192" s="68"/>
      <c r="I192" s="35"/>
      <c r="J192" s="9" t="str">
        <f t="shared" si="46"/>
        <v/>
      </c>
      <c r="K192" s="39"/>
      <c r="L192" s="39"/>
      <c r="M192" s="39"/>
      <c r="N192" s="39"/>
      <c r="O192" s="39"/>
      <c r="P192" s="39"/>
      <c r="Q192" s="39"/>
      <c r="R192" s="39"/>
      <c r="S192" s="10">
        <f t="shared" si="47"/>
        <v>0</v>
      </c>
      <c r="T192" s="10">
        <v>100000</v>
      </c>
      <c r="U192" s="10">
        <f t="shared" si="49"/>
        <v>0</v>
      </c>
      <c r="V192" s="4"/>
      <c r="Y192" s="4"/>
    </row>
    <row r="193" spans="2:25" ht="18.75" hidden="1">
      <c r="B193" s="58"/>
      <c r="C193" s="60"/>
      <c r="D193" s="52"/>
      <c r="E193" s="63"/>
      <c r="F193" s="8">
        <v>8.3333333333333329E-2</v>
      </c>
      <c r="G193" s="67"/>
      <c r="H193" s="68"/>
      <c r="I193" s="35"/>
      <c r="J193" s="9" t="str">
        <f t="shared" si="46"/>
        <v/>
      </c>
      <c r="K193" s="39"/>
      <c r="L193" s="39"/>
      <c r="M193" s="39"/>
      <c r="N193" s="39"/>
      <c r="O193" s="39"/>
      <c r="P193" s="39"/>
      <c r="Q193" s="39"/>
      <c r="R193" s="39"/>
      <c r="S193" s="10">
        <f t="shared" si="47"/>
        <v>0</v>
      </c>
      <c r="T193" s="10">
        <v>100000</v>
      </c>
      <c r="U193" s="10">
        <f t="shared" si="49"/>
        <v>0</v>
      </c>
      <c r="V193" s="4"/>
      <c r="Y193" s="4"/>
    </row>
    <row r="194" spans="2:25" ht="18.75" hidden="1">
      <c r="B194" s="58"/>
      <c r="C194" s="60"/>
      <c r="D194" s="52"/>
      <c r="E194" s="63"/>
      <c r="F194" s="8">
        <v>0.16666666666666666</v>
      </c>
      <c r="G194" s="67"/>
      <c r="H194" s="68"/>
      <c r="I194" s="35"/>
      <c r="J194" s="9" t="str">
        <f t="shared" si="46"/>
        <v/>
      </c>
      <c r="K194" s="39"/>
      <c r="L194" s="39"/>
      <c r="M194" s="39"/>
      <c r="N194" s="39"/>
      <c r="O194" s="39"/>
      <c r="P194" s="39"/>
      <c r="Q194" s="39"/>
      <c r="R194" s="39"/>
      <c r="S194" s="10">
        <f t="shared" si="47"/>
        <v>0</v>
      </c>
      <c r="T194" s="10">
        <v>100000</v>
      </c>
      <c r="U194" s="10">
        <f t="shared" si="49"/>
        <v>0</v>
      </c>
      <c r="V194" s="4"/>
      <c r="W194" s="4"/>
      <c r="X194" s="4"/>
      <c r="Y194" s="4"/>
    </row>
    <row r="195" spans="2:25" ht="18.75" hidden="1">
      <c r="B195" s="58"/>
      <c r="C195" s="60"/>
      <c r="D195" s="52"/>
      <c r="E195" s="63"/>
      <c r="F195" s="8">
        <v>0.25</v>
      </c>
      <c r="G195" s="67"/>
      <c r="H195" s="68"/>
      <c r="I195" s="35"/>
      <c r="J195" s="9" t="str">
        <f t="shared" si="46"/>
        <v/>
      </c>
      <c r="K195" s="39"/>
      <c r="L195" s="39"/>
      <c r="M195" s="39"/>
      <c r="N195" s="39"/>
      <c r="O195" s="39"/>
      <c r="P195" s="39"/>
      <c r="Q195" s="39"/>
      <c r="R195" s="39"/>
      <c r="S195" s="10">
        <f t="shared" si="47"/>
        <v>0</v>
      </c>
      <c r="T195" s="10">
        <v>100000</v>
      </c>
      <c r="U195" s="10">
        <f t="shared" si="49"/>
        <v>0</v>
      </c>
      <c r="V195" s="4"/>
      <c r="Y195" s="4"/>
    </row>
    <row r="196" spans="2:25" ht="18.75" hidden="1">
      <c r="B196" s="58"/>
      <c r="C196" s="61"/>
      <c r="D196" s="53"/>
      <c r="E196" s="69"/>
      <c r="F196" s="14">
        <v>0.33333333333333331</v>
      </c>
      <c r="G196" s="67"/>
      <c r="H196" s="68"/>
      <c r="I196" s="37"/>
      <c r="J196" s="15" t="str">
        <f t="shared" si="46"/>
        <v/>
      </c>
      <c r="K196" s="40"/>
      <c r="L196" s="40"/>
      <c r="M196" s="40"/>
      <c r="N196" s="40"/>
      <c r="O196" s="40"/>
      <c r="P196" s="40"/>
      <c r="Q196" s="40"/>
      <c r="R196" s="40"/>
      <c r="S196" s="16">
        <f t="shared" si="47"/>
        <v>0</v>
      </c>
      <c r="T196" s="16">
        <v>100000</v>
      </c>
      <c r="U196" s="16">
        <f t="shared" si="49"/>
        <v>0</v>
      </c>
      <c r="V196" s="4"/>
      <c r="W196" s="4"/>
      <c r="X196" s="4"/>
      <c r="Y196" s="4"/>
    </row>
    <row r="197" spans="2:25" ht="37.5" hidden="1" customHeight="1">
      <c r="B197" s="58">
        <v>46097</v>
      </c>
      <c r="C197" s="59" t="s">
        <v>14</v>
      </c>
      <c r="D197" s="51" t="s">
        <v>40</v>
      </c>
      <c r="E197" s="62" t="s">
        <v>101</v>
      </c>
      <c r="F197" s="5">
        <v>0.41666666666666669</v>
      </c>
      <c r="G197" s="65" t="s">
        <v>74</v>
      </c>
      <c r="H197" s="66"/>
      <c r="I197" s="34"/>
      <c r="J197" s="6" t="str">
        <f t="shared" si="46"/>
        <v/>
      </c>
      <c r="K197" s="38"/>
      <c r="L197" s="38"/>
      <c r="M197" s="38"/>
      <c r="N197" s="38"/>
      <c r="O197" s="38"/>
      <c r="P197" s="38"/>
      <c r="Q197" s="38">
        <v>20</v>
      </c>
      <c r="R197" s="38"/>
      <c r="S197" s="7">
        <f>SUM(K197:R197)</f>
        <v>20</v>
      </c>
      <c r="T197" s="7">
        <v>100000</v>
      </c>
      <c r="U197" s="7">
        <f>T197*S197</f>
        <v>2000000</v>
      </c>
      <c r="V197" s="4"/>
      <c r="W197" s="4"/>
      <c r="X197" s="4"/>
      <c r="Y197" s="4"/>
    </row>
    <row r="198" spans="2:25" ht="56.25" hidden="1">
      <c r="B198" s="58"/>
      <c r="C198" s="60"/>
      <c r="D198" s="52" t="s">
        <v>40</v>
      </c>
      <c r="E198" s="63"/>
      <c r="F198" s="8">
        <v>0.5</v>
      </c>
      <c r="G198" s="67" t="s">
        <v>74</v>
      </c>
      <c r="H198" s="68"/>
      <c r="I198" s="35"/>
      <c r="J198" s="9" t="str">
        <f t="shared" si="46"/>
        <v/>
      </c>
      <c r="K198" s="39"/>
      <c r="L198" s="39"/>
      <c r="M198" s="39"/>
      <c r="N198" s="39"/>
      <c r="O198" s="39"/>
      <c r="P198" s="39"/>
      <c r="Q198" s="39"/>
      <c r="R198" s="39"/>
      <c r="S198" s="10">
        <f t="shared" ref="S198:S208" si="50">SUM(K198:R198)</f>
        <v>0</v>
      </c>
      <c r="T198" s="10">
        <v>100000</v>
      </c>
      <c r="U198" s="10">
        <f t="shared" ref="U198:U199" si="51">T198*S198</f>
        <v>0</v>
      </c>
      <c r="V198" s="4"/>
      <c r="W198" s="4"/>
      <c r="X198" s="4"/>
      <c r="Y198" s="4"/>
    </row>
    <row r="199" spans="2:25" ht="56.25" hidden="1">
      <c r="B199" s="58"/>
      <c r="C199" s="60"/>
      <c r="D199" s="52" t="s">
        <v>40</v>
      </c>
      <c r="E199" s="63"/>
      <c r="F199" s="8">
        <v>0.58333333333333337</v>
      </c>
      <c r="G199" s="67" t="s">
        <v>74</v>
      </c>
      <c r="H199" s="68"/>
      <c r="I199" s="35">
        <v>66</v>
      </c>
      <c r="J199" s="9">
        <f t="shared" si="46"/>
        <v>6.0606060606060608E-2</v>
      </c>
      <c r="K199" s="39"/>
      <c r="L199" s="39"/>
      <c r="M199" s="39">
        <v>4</v>
      </c>
      <c r="N199" s="39"/>
      <c r="O199" s="39"/>
      <c r="P199" s="39"/>
      <c r="Q199" s="39"/>
      <c r="R199" s="39"/>
      <c r="S199" s="10">
        <f t="shared" si="50"/>
        <v>4</v>
      </c>
      <c r="T199" s="10">
        <v>100000</v>
      </c>
      <c r="U199" s="10">
        <f t="shared" si="51"/>
        <v>400000</v>
      </c>
      <c r="V199" s="4"/>
      <c r="W199" s="4"/>
      <c r="X199" s="4"/>
      <c r="Y199" s="4"/>
    </row>
    <row r="200" spans="2:25" ht="56.25" hidden="1">
      <c r="B200" s="58"/>
      <c r="C200" s="60"/>
      <c r="D200" s="52" t="s">
        <v>40</v>
      </c>
      <c r="E200" s="63"/>
      <c r="F200" s="8">
        <v>0.66666666666666663</v>
      </c>
      <c r="G200" s="67" t="s">
        <v>74</v>
      </c>
      <c r="H200" s="68"/>
      <c r="I200" s="35">
        <v>148</v>
      </c>
      <c r="J200" s="9">
        <f t="shared" si="46"/>
        <v>0</v>
      </c>
      <c r="K200" s="39"/>
      <c r="L200" s="39"/>
      <c r="M200" s="39"/>
      <c r="N200" s="39"/>
      <c r="O200" s="39"/>
      <c r="P200" s="39"/>
      <c r="Q200" s="39"/>
      <c r="R200" s="39"/>
      <c r="S200" s="10">
        <f t="shared" si="50"/>
        <v>0</v>
      </c>
      <c r="T200" s="10">
        <v>100000</v>
      </c>
      <c r="U200" s="10">
        <f>T200*S200</f>
        <v>0</v>
      </c>
      <c r="V200" s="4"/>
      <c r="W200" s="4"/>
      <c r="X200" s="4"/>
      <c r="Y200" s="4"/>
    </row>
    <row r="201" spans="2:25" ht="56.25" hidden="1">
      <c r="B201" s="58"/>
      <c r="C201" s="60"/>
      <c r="D201" s="52" t="s">
        <v>40</v>
      </c>
      <c r="E201" s="63"/>
      <c r="F201" s="8">
        <v>0.75</v>
      </c>
      <c r="G201" s="67" t="s">
        <v>74</v>
      </c>
      <c r="H201" s="68"/>
      <c r="I201" s="35">
        <v>66</v>
      </c>
      <c r="J201" s="9">
        <f t="shared" si="46"/>
        <v>0</v>
      </c>
      <c r="K201" s="39"/>
      <c r="L201" s="39"/>
      <c r="M201" s="39"/>
      <c r="N201" s="39"/>
      <c r="O201" s="39"/>
      <c r="P201" s="39"/>
      <c r="Q201" s="39"/>
      <c r="R201" s="39"/>
      <c r="S201" s="10">
        <f t="shared" si="50"/>
        <v>0</v>
      </c>
      <c r="T201" s="10">
        <v>100000</v>
      </c>
      <c r="U201" s="10">
        <f t="shared" ref="U201:U208" si="52">T201*S201</f>
        <v>0</v>
      </c>
      <c r="V201" s="4"/>
      <c r="W201" s="4"/>
      <c r="X201" s="11"/>
      <c r="Y201" s="4"/>
    </row>
    <row r="202" spans="2:25" ht="56.25" hidden="1">
      <c r="B202" s="58"/>
      <c r="C202" s="60"/>
      <c r="D202" s="53" t="s">
        <v>40</v>
      </c>
      <c r="E202" s="64"/>
      <c r="F202" s="12">
        <v>0.83333333333333337</v>
      </c>
      <c r="G202" s="67" t="s">
        <v>74</v>
      </c>
      <c r="H202" s="68"/>
      <c r="I202" s="37"/>
      <c r="J202" s="9" t="str">
        <f t="shared" si="46"/>
        <v/>
      </c>
      <c r="K202" s="40"/>
      <c r="L202" s="40"/>
      <c r="M202" s="40"/>
      <c r="N202" s="40"/>
      <c r="O202" s="40"/>
      <c r="P202" s="40"/>
      <c r="Q202" s="40"/>
      <c r="R202" s="40"/>
      <c r="S202" s="13">
        <f t="shared" si="50"/>
        <v>0</v>
      </c>
      <c r="T202" s="13">
        <v>100000</v>
      </c>
      <c r="U202" s="13">
        <f t="shared" si="52"/>
        <v>0</v>
      </c>
      <c r="V202" s="4"/>
      <c r="Y202" s="4"/>
    </row>
    <row r="203" spans="2:25" ht="56.25" hidden="1">
      <c r="B203" s="58"/>
      <c r="C203" s="60"/>
      <c r="D203" s="51" t="s">
        <v>40</v>
      </c>
      <c r="E203" s="62" t="s">
        <v>102</v>
      </c>
      <c r="F203" s="5">
        <v>0.91666666666666663</v>
      </c>
      <c r="G203" s="65" t="s">
        <v>85</v>
      </c>
      <c r="H203" s="66"/>
      <c r="I203" s="34">
        <v>130</v>
      </c>
      <c r="J203" s="6">
        <f t="shared" si="46"/>
        <v>0.16923076923076924</v>
      </c>
      <c r="K203" s="38"/>
      <c r="L203" s="38"/>
      <c r="M203" s="38">
        <v>2</v>
      </c>
      <c r="N203" s="38"/>
      <c r="O203" s="38"/>
      <c r="P203" s="38"/>
      <c r="Q203" s="38">
        <v>20</v>
      </c>
      <c r="R203" s="38"/>
      <c r="S203" s="7">
        <f t="shared" si="50"/>
        <v>22</v>
      </c>
      <c r="T203" s="7">
        <v>100000</v>
      </c>
      <c r="U203" s="7">
        <f t="shared" si="52"/>
        <v>2200000</v>
      </c>
      <c r="V203" s="4"/>
      <c r="Y203" s="4"/>
    </row>
    <row r="204" spans="2:25" ht="56.25" hidden="1">
      <c r="B204" s="58"/>
      <c r="C204" s="60"/>
      <c r="D204" s="52" t="s">
        <v>40</v>
      </c>
      <c r="E204" s="63"/>
      <c r="F204" s="8">
        <v>1</v>
      </c>
      <c r="G204" s="67" t="s">
        <v>85</v>
      </c>
      <c r="H204" s="68"/>
      <c r="I204" s="35">
        <v>130</v>
      </c>
      <c r="J204" s="9">
        <f t="shared" si="46"/>
        <v>1.5384615384615385E-2</v>
      </c>
      <c r="K204" s="39"/>
      <c r="L204" s="39"/>
      <c r="M204" s="39">
        <v>2</v>
      </c>
      <c r="N204" s="39"/>
      <c r="O204" s="39"/>
      <c r="P204" s="39"/>
      <c r="Q204" s="39"/>
      <c r="R204" s="39"/>
      <c r="S204" s="10">
        <f t="shared" si="50"/>
        <v>2</v>
      </c>
      <c r="T204" s="10">
        <v>100000</v>
      </c>
      <c r="U204" s="10">
        <f t="shared" si="52"/>
        <v>200000</v>
      </c>
      <c r="V204" s="4"/>
      <c r="Y204" s="4"/>
    </row>
    <row r="205" spans="2:25" ht="56.25" hidden="1">
      <c r="B205" s="58"/>
      <c r="C205" s="60"/>
      <c r="D205" s="52" t="s">
        <v>40</v>
      </c>
      <c r="E205" s="63"/>
      <c r="F205" s="8">
        <v>8.3333333333333329E-2</v>
      </c>
      <c r="G205" s="67" t="s">
        <v>85</v>
      </c>
      <c r="H205" s="68"/>
      <c r="I205" s="35">
        <v>130</v>
      </c>
      <c r="J205" s="9">
        <f t="shared" si="46"/>
        <v>1.5384615384615385E-2</v>
      </c>
      <c r="K205" s="39"/>
      <c r="L205" s="39"/>
      <c r="M205" s="39">
        <v>2</v>
      </c>
      <c r="N205" s="39"/>
      <c r="O205" s="39"/>
      <c r="P205" s="39"/>
      <c r="Q205" s="39"/>
      <c r="R205" s="39"/>
      <c r="S205" s="10">
        <f t="shared" si="50"/>
        <v>2</v>
      </c>
      <c r="T205" s="10">
        <v>100000</v>
      </c>
      <c r="U205" s="10">
        <f t="shared" si="52"/>
        <v>200000</v>
      </c>
      <c r="V205" s="4"/>
      <c r="Y205" s="4"/>
    </row>
    <row r="206" spans="2:25" ht="56.25" hidden="1">
      <c r="B206" s="58"/>
      <c r="C206" s="60"/>
      <c r="D206" s="52" t="s">
        <v>40</v>
      </c>
      <c r="E206" s="63"/>
      <c r="F206" s="8">
        <v>0.16666666666666666</v>
      </c>
      <c r="G206" s="67" t="s">
        <v>85</v>
      </c>
      <c r="H206" s="68"/>
      <c r="I206" s="35">
        <v>130</v>
      </c>
      <c r="J206" s="9">
        <f t="shared" si="46"/>
        <v>1.5384615384615385E-2</v>
      </c>
      <c r="K206" s="39"/>
      <c r="L206" s="39"/>
      <c r="M206" s="39">
        <v>2</v>
      </c>
      <c r="N206" s="39"/>
      <c r="O206" s="39"/>
      <c r="P206" s="39"/>
      <c r="Q206" s="39"/>
      <c r="R206" s="39"/>
      <c r="S206" s="10">
        <f t="shared" si="50"/>
        <v>2</v>
      </c>
      <c r="T206" s="10">
        <v>100000</v>
      </c>
      <c r="U206" s="10">
        <f t="shared" si="52"/>
        <v>200000</v>
      </c>
      <c r="V206" s="4"/>
      <c r="W206" s="4"/>
      <c r="X206" s="4"/>
      <c r="Y206" s="4"/>
    </row>
    <row r="207" spans="2:25" ht="56.25" hidden="1">
      <c r="B207" s="58"/>
      <c r="C207" s="60"/>
      <c r="D207" s="52" t="s">
        <v>40</v>
      </c>
      <c r="E207" s="63"/>
      <c r="F207" s="8">
        <v>0.25</v>
      </c>
      <c r="G207" s="67" t="s">
        <v>85</v>
      </c>
      <c r="H207" s="68"/>
      <c r="I207" s="35">
        <v>130</v>
      </c>
      <c r="J207" s="9">
        <f t="shared" si="46"/>
        <v>1.5384615384615385E-2</v>
      </c>
      <c r="K207" s="39"/>
      <c r="L207" s="39"/>
      <c r="M207" s="39">
        <v>2</v>
      </c>
      <c r="N207" s="39"/>
      <c r="O207" s="39"/>
      <c r="P207" s="39"/>
      <c r="Q207" s="39"/>
      <c r="R207" s="39"/>
      <c r="S207" s="10">
        <f t="shared" si="50"/>
        <v>2</v>
      </c>
      <c r="T207" s="10">
        <v>100000</v>
      </c>
      <c r="U207" s="10">
        <f t="shared" si="52"/>
        <v>200000</v>
      </c>
      <c r="V207" s="4"/>
      <c r="Y207" s="4"/>
    </row>
    <row r="208" spans="2:25" ht="56.25" hidden="1">
      <c r="B208" s="58"/>
      <c r="C208" s="61"/>
      <c r="D208" s="53" t="s">
        <v>40</v>
      </c>
      <c r="E208" s="69"/>
      <c r="F208" s="14">
        <v>0.33333333333333331</v>
      </c>
      <c r="G208" s="67" t="s">
        <v>85</v>
      </c>
      <c r="H208" s="68"/>
      <c r="I208" s="37">
        <v>30</v>
      </c>
      <c r="J208" s="15">
        <f t="shared" si="46"/>
        <v>0.8</v>
      </c>
      <c r="K208" s="40"/>
      <c r="L208" s="40"/>
      <c r="M208" s="40"/>
      <c r="N208" s="40"/>
      <c r="O208" s="40"/>
      <c r="P208" s="40"/>
      <c r="Q208" s="40"/>
      <c r="R208" s="40">
        <v>24</v>
      </c>
      <c r="S208" s="16">
        <f t="shared" si="50"/>
        <v>24</v>
      </c>
      <c r="T208" s="16">
        <v>100000</v>
      </c>
      <c r="U208" s="16">
        <f t="shared" si="52"/>
        <v>2400000</v>
      </c>
      <c r="V208" s="4"/>
      <c r="W208" s="4"/>
      <c r="X208" s="4"/>
      <c r="Y208" s="4"/>
    </row>
    <row r="209" spans="2:25" ht="16.5" hidden="1" customHeight="1">
      <c r="B209" s="58">
        <v>46098</v>
      </c>
      <c r="C209" s="59" t="s">
        <v>14</v>
      </c>
      <c r="D209" s="51" t="s">
        <v>100</v>
      </c>
      <c r="E209" s="62" t="s">
        <v>101</v>
      </c>
      <c r="F209" s="5">
        <v>0.41666666666666669</v>
      </c>
      <c r="G209" s="65" t="s">
        <v>104</v>
      </c>
      <c r="H209" s="66"/>
      <c r="I209" s="34">
        <v>50</v>
      </c>
      <c r="J209" s="6">
        <f t="shared" si="46"/>
        <v>0.04</v>
      </c>
      <c r="K209" s="38"/>
      <c r="L209" s="38"/>
      <c r="M209" s="38">
        <v>2</v>
      </c>
      <c r="N209" s="38"/>
      <c r="O209" s="38"/>
      <c r="P209" s="38"/>
      <c r="Q209" s="38"/>
      <c r="R209" s="38"/>
      <c r="S209" s="7">
        <f>SUM(K209:R209)</f>
        <v>2</v>
      </c>
      <c r="T209" s="7">
        <v>100000</v>
      </c>
      <c r="U209" s="7">
        <f>T209*S209</f>
        <v>200000</v>
      </c>
      <c r="V209" s="4"/>
      <c r="W209" s="4"/>
      <c r="X209" s="4"/>
      <c r="Y209" s="4"/>
    </row>
    <row r="210" spans="2:25" ht="18.75" hidden="1">
      <c r="B210" s="58"/>
      <c r="C210" s="60"/>
      <c r="D210" s="52" t="s">
        <v>100</v>
      </c>
      <c r="E210" s="63"/>
      <c r="F210" s="8">
        <v>0.5</v>
      </c>
      <c r="G210" s="67" t="s">
        <v>104</v>
      </c>
      <c r="H210" s="68"/>
      <c r="I210" s="35">
        <v>52</v>
      </c>
      <c r="J210" s="9">
        <f t="shared" si="46"/>
        <v>3.8461538461538464E-2</v>
      </c>
      <c r="K210" s="39"/>
      <c r="L210" s="39"/>
      <c r="M210" s="39">
        <v>2</v>
      </c>
      <c r="N210" s="39"/>
      <c r="O210" s="39"/>
      <c r="P210" s="39"/>
      <c r="Q210" s="39"/>
      <c r="R210" s="39"/>
      <c r="S210" s="10">
        <f t="shared" ref="S210:S220" si="53">SUM(K210:R210)</f>
        <v>2</v>
      </c>
      <c r="T210" s="10">
        <v>100000</v>
      </c>
      <c r="U210" s="10">
        <f t="shared" ref="U210:U211" si="54">T210*S210</f>
        <v>200000</v>
      </c>
      <c r="V210" s="4"/>
      <c r="W210" s="4"/>
      <c r="X210" s="4"/>
      <c r="Y210" s="4"/>
    </row>
    <row r="211" spans="2:25" ht="18.75" hidden="1">
      <c r="B211" s="58"/>
      <c r="C211" s="60"/>
      <c r="D211" s="52" t="s">
        <v>100</v>
      </c>
      <c r="E211" s="63"/>
      <c r="F211" s="8">
        <v>0.58333333333333337</v>
      </c>
      <c r="G211" s="67" t="s">
        <v>104</v>
      </c>
      <c r="H211" s="68"/>
      <c r="I211" s="35">
        <v>54</v>
      </c>
      <c r="J211" s="9">
        <f t="shared" si="46"/>
        <v>1.8518518518518517E-2</v>
      </c>
      <c r="K211" s="39"/>
      <c r="L211" s="39"/>
      <c r="M211" s="39"/>
      <c r="N211" s="39"/>
      <c r="O211" s="39"/>
      <c r="P211" s="39"/>
      <c r="Q211" s="39"/>
      <c r="R211" s="39">
        <v>1</v>
      </c>
      <c r="S211" s="10">
        <f t="shared" si="53"/>
        <v>1</v>
      </c>
      <c r="T211" s="10">
        <v>100000</v>
      </c>
      <c r="U211" s="10">
        <f t="shared" si="54"/>
        <v>100000</v>
      </c>
      <c r="V211" s="4"/>
      <c r="W211" s="4"/>
      <c r="X211" s="4"/>
      <c r="Y211" s="4"/>
    </row>
    <row r="212" spans="2:25" ht="18.75" hidden="1">
      <c r="B212" s="58"/>
      <c r="C212" s="60"/>
      <c r="D212" s="52" t="s">
        <v>100</v>
      </c>
      <c r="E212" s="63"/>
      <c r="F212" s="8">
        <v>0.66666666666666663</v>
      </c>
      <c r="G212" s="67" t="s">
        <v>104</v>
      </c>
      <c r="H212" s="68"/>
      <c r="I212" s="35">
        <v>55</v>
      </c>
      <c r="J212" s="9">
        <f t="shared" si="46"/>
        <v>0</v>
      </c>
      <c r="K212" s="39"/>
      <c r="L212" s="39"/>
      <c r="M212" s="39"/>
      <c r="N212" s="39"/>
      <c r="O212" s="39"/>
      <c r="P212" s="39"/>
      <c r="Q212" s="39"/>
      <c r="R212" s="39"/>
      <c r="S212" s="10">
        <f t="shared" si="53"/>
        <v>0</v>
      </c>
      <c r="T212" s="10">
        <v>100000</v>
      </c>
      <c r="U212" s="10">
        <f>T212*S212</f>
        <v>0</v>
      </c>
      <c r="V212" s="4"/>
      <c r="W212" s="4"/>
      <c r="X212" s="4"/>
      <c r="Y212" s="4"/>
    </row>
    <row r="213" spans="2:25" ht="18.75" hidden="1">
      <c r="B213" s="58"/>
      <c r="C213" s="60"/>
      <c r="D213" s="52" t="s">
        <v>100</v>
      </c>
      <c r="E213" s="63"/>
      <c r="F213" s="8">
        <v>0.75</v>
      </c>
      <c r="G213" s="67" t="s">
        <v>104</v>
      </c>
      <c r="H213" s="68"/>
      <c r="I213" s="35">
        <v>55</v>
      </c>
      <c r="J213" s="9">
        <f t="shared" si="46"/>
        <v>0</v>
      </c>
      <c r="K213" s="39"/>
      <c r="L213" s="39"/>
      <c r="M213" s="39"/>
      <c r="N213" s="39"/>
      <c r="O213" s="39"/>
      <c r="P213" s="39"/>
      <c r="Q213" s="39"/>
      <c r="R213" s="39"/>
      <c r="S213" s="10">
        <f t="shared" si="53"/>
        <v>0</v>
      </c>
      <c r="T213" s="10">
        <v>100000</v>
      </c>
      <c r="U213" s="10">
        <f t="shared" ref="U213:U220" si="55">T213*S213</f>
        <v>0</v>
      </c>
      <c r="V213" s="4"/>
      <c r="W213" s="4"/>
      <c r="X213" s="11"/>
      <c r="Y213" s="4"/>
    </row>
    <row r="214" spans="2:25" ht="18.75" hidden="1">
      <c r="B214" s="58"/>
      <c r="C214" s="60"/>
      <c r="D214" s="53" t="s">
        <v>100</v>
      </c>
      <c r="E214" s="64"/>
      <c r="F214" s="12">
        <v>0.83333333333333337</v>
      </c>
      <c r="G214" s="67" t="s">
        <v>104</v>
      </c>
      <c r="H214" s="68"/>
      <c r="I214" s="36">
        <v>54</v>
      </c>
      <c r="J214" s="9">
        <f t="shared" si="46"/>
        <v>0</v>
      </c>
      <c r="K214" s="41"/>
      <c r="L214" s="41"/>
      <c r="M214" s="41"/>
      <c r="N214" s="41"/>
      <c r="O214" s="41"/>
      <c r="P214" s="41"/>
      <c r="Q214" s="41"/>
      <c r="R214" s="41"/>
      <c r="S214" s="13">
        <f t="shared" si="53"/>
        <v>0</v>
      </c>
      <c r="T214" s="13">
        <v>100000</v>
      </c>
      <c r="U214" s="13">
        <f t="shared" si="55"/>
        <v>0</v>
      </c>
      <c r="V214" s="4"/>
      <c r="Y214" s="4"/>
    </row>
    <row r="215" spans="2:25" ht="18.75" hidden="1">
      <c r="B215" s="58"/>
      <c r="C215" s="60"/>
      <c r="D215" s="51" t="s">
        <v>100</v>
      </c>
      <c r="E215" s="62" t="s">
        <v>102</v>
      </c>
      <c r="F215" s="5">
        <v>0.91666666666666663</v>
      </c>
      <c r="G215" s="65" t="s">
        <v>88</v>
      </c>
      <c r="H215" s="66"/>
      <c r="I215" s="34">
        <v>30</v>
      </c>
      <c r="J215" s="6">
        <f t="shared" si="46"/>
        <v>0.36666666666666664</v>
      </c>
      <c r="K215" s="38">
        <v>1</v>
      </c>
      <c r="L215" s="38"/>
      <c r="M215" s="38"/>
      <c r="N215" s="38"/>
      <c r="O215" s="38"/>
      <c r="P215" s="38"/>
      <c r="Q215" s="38">
        <v>10</v>
      </c>
      <c r="R215" s="38"/>
      <c r="S215" s="7">
        <f t="shared" si="53"/>
        <v>11</v>
      </c>
      <c r="T215" s="7">
        <v>100000</v>
      </c>
      <c r="U215" s="7">
        <f t="shared" si="55"/>
        <v>1100000</v>
      </c>
      <c r="V215" s="4"/>
      <c r="Y215" s="4"/>
    </row>
    <row r="216" spans="2:25" ht="18.75" hidden="1">
      <c r="B216" s="58"/>
      <c r="C216" s="60"/>
      <c r="D216" s="52" t="s">
        <v>100</v>
      </c>
      <c r="E216" s="63"/>
      <c r="F216" s="8">
        <v>1</v>
      </c>
      <c r="G216" s="67" t="s">
        <v>88</v>
      </c>
      <c r="H216" s="68"/>
      <c r="I216" s="35">
        <v>50</v>
      </c>
      <c r="J216" s="9">
        <f t="shared" si="46"/>
        <v>0.02</v>
      </c>
      <c r="K216" s="39">
        <v>1</v>
      </c>
      <c r="L216" s="39"/>
      <c r="M216" s="39"/>
      <c r="N216" s="39"/>
      <c r="O216" s="39"/>
      <c r="P216" s="39"/>
      <c r="Q216" s="39"/>
      <c r="R216" s="39"/>
      <c r="S216" s="10">
        <f t="shared" si="53"/>
        <v>1</v>
      </c>
      <c r="T216" s="10">
        <v>100000</v>
      </c>
      <c r="U216" s="10">
        <f t="shared" si="55"/>
        <v>100000</v>
      </c>
      <c r="V216" s="4"/>
      <c r="Y216" s="4"/>
    </row>
    <row r="217" spans="2:25" ht="18.75" hidden="1">
      <c r="B217" s="58"/>
      <c r="C217" s="60"/>
      <c r="D217" s="52" t="s">
        <v>100</v>
      </c>
      <c r="E217" s="63"/>
      <c r="F217" s="8">
        <v>8.3333333333333329E-2</v>
      </c>
      <c r="G217" s="67" t="s">
        <v>88</v>
      </c>
      <c r="H217" s="68"/>
      <c r="I217" s="35">
        <v>50</v>
      </c>
      <c r="J217" s="9">
        <f t="shared" si="46"/>
        <v>0.02</v>
      </c>
      <c r="K217" s="39"/>
      <c r="L217" s="39"/>
      <c r="M217" s="39">
        <v>1</v>
      </c>
      <c r="N217" s="39"/>
      <c r="O217" s="39"/>
      <c r="P217" s="39"/>
      <c r="Q217" s="39"/>
      <c r="R217" s="39"/>
      <c r="S217" s="10">
        <f t="shared" si="53"/>
        <v>1</v>
      </c>
      <c r="T217" s="10">
        <v>100000</v>
      </c>
      <c r="U217" s="10">
        <f t="shared" si="55"/>
        <v>100000</v>
      </c>
      <c r="V217" s="4"/>
      <c r="Y217" s="4"/>
    </row>
    <row r="218" spans="2:25" ht="18.75" hidden="1">
      <c r="B218" s="58"/>
      <c r="C218" s="60"/>
      <c r="D218" s="52" t="s">
        <v>100</v>
      </c>
      <c r="E218" s="63"/>
      <c r="F218" s="8">
        <v>0.16666666666666666</v>
      </c>
      <c r="G218" s="67" t="s">
        <v>88</v>
      </c>
      <c r="H218" s="68"/>
      <c r="I218" s="35">
        <v>50</v>
      </c>
      <c r="J218" s="9">
        <f t="shared" si="46"/>
        <v>0</v>
      </c>
      <c r="K218" s="39"/>
      <c r="L218" s="39"/>
      <c r="M218" s="39"/>
      <c r="N218" s="39"/>
      <c r="O218" s="39"/>
      <c r="P218" s="39"/>
      <c r="Q218" s="39"/>
      <c r="R218" s="39"/>
      <c r="S218" s="10">
        <f t="shared" si="53"/>
        <v>0</v>
      </c>
      <c r="T218" s="10">
        <v>100000</v>
      </c>
      <c r="U218" s="10">
        <f t="shared" si="55"/>
        <v>0</v>
      </c>
      <c r="V218" s="4"/>
      <c r="W218" s="4"/>
      <c r="X218" s="4"/>
      <c r="Y218" s="4"/>
    </row>
    <row r="219" spans="2:25" ht="18.75" hidden="1">
      <c r="B219" s="58"/>
      <c r="C219" s="60"/>
      <c r="D219" s="52" t="s">
        <v>100</v>
      </c>
      <c r="E219" s="63"/>
      <c r="F219" s="8">
        <v>0.25</v>
      </c>
      <c r="G219" s="67" t="s">
        <v>88</v>
      </c>
      <c r="H219" s="68"/>
      <c r="I219" s="35">
        <v>50</v>
      </c>
      <c r="J219" s="9">
        <f t="shared" si="46"/>
        <v>0</v>
      </c>
      <c r="K219" s="39"/>
      <c r="L219" s="39"/>
      <c r="M219" s="39"/>
      <c r="N219" s="39"/>
      <c r="O219" s="39"/>
      <c r="P219" s="39"/>
      <c r="Q219" s="39"/>
      <c r="R219" s="39"/>
      <c r="S219" s="10">
        <f t="shared" si="53"/>
        <v>0</v>
      </c>
      <c r="T219" s="10">
        <v>100000</v>
      </c>
      <c r="U219" s="10">
        <f t="shared" si="55"/>
        <v>0</v>
      </c>
      <c r="V219" s="4"/>
      <c r="Y219" s="4"/>
    </row>
    <row r="220" spans="2:25" ht="18.75" hidden="1">
      <c r="B220" s="58"/>
      <c r="C220" s="61"/>
      <c r="D220" s="53" t="s">
        <v>100</v>
      </c>
      <c r="E220" s="69"/>
      <c r="F220" s="14">
        <v>0.33333333333333331</v>
      </c>
      <c r="G220" s="67" t="s">
        <v>88</v>
      </c>
      <c r="H220" s="68"/>
      <c r="I220" s="37">
        <v>50</v>
      </c>
      <c r="J220" s="15">
        <f t="shared" si="46"/>
        <v>0</v>
      </c>
      <c r="K220" s="40"/>
      <c r="L220" s="40"/>
      <c r="M220" s="40"/>
      <c r="N220" s="40"/>
      <c r="O220" s="40"/>
      <c r="P220" s="40"/>
      <c r="Q220" s="40"/>
      <c r="R220" s="40"/>
      <c r="S220" s="16">
        <f t="shared" si="53"/>
        <v>0</v>
      </c>
      <c r="T220" s="16">
        <v>100000</v>
      </c>
      <c r="U220" s="16">
        <f t="shared" si="55"/>
        <v>0</v>
      </c>
      <c r="V220" s="4"/>
      <c r="W220" s="4"/>
      <c r="X220" s="4"/>
      <c r="Y220" s="4"/>
    </row>
    <row r="221" spans="2:25" ht="16.5" hidden="1" customHeight="1">
      <c r="B221" s="58">
        <v>46099</v>
      </c>
      <c r="C221" s="59" t="s">
        <v>14</v>
      </c>
      <c r="D221" s="51" t="s">
        <v>100</v>
      </c>
      <c r="E221" s="62" t="s">
        <v>101</v>
      </c>
      <c r="F221" s="5">
        <v>0.41666666666666669</v>
      </c>
      <c r="G221" s="65" t="s">
        <v>103</v>
      </c>
      <c r="H221" s="66"/>
      <c r="I221" s="34">
        <v>50</v>
      </c>
      <c r="J221" s="6">
        <f t="shared" ref="J221:J244" si="56">IFERROR(S221/I221,"")</f>
        <v>0.04</v>
      </c>
      <c r="K221" s="38"/>
      <c r="L221" s="38"/>
      <c r="M221" s="38"/>
      <c r="N221" s="38"/>
      <c r="O221" s="38"/>
      <c r="P221" s="38"/>
      <c r="Q221" s="38"/>
      <c r="R221" s="38">
        <v>2</v>
      </c>
      <c r="S221" s="7">
        <f>SUM(K221:R221)</f>
        <v>2</v>
      </c>
      <c r="T221" s="7">
        <v>100000</v>
      </c>
      <c r="U221" s="7">
        <f>T221*S221</f>
        <v>200000</v>
      </c>
      <c r="V221" s="4"/>
      <c r="W221" s="4"/>
      <c r="X221" s="4"/>
      <c r="Y221" s="4"/>
    </row>
    <row r="222" spans="2:25" ht="18.75" hidden="1">
      <c r="B222" s="58"/>
      <c r="C222" s="60"/>
      <c r="D222" s="52" t="s">
        <v>100</v>
      </c>
      <c r="E222" s="63"/>
      <c r="F222" s="8">
        <v>0.5</v>
      </c>
      <c r="G222" s="67" t="s">
        <v>103</v>
      </c>
      <c r="H222" s="68"/>
      <c r="I222" s="35">
        <v>50</v>
      </c>
      <c r="J222" s="9">
        <f t="shared" si="56"/>
        <v>0.04</v>
      </c>
      <c r="K222" s="39"/>
      <c r="L222" s="39"/>
      <c r="M222" s="39"/>
      <c r="N222" s="39"/>
      <c r="O222" s="39"/>
      <c r="P222" s="39"/>
      <c r="Q222" s="39"/>
      <c r="R222" s="39">
        <v>2</v>
      </c>
      <c r="S222" s="10">
        <f t="shared" ref="S222:S232" si="57">SUM(K222:R222)</f>
        <v>2</v>
      </c>
      <c r="T222" s="10">
        <v>100000</v>
      </c>
      <c r="U222" s="10">
        <f t="shared" ref="U222:U223" si="58">T222*S222</f>
        <v>200000</v>
      </c>
      <c r="V222" s="4"/>
      <c r="W222" s="4"/>
      <c r="X222" s="4"/>
      <c r="Y222" s="4"/>
    </row>
    <row r="223" spans="2:25" ht="18.75" hidden="1">
      <c r="B223" s="58"/>
      <c r="C223" s="60"/>
      <c r="D223" s="52" t="s">
        <v>100</v>
      </c>
      <c r="E223" s="63"/>
      <c r="F223" s="8">
        <v>0.58333333333333337</v>
      </c>
      <c r="G223" s="67" t="s">
        <v>103</v>
      </c>
      <c r="H223" s="68"/>
      <c r="I223" s="35">
        <v>51</v>
      </c>
      <c r="J223" s="9">
        <f t="shared" si="56"/>
        <v>0</v>
      </c>
      <c r="K223" s="39"/>
      <c r="L223" s="39"/>
      <c r="M223" s="39"/>
      <c r="N223" s="39"/>
      <c r="O223" s="39"/>
      <c r="P223" s="39"/>
      <c r="Q223" s="39"/>
      <c r="R223" s="39"/>
      <c r="S223" s="10">
        <f t="shared" si="57"/>
        <v>0</v>
      </c>
      <c r="T223" s="10">
        <v>100000</v>
      </c>
      <c r="U223" s="10">
        <f t="shared" si="58"/>
        <v>0</v>
      </c>
      <c r="V223" s="4"/>
      <c r="W223" s="4"/>
      <c r="X223" s="4"/>
      <c r="Y223" s="4"/>
    </row>
    <row r="224" spans="2:25" ht="18.75" hidden="1">
      <c r="B224" s="58"/>
      <c r="C224" s="60"/>
      <c r="D224" s="52" t="s">
        <v>100</v>
      </c>
      <c r="E224" s="63"/>
      <c r="F224" s="8">
        <v>0.66666666666666663</v>
      </c>
      <c r="G224" s="67" t="s">
        <v>103</v>
      </c>
      <c r="H224" s="68"/>
      <c r="I224" s="35">
        <v>50</v>
      </c>
      <c r="J224" s="9">
        <f t="shared" si="56"/>
        <v>0.04</v>
      </c>
      <c r="K224" s="39"/>
      <c r="L224" s="39"/>
      <c r="M224" s="39"/>
      <c r="N224" s="39"/>
      <c r="O224" s="39"/>
      <c r="P224" s="39"/>
      <c r="Q224" s="39"/>
      <c r="R224" s="39">
        <v>2</v>
      </c>
      <c r="S224" s="10">
        <f t="shared" si="57"/>
        <v>2</v>
      </c>
      <c r="T224" s="10">
        <v>100000</v>
      </c>
      <c r="U224" s="10">
        <f>T224*S224</f>
        <v>200000</v>
      </c>
      <c r="V224" s="4"/>
      <c r="W224" s="4"/>
      <c r="X224" s="4"/>
      <c r="Y224" s="4"/>
    </row>
    <row r="225" spans="2:25" ht="18.75" hidden="1">
      <c r="B225" s="58"/>
      <c r="C225" s="60"/>
      <c r="D225" s="52" t="s">
        <v>100</v>
      </c>
      <c r="E225" s="63"/>
      <c r="F225" s="8">
        <v>0.75</v>
      </c>
      <c r="G225" s="67" t="s">
        <v>103</v>
      </c>
      <c r="H225" s="68"/>
      <c r="I225" s="35">
        <v>19</v>
      </c>
      <c r="J225" s="9">
        <f t="shared" si="56"/>
        <v>0</v>
      </c>
      <c r="K225" s="39"/>
      <c r="L225" s="39"/>
      <c r="M225" s="39"/>
      <c r="N225" s="39"/>
      <c r="O225" s="39"/>
      <c r="P225" s="39"/>
      <c r="Q225" s="39"/>
      <c r="R225" s="39"/>
      <c r="S225" s="10">
        <f t="shared" si="57"/>
        <v>0</v>
      </c>
      <c r="T225" s="10">
        <v>100000</v>
      </c>
      <c r="U225" s="10">
        <f t="shared" ref="U225:U232" si="59">T225*S225</f>
        <v>0</v>
      </c>
      <c r="V225" s="4"/>
      <c r="W225" s="4"/>
      <c r="X225" s="11"/>
      <c r="Y225" s="4"/>
    </row>
    <row r="226" spans="2:25" ht="18.75" hidden="1">
      <c r="B226" s="58"/>
      <c r="C226" s="60"/>
      <c r="D226" s="53" t="s">
        <v>100</v>
      </c>
      <c r="E226" s="64"/>
      <c r="F226" s="12">
        <v>0.83333333333333337</v>
      </c>
      <c r="G226" s="67" t="s">
        <v>103</v>
      </c>
      <c r="H226" s="68"/>
      <c r="I226" s="36"/>
      <c r="J226" s="9" t="str">
        <f t="shared" si="56"/>
        <v/>
      </c>
      <c r="K226" s="41"/>
      <c r="L226" s="41"/>
      <c r="M226" s="41"/>
      <c r="N226" s="41"/>
      <c r="O226" s="41"/>
      <c r="P226" s="41"/>
      <c r="Q226" s="41"/>
      <c r="R226" s="41"/>
      <c r="S226" s="13">
        <f t="shared" si="57"/>
        <v>0</v>
      </c>
      <c r="T226" s="13">
        <v>100000</v>
      </c>
      <c r="U226" s="13">
        <f t="shared" si="59"/>
        <v>0</v>
      </c>
      <c r="V226" s="4"/>
      <c r="Y226" s="4"/>
    </row>
    <row r="227" spans="2:25" ht="18.75" hidden="1">
      <c r="B227" s="58"/>
      <c r="C227" s="60"/>
      <c r="D227" s="51" t="s">
        <v>100</v>
      </c>
      <c r="E227" s="62" t="s">
        <v>102</v>
      </c>
      <c r="F227" s="5">
        <v>0.91666666666666663</v>
      </c>
      <c r="G227" s="65" t="s">
        <v>88</v>
      </c>
      <c r="H227" s="66"/>
      <c r="I227" s="34">
        <v>50</v>
      </c>
      <c r="J227" s="6">
        <f t="shared" si="56"/>
        <v>0.04</v>
      </c>
      <c r="K227" s="38">
        <v>2</v>
      </c>
      <c r="L227" s="38"/>
      <c r="M227" s="38"/>
      <c r="N227" s="38"/>
      <c r="O227" s="38"/>
      <c r="P227" s="38"/>
      <c r="Q227" s="38"/>
      <c r="R227" s="38"/>
      <c r="S227" s="7">
        <f t="shared" si="57"/>
        <v>2</v>
      </c>
      <c r="T227" s="7">
        <v>100000</v>
      </c>
      <c r="U227" s="7">
        <f t="shared" si="59"/>
        <v>200000</v>
      </c>
      <c r="V227" s="4"/>
      <c r="Y227" s="4"/>
    </row>
    <row r="228" spans="2:25" ht="18.75" hidden="1">
      <c r="B228" s="58"/>
      <c r="C228" s="60"/>
      <c r="D228" s="52" t="s">
        <v>100</v>
      </c>
      <c r="E228" s="63"/>
      <c r="F228" s="8">
        <v>1</v>
      </c>
      <c r="G228" s="67" t="s">
        <v>88</v>
      </c>
      <c r="H228" s="68"/>
      <c r="I228" s="35">
        <v>50</v>
      </c>
      <c r="J228" s="9">
        <f t="shared" si="56"/>
        <v>0.04</v>
      </c>
      <c r="K228" s="39">
        <v>1</v>
      </c>
      <c r="L228" s="39"/>
      <c r="M228" s="39">
        <v>1</v>
      </c>
      <c r="N228" s="39"/>
      <c r="O228" s="39"/>
      <c r="P228" s="39"/>
      <c r="Q228" s="39"/>
      <c r="R228" s="39"/>
      <c r="S228" s="10">
        <f t="shared" si="57"/>
        <v>2</v>
      </c>
      <c r="T228" s="10">
        <v>100000</v>
      </c>
      <c r="U228" s="10">
        <f t="shared" si="59"/>
        <v>200000</v>
      </c>
      <c r="V228" s="4"/>
      <c r="Y228" s="4"/>
    </row>
    <row r="229" spans="2:25" ht="18.75" hidden="1">
      <c r="B229" s="58"/>
      <c r="C229" s="60"/>
      <c r="D229" s="52" t="s">
        <v>100</v>
      </c>
      <c r="E229" s="63"/>
      <c r="F229" s="8">
        <v>8.3333333333333329E-2</v>
      </c>
      <c r="G229" s="67" t="s">
        <v>88</v>
      </c>
      <c r="H229" s="68"/>
      <c r="I229" s="35">
        <v>50</v>
      </c>
      <c r="J229" s="9">
        <f t="shared" si="56"/>
        <v>0.04</v>
      </c>
      <c r="K229" s="39">
        <v>2</v>
      </c>
      <c r="L229" s="39"/>
      <c r="M229" s="39"/>
      <c r="N229" s="39"/>
      <c r="O229" s="39"/>
      <c r="P229" s="39"/>
      <c r="Q229" s="39"/>
      <c r="R229" s="39"/>
      <c r="S229" s="10">
        <f t="shared" si="57"/>
        <v>2</v>
      </c>
      <c r="T229" s="10">
        <v>100000</v>
      </c>
      <c r="U229" s="10">
        <f t="shared" si="59"/>
        <v>200000</v>
      </c>
      <c r="V229" s="4"/>
      <c r="Y229" s="4"/>
    </row>
    <row r="230" spans="2:25" ht="18.75" hidden="1">
      <c r="B230" s="58"/>
      <c r="C230" s="60"/>
      <c r="D230" s="52" t="s">
        <v>100</v>
      </c>
      <c r="E230" s="63"/>
      <c r="F230" s="8">
        <v>0.16666666666666666</v>
      </c>
      <c r="G230" s="67" t="s">
        <v>88</v>
      </c>
      <c r="H230" s="68"/>
      <c r="I230" s="35">
        <v>50</v>
      </c>
      <c r="J230" s="9">
        <f t="shared" si="56"/>
        <v>0.04</v>
      </c>
      <c r="K230" s="39"/>
      <c r="L230" s="39"/>
      <c r="M230" s="39">
        <v>2</v>
      </c>
      <c r="N230" s="39"/>
      <c r="O230" s="39"/>
      <c r="P230" s="39"/>
      <c r="Q230" s="39"/>
      <c r="R230" s="39"/>
      <c r="S230" s="10">
        <f t="shared" si="57"/>
        <v>2</v>
      </c>
      <c r="T230" s="10">
        <v>100000</v>
      </c>
      <c r="U230" s="10">
        <f t="shared" si="59"/>
        <v>200000</v>
      </c>
      <c r="V230" s="4"/>
      <c r="W230" s="4"/>
      <c r="X230" s="4"/>
      <c r="Y230" s="4"/>
    </row>
    <row r="231" spans="2:25" ht="18.75" hidden="1">
      <c r="B231" s="58"/>
      <c r="C231" s="60"/>
      <c r="D231" s="52" t="s">
        <v>100</v>
      </c>
      <c r="E231" s="63"/>
      <c r="F231" s="8">
        <v>0.25</v>
      </c>
      <c r="G231" s="67" t="s">
        <v>88</v>
      </c>
      <c r="H231" s="68"/>
      <c r="I231" s="35">
        <v>50</v>
      </c>
      <c r="J231" s="9">
        <f t="shared" si="56"/>
        <v>0</v>
      </c>
      <c r="K231" s="39"/>
      <c r="L231" s="39"/>
      <c r="M231" s="39"/>
      <c r="N231" s="39"/>
      <c r="O231" s="39"/>
      <c r="P231" s="39"/>
      <c r="Q231" s="39"/>
      <c r="R231" s="39"/>
      <c r="S231" s="10">
        <f t="shared" si="57"/>
        <v>0</v>
      </c>
      <c r="T231" s="10">
        <v>100000</v>
      </c>
      <c r="U231" s="10">
        <f t="shared" si="59"/>
        <v>0</v>
      </c>
      <c r="V231" s="4"/>
      <c r="Y231" s="4"/>
    </row>
    <row r="232" spans="2:25" ht="18.75" hidden="1">
      <c r="B232" s="58"/>
      <c r="C232" s="61"/>
      <c r="D232" s="53" t="s">
        <v>100</v>
      </c>
      <c r="E232" s="69"/>
      <c r="F232" s="14">
        <v>0.33333333333333331</v>
      </c>
      <c r="G232" s="67" t="s">
        <v>88</v>
      </c>
      <c r="H232" s="68"/>
      <c r="I232" s="37">
        <v>50</v>
      </c>
      <c r="J232" s="15">
        <f t="shared" si="56"/>
        <v>0</v>
      </c>
      <c r="K232" s="40"/>
      <c r="L232" s="40"/>
      <c r="M232" s="40"/>
      <c r="N232" s="40"/>
      <c r="O232" s="40"/>
      <c r="P232" s="40"/>
      <c r="Q232" s="40"/>
      <c r="R232" s="40"/>
      <c r="S232" s="16">
        <f t="shared" si="57"/>
        <v>0</v>
      </c>
      <c r="T232" s="16">
        <v>100000</v>
      </c>
      <c r="U232" s="16">
        <f t="shared" si="59"/>
        <v>0</v>
      </c>
      <c r="V232" s="4"/>
      <c r="W232" s="4"/>
      <c r="X232" s="4"/>
      <c r="Y232" s="4"/>
    </row>
    <row r="233" spans="2:25" ht="16.5" hidden="1" customHeight="1">
      <c r="B233" s="58">
        <v>46100</v>
      </c>
      <c r="C233" s="59" t="s">
        <v>14</v>
      </c>
      <c r="D233" s="51"/>
      <c r="E233" s="62" t="s">
        <v>101</v>
      </c>
      <c r="F233" s="5">
        <v>0.41666666666666669</v>
      </c>
      <c r="G233" s="65"/>
      <c r="H233" s="66"/>
      <c r="I233" s="34"/>
      <c r="J233" s="6" t="str">
        <f t="shared" si="56"/>
        <v/>
      </c>
      <c r="K233" s="38"/>
      <c r="L233" s="38"/>
      <c r="M233" s="38"/>
      <c r="N233" s="38"/>
      <c r="O233" s="38"/>
      <c r="P233" s="38"/>
      <c r="Q233" s="38"/>
      <c r="R233" s="38"/>
      <c r="S233" s="7">
        <f>SUM(K233:R233)</f>
        <v>0</v>
      </c>
      <c r="T233" s="7">
        <v>100000</v>
      </c>
      <c r="U233" s="7">
        <f>T233*S233</f>
        <v>0</v>
      </c>
      <c r="V233" s="4"/>
      <c r="W233" s="4"/>
      <c r="X233" s="4"/>
      <c r="Y233" s="4"/>
    </row>
    <row r="234" spans="2:25" ht="18.75" hidden="1">
      <c r="B234" s="58"/>
      <c r="C234" s="60"/>
      <c r="D234" s="52"/>
      <c r="E234" s="63"/>
      <c r="F234" s="8">
        <v>0.5</v>
      </c>
      <c r="G234" s="67"/>
      <c r="H234" s="68"/>
      <c r="I234" s="35"/>
      <c r="J234" s="9" t="str">
        <f t="shared" si="56"/>
        <v/>
      </c>
      <c r="K234" s="39"/>
      <c r="L234" s="39"/>
      <c r="M234" s="39"/>
      <c r="N234" s="39"/>
      <c r="O234" s="39"/>
      <c r="P234" s="39"/>
      <c r="Q234" s="39"/>
      <c r="R234" s="39"/>
      <c r="S234" s="10">
        <f t="shared" ref="S234:S244" si="60">SUM(K234:R234)</f>
        <v>0</v>
      </c>
      <c r="T234" s="10">
        <v>100000</v>
      </c>
      <c r="U234" s="10">
        <f t="shared" ref="U234:U235" si="61">T234*S234</f>
        <v>0</v>
      </c>
      <c r="V234" s="4"/>
      <c r="W234" s="4"/>
      <c r="X234" s="4"/>
      <c r="Y234" s="4"/>
    </row>
    <row r="235" spans="2:25" ht="18.75" hidden="1">
      <c r="B235" s="58"/>
      <c r="C235" s="60"/>
      <c r="D235" s="52"/>
      <c r="E235" s="63"/>
      <c r="F235" s="8">
        <v>0.58333333333333337</v>
      </c>
      <c r="G235" s="67"/>
      <c r="H235" s="68"/>
      <c r="I235" s="35"/>
      <c r="J235" s="9" t="str">
        <f t="shared" si="56"/>
        <v/>
      </c>
      <c r="K235" s="39"/>
      <c r="L235" s="39"/>
      <c r="M235" s="39"/>
      <c r="N235" s="39"/>
      <c r="O235" s="39"/>
      <c r="P235" s="39"/>
      <c r="Q235" s="39"/>
      <c r="R235" s="39"/>
      <c r="S235" s="10">
        <f t="shared" si="60"/>
        <v>0</v>
      </c>
      <c r="T235" s="10">
        <v>100000</v>
      </c>
      <c r="U235" s="10">
        <f t="shared" si="61"/>
        <v>0</v>
      </c>
      <c r="V235" s="4"/>
      <c r="W235" s="4"/>
      <c r="X235" s="4"/>
      <c r="Y235" s="4"/>
    </row>
    <row r="236" spans="2:25" ht="18.75" hidden="1">
      <c r="B236" s="58"/>
      <c r="C236" s="60"/>
      <c r="D236" s="52"/>
      <c r="E236" s="63"/>
      <c r="F236" s="8">
        <v>0.66666666666666663</v>
      </c>
      <c r="G236" s="67"/>
      <c r="H236" s="68"/>
      <c r="I236" s="35"/>
      <c r="J236" s="9" t="str">
        <f t="shared" si="56"/>
        <v/>
      </c>
      <c r="K236" s="39"/>
      <c r="L236" s="39"/>
      <c r="M236" s="39"/>
      <c r="N236" s="39"/>
      <c r="O236" s="39"/>
      <c r="P236" s="39"/>
      <c r="Q236" s="39"/>
      <c r="R236" s="39"/>
      <c r="S236" s="10">
        <f t="shared" si="60"/>
        <v>0</v>
      </c>
      <c r="T236" s="10">
        <v>100000</v>
      </c>
      <c r="U236" s="10">
        <f>T236*S236</f>
        <v>0</v>
      </c>
      <c r="V236" s="4"/>
      <c r="W236" s="4"/>
      <c r="X236" s="4"/>
      <c r="Y236" s="4"/>
    </row>
    <row r="237" spans="2:25" ht="18.75" hidden="1">
      <c r="B237" s="58"/>
      <c r="C237" s="60"/>
      <c r="D237" s="52"/>
      <c r="E237" s="63"/>
      <c r="F237" s="8">
        <v>0.75</v>
      </c>
      <c r="G237" s="67"/>
      <c r="H237" s="68"/>
      <c r="I237" s="35"/>
      <c r="J237" s="9" t="str">
        <f t="shared" si="56"/>
        <v/>
      </c>
      <c r="K237" s="39"/>
      <c r="L237" s="39"/>
      <c r="M237" s="39"/>
      <c r="N237" s="39"/>
      <c r="O237" s="39"/>
      <c r="P237" s="39"/>
      <c r="Q237" s="39"/>
      <c r="R237" s="39"/>
      <c r="S237" s="10">
        <f t="shared" si="60"/>
        <v>0</v>
      </c>
      <c r="T237" s="10">
        <v>100000</v>
      </c>
      <c r="U237" s="10">
        <f t="shared" ref="U237:U244" si="62">T237*S237</f>
        <v>0</v>
      </c>
      <c r="V237" s="4"/>
      <c r="W237" s="4"/>
      <c r="X237" s="11"/>
      <c r="Y237" s="4"/>
    </row>
    <row r="238" spans="2:25" ht="18.75" hidden="1">
      <c r="B238" s="58"/>
      <c r="C238" s="60"/>
      <c r="D238" s="53"/>
      <c r="E238" s="64"/>
      <c r="F238" s="12">
        <v>0.83333333333333337</v>
      </c>
      <c r="G238" s="67"/>
      <c r="H238" s="68"/>
      <c r="I238" s="36"/>
      <c r="J238" s="9" t="str">
        <f t="shared" si="56"/>
        <v/>
      </c>
      <c r="K238" s="41"/>
      <c r="L238" s="41"/>
      <c r="M238" s="41"/>
      <c r="N238" s="41"/>
      <c r="O238" s="41"/>
      <c r="P238" s="41"/>
      <c r="Q238" s="41"/>
      <c r="R238" s="41"/>
      <c r="S238" s="13">
        <f t="shared" si="60"/>
        <v>0</v>
      </c>
      <c r="T238" s="13">
        <v>100000</v>
      </c>
      <c r="U238" s="13">
        <f t="shared" si="62"/>
        <v>0</v>
      </c>
      <c r="V238" s="4"/>
      <c r="Y238" s="4"/>
    </row>
    <row r="239" spans="2:25" ht="18.75" hidden="1">
      <c r="B239" s="58"/>
      <c r="C239" s="60"/>
      <c r="D239" s="51"/>
      <c r="E239" s="62" t="s">
        <v>102</v>
      </c>
      <c r="F239" s="5">
        <v>0.91666666666666663</v>
      </c>
      <c r="G239" s="65"/>
      <c r="H239" s="66"/>
      <c r="I239" s="34"/>
      <c r="J239" s="6" t="str">
        <f t="shared" si="56"/>
        <v/>
      </c>
      <c r="K239" s="38"/>
      <c r="L239" s="38"/>
      <c r="M239" s="38"/>
      <c r="N239" s="38"/>
      <c r="O239" s="38"/>
      <c r="P239" s="38"/>
      <c r="Q239" s="38"/>
      <c r="R239" s="38"/>
      <c r="S239" s="7">
        <f t="shared" si="60"/>
        <v>0</v>
      </c>
      <c r="T239" s="7">
        <v>100000</v>
      </c>
      <c r="U239" s="7">
        <f t="shared" si="62"/>
        <v>0</v>
      </c>
      <c r="V239" s="4"/>
      <c r="Y239" s="4"/>
    </row>
    <row r="240" spans="2:25" ht="18.75" hidden="1">
      <c r="B240" s="58"/>
      <c r="C240" s="60"/>
      <c r="D240" s="52"/>
      <c r="E240" s="63"/>
      <c r="F240" s="8">
        <v>1</v>
      </c>
      <c r="G240" s="67"/>
      <c r="H240" s="68"/>
      <c r="I240" s="35"/>
      <c r="J240" s="9" t="str">
        <f t="shared" si="56"/>
        <v/>
      </c>
      <c r="K240" s="39"/>
      <c r="L240" s="39"/>
      <c r="M240" s="39"/>
      <c r="N240" s="39"/>
      <c r="O240" s="39"/>
      <c r="P240" s="39"/>
      <c r="Q240" s="39"/>
      <c r="R240" s="39"/>
      <c r="S240" s="10">
        <f t="shared" si="60"/>
        <v>0</v>
      </c>
      <c r="T240" s="10">
        <v>100000</v>
      </c>
      <c r="U240" s="10">
        <f t="shared" si="62"/>
        <v>0</v>
      </c>
      <c r="V240" s="4"/>
      <c r="Y240" s="4"/>
    </row>
    <row r="241" spans="2:25" ht="18.75" hidden="1">
      <c r="B241" s="58"/>
      <c r="C241" s="60"/>
      <c r="D241" s="52"/>
      <c r="E241" s="63"/>
      <c r="F241" s="8">
        <v>8.3333333333333329E-2</v>
      </c>
      <c r="G241" s="67"/>
      <c r="H241" s="68"/>
      <c r="I241" s="35"/>
      <c r="J241" s="9" t="str">
        <f t="shared" si="56"/>
        <v/>
      </c>
      <c r="K241" s="39"/>
      <c r="L241" s="39"/>
      <c r="M241" s="39"/>
      <c r="N241" s="39"/>
      <c r="O241" s="39"/>
      <c r="P241" s="39"/>
      <c r="Q241" s="39"/>
      <c r="R241" s="39"/>
      <c r="S241" s="10">
        <f t="shared" si="60"/>
        <v>0</v>
      </c>
      <c r="T241" s="10">
        <v>100000</v>
      </c>
      <c r="U241" s="10">
        <f t="shared" si="62"/>
        <v>0</v>
      </c>
      <c r="V241" s="4"/>
      <c r="Y241" s="4"/>
    </row>
    <row r="242" spans="2:25" ht="18.75" hidden="1">
      <c r="B242" s="58"/>
      <c r="C242" s="60"/>
      <c r="D242" s="52"/>
      <c r="E242" s="63"/>
      <c r="F242" s="8">
        <v>0.16666666666666666</v>
      </c>
      <c r="G242" s="67"/>
      <c r="H242" s="68"/>
      <c r="I242" s="35"/>
      <c r="J242" s="9" t="str">
        <f t="shared" si="56"/>
        <v/>
      </c>
      <c r="K242" s="39"/>
      <c r="L242" s="39"/>
      <c r="M242" s="39"/>
      <c r="N242" s="39"/>
      <c r="O242" s="39"/>
      <c r="P242" s="39"/>
      <c r="Q242" s="39"/>
      <c r="R242" s="39"/>
      <c r="S242" s="10">
        <f t="shared" si="60"/>
        <v>0</v>
      </c>
      <c r="T242" s="10">
        <v>100000</v>
      </c>
      <c r="U242" s="10">
        <f t="shared" si="62"/>
        <v>0</v>
      </c>
      <c r="V242" s="4"/>
      <c r="W242" s="4"/>
      <c r="X242" s="4"/>
      <c r="Y242" s="4"/>
    </row>
    <row r="243" spans="2:25" ht="18.75" hidden="1">
      <c r="B243" s="58"/>
      <c r="C243" s="60"/>
      <c r="D243" s="52"/>
      <c r="E243" s="63"/>
      <c r="F243" s="8">
        <v>0.25</v>
      </c>
      <c r="G243" s="67"/>
      <c r="H243" s="68"/>
      <c r="I243" s="35"/>
      <c r="J243" s="9" t="str">
        <f t="shared" si="56"/>
        <v/>
      </c>
      <c r="K243" s="39"/>
      <c r="L243" s="39"/>
      <c r="M243" s="39"/>
      <c r="N243" s="39"/>
      <c r="O243" s="39"/>
      <c r="P243" s="39"/>
      <c r="Q243" s="39"/>
      <c r="R243" s="39"/>
      <c r="S243" s="10">
        <f t="shared" si="60"/>
        <v>0</v>
      </c>
      <c r="T243" s="10">
        <v>100000</v>
      </c>
      <c r="U243" s="10">
        <f t="shared" si="62"/>
        <v>0</v>
      </c>
      <c r="V243" s="4"/>
      <c r="Y243" s="4"/>
    </row>
    <row r="244" spans="2:25" ht="18.75" hidden="1">
      <c r="B244" s="58"/>
      <c r="C244" s="61"/>
      <c r="D244" s="53"/>
      <c r="E244" s="69"/>
      <c r="F244" s="14">
        <v>0.33333333333333331</v>
      </c>
      <c r="G244" s="67"/>
      <c r="H244" s="68"/>
      <c r="I244" s="37"/>
      <c r="J244" s="15" t="str">
        <f t="shared" si="56"/>
        <v/>
      </c>
      <c r="K244" s="40"/>
      <c r="L244" s="40"/>
      <c r="M244" s="40"/>
      <c r="N244" s="40"/>
      <c r="O244" s="40"/>
      <c r="P244" s="40"/>
      <c r="Q244" s="40"/>
      <c r="R244" s="40"/>
      <c r="S244" s="16">
        <f t="shared" si="60"/>
        <v>0</v>
      </c>
      <c r="T244" s="16">
        <v>100000</v>
      </c>
      <c r="U244" s="16">
        <f t="shared" si="62"/>
        <v>0</v>
      </c>
      <c r="V244" s="4"/>
      <c r="W244" s="4"/>
      <c r="X244" s="4"/>
      <c r="Y244" s="4"/>
    </row>
    <row r="245" spans="2:25" ht="34.5" hidden="1" customHeight="1">
      <c r="B245" s="58">
        <v>46101</v>
      </c>
      <c r="C245" s="59" t="s">
        <v>14</v>
      </c>
      <c r="D245" s="51" t="s">
        <v>41</v>
      </c>
      <c r="E245" s="62" t="s">
        <v>101</v>
      </c>
      <c r="F245" s="5">
        <v>0.41666666666666669</v>
      </c>
      <c r="G245" s="65" t="s">
        <v>109</v>
      </c>
      <c r="H245" s="66"/>
      <c r="I245" s="34">
        <v>90</v>
      </c>
      <c r="J245" s="6">
        <f t="shared" ref="J245:J280" si="63">IFERROR(S245/I245,"")</f>
        <v>4.4444444444444446E-2</v>
      </c>
      <c r="K245" s="38"/>
      <c r="L245" s="38"/>
      <c r="M245" s="38"/>
      <c r="N245" s="38"/>
      <c r="O245" s="38"/>
      <c r="P245" s="38"/>
      <c r="Q245" s="38">
        <v>4</v>
      </c>
      <c r="R245" s="38"/>
      <c r="S245" s="7">
        <f>SUM(K245:R245)</f>
        <v>4</v>
      </c>
      <c r="T245" s="7">
        <v>100000</v>
      </c>
      <c r="U245" s="7">
        <f>T245*S245</f>
        <v>400000</v>
      </c>
      <c r="V245" s="4"/>
      <c r="W245" s="4"/>
      <c r="X245" s="4"/>
      <c r="Y245" s="4"/>
    </row>
    <row r="246" spans="2:25" ht="37.5" hidden="1">
      <c r="B246" s="58"/>
      <c r="C246" s="60"/>
      <c r="D246" s="52" t="s">
        <v>41</v>
      </c>
      <c r="E246" s="63"/>
      <c r="F246" s="8">
        <v>0.5</v>
      </c>
      <c r="G246" s="67" t="s">
        <v>109</v>
      </c>
      <c r="H246" s="68"/>
      <c r="I246" s="35">
        <v>60</v>
      </c>
      <c r="J246" s="9">
        <f t="shared" si="63"/>
        <v>6.6666666666666666E-2</v>
      </c>
      <c r="K246" s="39"/>
      <c r="L246" s="39"/>
      <c r="M246" s="39"/>
      <c r="N246" s="39"/>
      <c r="O246" s="39"/>
      <c r="P246" s="39"/>
      <c r="Q246" s="39">
        <v>4</v>
      </c>
      <c r="R246" s="39"/>
      <c r="S246" s="10">
        <f t="shared" ref="S246:S256" si="64">SUM(K246:R246)</f>
        <v>4</v>
      </c>
      <c r="T246" s="10">
        <v>100000</v>
      </c>
      <c r="U246" s="10">
        <f t="shared" ref="U246:U247" si="65">T246*S246</f>
        <v>400000</v>
      </c>
      <c r="V246" s="4"/>
      <c r="W246" s="4"/>
      <c r="X246" s="4"/>
      <c r="Y246" s="4"/>
    </row>
    <row r="247" spans="2:25" ht="37.5" hidden="1">
      <c r="B247" s="58"/>
      <c r="C247" s="60"/>
      <c r="D247" s="52" t="s">
        <v>41</v>
      </c>
      <c r="E247" s="63"/>
      <c r="F247" s="8">
        <v>0.58333333333333337</v>
      </c>
      <c r="G247" s="67" t="s">
        <v>109</v>
      </c>
      <c r="H247" s="68"/>
      <c r="I247" s="35">
        <v>150</v>
      </c>
      <c r="J247" s="9">
        <f t="shared" si="63"/>
        <v>0</v>
      </c>
      <c r="K247" s="39"/>
      <c r="L247" s="39"/>
      <c r="M247" s="39"/>
      <c r="N247" s="39"/>
      <c r="O247" s="39"/>
      <c r="P247" s="39"/>
      <c r="Q247" s="39"/>
      <c r="R247" s="39"/>
      <c r="S247" s="10">
        <f t="shared" si="64"/>
        <v>0</v>
      </c>
      <c r="T247" s="10">
        <v>100000</v>
      </c>
      <c r="U247" s="10">
        <f t="shared" si="65"/>
        <v>0</v>
      </c>
      <c r="V247" s="4"/>
      <c r="W247" s="4"/>
      <c r="X247" s="4"/>
      <c r="Y247" s="4"/>
    </row>
    <row r="248" spans="2:25" ht="37.5" hidden="1">
      <c r="B248" s="58"/>
      <c r="C248" s="60"/>
      <c r="D248" s="52" t="s">
        <v>41</v>
      </c>
      <c r="E248" s="63"/>
      <c r="F248" s="8">
        <v>0.66666666666666663</v>
      </c>
      <c r="G248" s="67" t="s">
        <v>109</v>
      </c>
      <c r="H248" s="68"/>
      <c r="I248" s="35">
        <v>130</v>
      </c>
      <c r="J248" s="9">
        <f t="shared" si="63"/>
        <v>3.0769230769230771E-2</v>
      </c>
      <c r="K248" s="39"/>
      <c r="L248" s="39"/>
      <c r="M248" s="39"/>
      <c r="N248" s="39"/>
      <c r="O248" s="39"/>
      <c r="P248" s="39"/>
      <c r="Q248" s="39">
        <v>4</v>
      </c>
      <c r="R248" s="39"/>
      <c r="S248" s="10">
        <f t="shared" si="64"/>
        <v>4</v>
      </c>
      <c r="T248" s="10">
        <v>100000</v>
      </c>
      <c r="U248" s="10">
        <f>T248*S248</f>
        <v>400000</v>
      </c>
      <c r="V248" s="4"/>
      <c r="W248" s="4"/>
      <c r="X248" s="4"/>
      <c r="Y248" s="4"/>
    </row>
    <row r="249" spans="2:25" ht="37.5" hidden="1">
      <c r="B249" s="58"/>
      <c r="C249" s="60"/>
      <c r="D249" s="52" t="s">
        <v>41</v>
      </c>
      <c r="E249" s="63"/>
      <c r="F249" s="8">
        <v>0.75</v>
      </c>
      <c r="G249" s="67" t="s">
        <v>109</v>
      </c>
      <c r="H249" s="68"/>
      <c r="I249" s="35">
        <v>150</v>
      </c>
      <c r="J249" s="9">
        <f t="shared" si="63"/>
        <v>0</v>
      </c>
      <c r="K249" s="39"/>
      <c r="L249" s="39"/>
      <c r="M249" s="39"/>
      <c r="N249" s="39"/>
      <c r="O249" s="39"/>
      <c r="P249" s="39"/>
      <c r="Q249" s="39"/>
      <c r="R249" s="39"/>
      <c r="S249" s="10">
        <f t="shared" si="64"/>
        <v>0</v>
      </c>
      <c r="T249" s="10">
        <v>100000</v>
      </c>
      <c r="U249" s="10">
        <f t="shared" ref="U249:U256" si="66">T249*S249</f>
        <v>0</v>
      </c>
      <c r="V249" s="4"/>
      <c r="W249" s="4"/>
      <c r="X249" s="11"/>
      <c r="Y249" s="4"/>
    </row>
    <row r="250" spans="2:25" ht="37.5" hidden="1">
      <c r="B250" s="58"/>
      <c r="C250" s="60"/>
      <c r="D250" s="53" t="s">
        <v>41</v>
      </c>
      <c r="E250" s="64"/>
      <c r="F250" s="12">
        <v>0.83333333333333337</v>
      </c>
      <c r="G250" s="67" t="s">
        <v>109</v>
      </c>
      <c r="H250" s="68"/>
      <c r="I250" s="36">
        <v>140</v>
      </c>
      <c r="J250" s="9">
        <f t="shared" si="63"/>
        <v>0</v>
      </c>
      <c r="K250" s="41"/>
      <c r="L250" s="41"/>
      <c r="M250" s="41"/>
      <c r="N250" s="41"/>
      <c r="O250" s="41"/>
      <c r="P250" s="41"/>
      <c r="Q250" s="41"/>
      <c r="R250" s="41"/>
      <c r="S250" s="13">
        <f t="shared" si="64"/>
        <v>0</v>
      </c>
      <c r="T250" s="13">
        <v>100000</v>
      </c>
      <c r="U250" s="13">
        <f t="shared" si="66"/>
        <v>0</v>
      </c>
      <c r="V250" s="4"/>
      <c r="Y250" s="4"/>
    </row>
    <row r="251" spans="2:25" ht="37.5" hidden="1">
      <c r="B251" s="58"/>
      <c r="C251" s="60"/>
      <c r="D251" s="51" t="s">
        <v>41</v>
      </c>
      <c r="E251" s="62" t="s">
        <v>102</v>
      </c>
      <c r="F251" s="5">
        <v>0.91666666666666663</v>
      </c>
      <c r="G251" s="65" t="s">
        <v>87</v>
      </c>
      <c r="H251" s="66"/>
      <c r="I251" s="34"/>
      <c r="J251" s="6" t="str">
        <f t="shared" si="63"/>
        <v/>
      </c>
      <c r="K251" s="38"/>
      <c r="L251" s="38"/>
      <c r="M251" s="38"/>
      <c r="N251" s="38"/>
      <c r="O251" s="38"/>
      <c r="P251" s="38"/>
      <c r="Q251" s="38"/>
      <c r="R251" s="38"/>
      <c r="S251" s="7">
        <f t="shared" si="64"/>
        <v>0</v>
      </c>
      <c r="T251" s="7">
        <v>100000</v>
      </c>
      <c r="U251" s="7">
        <f t="shared" si="66"/>
        <v>0</v>
      </c>
      <c r="V251" s="4"/>
      <c r="Y251" s="4"/>
    </row>
    <row r="252" spans="2:25" ht="37.5" hidden="1">
      <c r="B252" s="58"/>
      <c r="C252" s="60"/>
      <c r="D252" s="52" t="s">
        <v>41</v>
      </c>
      <c r="E252" s="63"/>
      <c r="F252" s="8">
        <v>1</v>
      </c>
      <c r="G252" s="67" t="s">
        <v>87</v>
      </c>
      <c r="H252" s="68"/>
      <c r="I252" s="35"/>
      <c r="J252" s="9" t="str">
        <f t="shared" si="63"/>
        <v/>
      </c>
      <c r="K252" s="39"/>
      <c r="L252" s="39"/>
      <c r="M252" s="39"/>
      <c r="N252" s="39"/>
      <c r="O252" s="39"/>
      <c r="P252" s="39"/>
      <c r="Q252" s="39"/>
      <c r="R252" s="39"/>
      <c r="S252" s="10">
        <f t="shared" si="64"/>
        <v>0</v>
      </c>
      <c r="T252" s="10">
        <v>100000</v>
      </c>
      <c r="U252" s="10">
        <f t="shared" si="66"/>
        <v>0</v>
      </c>
      <c r="V252" s="4"/>
      <c r="Y252" s="4"/>
    </row>
    <row r="253" spans="2:25" ht="37.5" hidden="1">
      <c r="B253" s="58"/>
      <c r="C253" s="60"/>
      <c r="D253" s="52" t="s">
        <v>41</v>
      </c>
      <c r="E253" s="63"/>
      <c r="F253" s="8">
        <v>8.3333333333333329E-2</v>
      </c>
      <c r="G253" s="67" t="s">
        <v>87</v>
      </c>
      <c r="H253" s="68"/>
      <c r="I253" s="35"/>
      <c r="J253" s="9" t="str">
        <f t="shared" si="63"/>
        <v/>
      </c>
      <c r="K253" s="39"/>
      <c r="L253" s="39"/>
      <c r="M253" s="39"/>
      <c r="N253" s="39"/>
      <c r="O253" s="39"/>
      <c r="P253" s="39"/>
      <c r="Q253" s="39"/>
      <c r="R253" s="39"/>
      <c r="S253" s="10">
        <f t="shared" si="64"/>
        <v>0</v>
      </c>
      <c r="T253" s="10">
        <v>100000</v>
      </c>
      <c r="U253" s="10">
        <f t="shared" si="66"/>
        <v>0</v>
      </c>
      <c r="V253" s="4"/>
      <c r="Y253" s="4"/>
    </row>
    <row r="254" spans="2:25" ht="37.5" hidden="1">
      <c r="B254" s="58"/>
      <c r="C254" s="60"/>
      <c r="D254" s="52" t="s">
        <v>41</v>
      </c>
      <c r="E254" s="63"/>
      <c r="F254" s="8">
        <v>0.16666666666666666</v>
      </c>
      <c r="G254" s="67" t="s">
        <v>87</v>
      </c>
      <c r="H254" s="68"/>
      <c r="I254" s="35">
        <v>100</v>
      </c>
      <c r="J254" s="9">
        <f t="shared" si="63"/>
        <v>0.15</v>
      </c>
      <c r="K254" s="39"/>
      <c r="L254" s="39"/>
      <c r="M254" s="39"/>
      <c r="N254" s="39"/>
      <c r="O254" s="39"/>
      <c r="P254" s="39"/>
      <c r="Q254" s="39">
        <v>15</v>
      </c>
      <c r="R254" s="39"/>
      <c r="S254" s="10">
        <f t="shared" si="64"/>
        <v>15</v>
      </c>
      <c r="T254" s="10">
        <v>100000</v>
      </c>
      <c r="U254" s="10">
        <f t="shared" si="66"/>
        <v>1500000</v>
      </c>
      <c r="V254" s="4"/>
      <c r="W254" s="4"/>
      <c r="X254" s="4"/>
      <c r="Y254" s="4"/>
    </row>
    <row r="255" spans="2:25" ht="37.5" hidden="1">
      <c r="B255" s="58"/>
      <c r="C255" s="60"/>
      <c r="D255" s="52" t="s">
        <v>41</v>
      </c>
      <c r="E255" s="63"/>
      <c r="F255" s="8">
        <v>0.25</v>
      </c>
      <c r="G255" s="67" t="s">
        <v>87</v>
      </c>
      <c r="H255" s="68"/>
      <c r="I255" s="35">
        <v>130</v>
      </c>
      <c r="J255" s="9">
        <f t="shared" si="63"/>
        <v>1.5384615384615385E-2</v>
      </c>
      <c r="K255" s="39"/>
      <c r="L255" s="39"/>
      <c r="M255" s="39"/>
      <c r="N255" s="39"/>
      <c r="O255" s="39"/>
      <c r="P255" s="39"/>
      <c r="Q255" s="39"/>
      <c r="R255" s="39">
        <v>2</v>
      </c>
      <c r="S255" s="10">
        <f t="shared" si="64"/>
        <v>2</v>
      </c>
      <c r="T255" s="10">
        <v>100000</v>
      </c>
      <c r="U255" s="10">
        <f t="shared" si="66"/>
        <v>200000</v>
      </c>
      <c r="V255" s="4"/>
      <c r="Y255" s="4"/>
    </row>
    <row r="256" spans="2:25" ht="37.5" hidden="1">
      <c r="B256" s="58"/>
      <c r="C256" s="61"/>
      <c r="D256" s="53" t="s">
        <v>41</v>
      </c>
      <c r="E256" s="69"/>
      <c r="F256" s="14">
        <v>0.33333333333333331</v>
      </c>
      <c r="G256" s="67" t="s">
        <v>87</v>
      </c>
      <c r="H256" s="68"/>
      <c r="I256" s="37">
        <v>130</v>
      </c>
      <c r="J256" s="15">
        <f t="shared" si="63"/>
        <v>0</v>
      </c>
      <c r="K256" s="40"/>
      <c r="L256" s="40"/>
      <c r="M256" s="40"/>
      <c r="N256" s="40"/>
      <c r="O256" s="40"/>
      <c r="P256" s="40"/>
      <c r="Q256" s="40"/>
      <c r="R256" s="40"/>
      <c r="S256" s="16">
        <f t="shared" si="64"/>
        <v>0</v>
      </c>
      <c r="T256" s="16">
        <v>100000</v>
      </c>
      <c r="U256" s="16">
        <f t="shared" si="66"/>
        <v>0</v>
      </c>
      <c r="V256" s="4"/>
      <c r="W256" s="4"/>
      <c r="X256" s="4"/>
      <c r="Y256" s="4"/>
    </row>
    <row r="257" spans="2:25" ht="33.75" hidden="1" customHeight="1">
      <c r="B257" s="58">
        <v>46102</v>
      </c>
      <c r="C257" s="59" t="s">
        <v>14</v>
      </c>
      <c r="D257" s="51" t="s">
        <v>41</v>
      </c>
      <c r="E257" s="62" t="s">
        <v>101</v>
      </c>
      <c r="F257" s="5">
        <v>0.41666666666666669</v>
      </c>
      <c r="G257" s="65" t="s">
        <v>80</v>
      </c>
      <c r="H257" s="66"/>
      <c r="I257" s="34">
        <v>160</v>
      </c>
      <c r="J257" s="6">
        <f t="shared" si="63"/>
        <v>0</v>
      </c>
      <c r="K257" s="38"/>
      <c r="L257" s="38"/>
      <c r="M257" s="38"/>
      <c r="N257" s="38"/>
      <c r="O257" s="38"/>
      <c r="P257" s="38"/>
      <c r="Q257" s="38"/>
      <c r="R257" s="38"/>
      <c r="S257" s="7">
        <f>SUM(K257:R257)</f>
        <v>0</v>
      </c>
      <c r="T257" s="7">
        <v>100000</v>
      </c>
      <c r="U257" s="7">
        <f>T257*S257</f>
        <v>0</v>
      </c>
      <c r="V257" s="4"/>
      <c r="W257" s="4"/>
      <c r="X257" s="4"/>
      <c r="Y257" s="4"/>
    </row>
    <row r="258" spans="2:25" ht="37.5" hidden="1">
      <c r="B258" s="58"/>
      <c r="C258" s="60"/>
      <c r="D258" s="52" t="s">
        <v>41</v>
      </c>
      <c r="E258" s="63"/>
      <c r="F258" s="8">
        <v>0.5</v>
      </c>
      <c r="G258" s="67" t="s">
        <v>80</v>
      </c>
      <c r="H258" s="68"/>
      <c r="I258" s="35">
        <v>160</v>
      </c>
      <c r="J258" s="9">
        <f t="shared" si="63"/>
        <v>0</v>
      </c>
      <c r="K258" s="39"/>
      <c r="L258" s="39"/>
      <c r="M258" s="39"/>
      <c r="N258" s="39"/>
      <c r="O258" s="39"/>
      <c r="P258" s="39"/>
      <c r="Q258" s="39"/>
      <c r="R258" s="39"/>
      <c r="S258" s="10">
        <f t="shared" ref="S258:S268" si="67">SUM(K258:R258)</f>
        <v>0</v>
      </c>
      <c r="T258" s="10">
        <v>100000</v>
      </c>
      <c r="U258" s="10">
        <f t="shared" ref="U258:U259" si="68">T258*S258</f>
        <v>0</v>
      </c>
      <c r="V258" s="4"/>
      <c r="W258" s="4"/>
      <c r="X258" s="4"/>
      <c r="Y258" s="4"/>
    </row>
    <row r="259" spans="2:25" ht="37.5" hidden="1">
      <c r="B259" s="58"/>
      <c r="C259" s="60"/>
      <c r="D259" s="52" t="s">
        <v>41</v>
      </c>
      <c r="E259" s="63"/>
      <c r="F259" s="8">
        <v>0.58333333333333337</v>
      </c>
      <c r="G259" s="67" t="s">
        <v>80</v>
      </c>
      <c r="H259" s="68"/>
      <c r="I259" s="35">
        <v>160</v>
      </c>
      <c r="J259" s="9">
        <f t="shared" si="63"/>
        <v>0</v>
      </c>
      <c r="K259" s="39"/>
      <c r="L259" s="39"/>
      <c r="M259" s="39"/>
      <c r="N259" s="39"/>
      <c r="O259" s="39"/>
      <c r="P259" s="39"/>
      <c r="Q259" s="39"/>
      <c r="R259" s="39"/>
      <c r="S259" s="10">
        <f t="shared" si="67"/>
        <v>0</v>
      </c>
      <c r="T259" s="10">
        <v>100000</v>
      </c>
      <c r="U259" s="10">
        <f t="shared" si="68"/>
        <v>0</v>
      </c>
      <c r="V259" s="4"/>
      <c r="W259" s="4"/>
      <c r="X259" s="4"/>
      <c r="Y259" s="4"/>
    </row>
    <row r="260" spans="2:25" ht="37.5" hidden="1">
      <c r="B260" s="58"/>
      <c r="C260" s="60"/>
      <c r="D260" s="52" t="s">
        <v>41</v>
      </c>
      <c r="E260" s="63"/>
      <c r="F260" s="8">
        <v>0.66666666666666663</v>
      </c>
      <c r="G260" s="67" t="s">
        <v>80</v>
      </c>
      <c r="H260" s="68"/>
      <c r="I260" s="35">
        <v>160</v>
      </c>
      <c r="J260" s="9">
        <f t="shared" si="63"/>
        <v>0</v>
      </c>
      <c r="K260" s="39"/>
      <c r="L260" s="39"/>
      <c r="M260" s="39"/>
      <c r="N260" s="39"/>
      <c r="O260" s="39"/>
      <c r="P260" s="39"/>
      <c r="Q260" s="39"/>
      <c r="R260" s="39"/>
      <c r="S260" s="10">
        <f t="shared" si="67"/>
        <v>0</v>
      </c>
      <c r="T260" s="10">
        <v>100000</v>
      </c>
      <c r="U260" s="10">
        <f>T260*S260</f>
        <v>0</v>
      </c>
      <c r="V260" s="4"/>
      <c r="W260" s="4"/>
      <c r="X260" s="4"/>
      <c r="Y260" s="4"/>
    </row>
    <row r="261" spans="2:25" ht="37.5" hidden="1">
      <c r="B261" s="58"/>
      <c r="C261" s="60"/>
      <c r="D261" s="52" t="s">
        <v>41</v>
      </c>
      <c r="E261" s="63"/>
      <c r="F261" s="8">
        <v>0.75</v>
      </c>
      <c r="G261" s="67" t="s">
        <v>80</v>
      </c>
      <c r="H261" s="68"/>
      <c r="I261" s="35">
        <v>160</v>
      </c>
      <c r="J261" s="9">
        <f t="shared" si="63"/>
        <v>0</v>
      </c>
      <c r="K261" s="39"/>
      <c r="L261" s="39"/>
      <c r="M261" s="39"/>
      <c r="N261" s="39"/>
      <c r="O261" s="39"/>
      <c r="P261" s="39"/>
      <c r="Q261" s="39"/>
      <c r="R261" s="39"/>
      <c r="S261" s="10">
        <f t="shared" si="67"/>
        <v>0</v>
      </c>
      <c r="T261" s="10">
        <v>100000</v>
      </c>
      <c r="U261" s="10">
        <f t="shared" ref="U261:U268" si="69">T261*S261</f>
        <v>0</v>
      </c>
      <c r="V261" s="4"/>
      <c r="W261" s="4"/>
      <c r="X261" s="11"/>
      <c r="Y261" s="4"/>
    </row>
    <row r="262" spans="2:25" ht="37.5" hidden="1">
      <c r="B262" s="58"/>
      <c r="C262" s="60"/>
      <c r="D262" s="53" t="s">
        <v>41</v>
      </c>
      <c r="E262" s="64"/>
      <c r="F262" s="12">
        <v>0.83333333333333337</v>
      </c>
      <c r="G262" s="67" t="s">
        <v>80</v>
      </c>
      <c r="H262" s="68"/>
      <c r="I262" s="36">
        <v>120</v>
      </c>
      <c r="J262" s="9">
        <f t="shared" si="63"/>
        <v>0</v>
      </c>
      <c r="K262" s="41"/>
      <c r="L262" s="41"/>
      <c r="M262" s="41"/>
      <c r="N262" s="41"/>
      <c r="O262" s="41"/>
      <c r="P262" s="41"/>
      <c r="Q262" s="41"/>
      <c r="R262" s="41"/>
      <c r="S262" s="13">
        <f t="shared" si="67"/>
        <v>0</v>
      </c>
      <c r="T262" s="13">
        <v>100000</v>
      </c>
      <c r="U262" s="13">
        <f t="shared" si="69"/>
        <v>0</v>
      </c>
      <c r="V262" s="4"/>
      <c r="Y262" s="4"/>
    </row>
    <row r="263" spans="2:25" ht="37.5" hidden="1">
      <c r="B263" s="58"/>
      <c r="C263" s="60"/>
      <c r="D263" s="51" t="s">
        <v>41</v>
      </c>
      <c r="E263" s="62" t="s">
        <v>102</v>
      </c>
      <c r="F263" s="5">
        <v>0.91666666666666663</v>
      </c>
      <c r="G263" s="65" t="s">
        <v>87</v>
      </c>
      <c r="H263" s="66"/>
      <c r="I263" s="34">
        <v>160</v>
      </c>
      <c r="J263" s="6">
        <f t="shared" si="63"/>
        <v>6.2500000000000003E-3</v>
      </c>
      <c r="K263" s="38"/>
      <c r="L263" s="38"/>
      <c r="M263" s="38"/>
      <c r="N263" s="38"/>
      <c r="O263" s="38"/>
      <c r="P263" s="38"/>
      <c r="Q263" s="38"/>
      <c r="R263" s="38">
        <v>1</v>
      </c>
      <c r="S263" s="7">
        <f t="shared" si="67"/>
        <v>1</v>
      </c>
      <c r="T263" s="7">
        <v>100000</v>
      </c>
      <c r="U263" s="7">
        <f t="shared" si="69"/>
        <v>100000</v>
      </c>
      <c r="V263" s="4"/>
      <c r="Y263" s="4"/>
    </row>
    <row r="264" spans="2:25" ht="37.5" hidden="1">
      <c r="B264" s="58"/>
      <c r="C264" s="60"/>
      <c r="D264" s="52" t="s">
        <v>41</v>
      </c>
      <c r="E264" s="63"/>
      <c r="F264" s="8">
        <v>1</v>
      </c>
      <c r="G264" s="67" t="s">
        <v>87</v>
      </c>
      <c r="H264" s="68"/>
      <c r="I264" s="35">
        <v>160</v>
      </c>
      <c r="J264" s="9">
        <f t="shared" si="63"/>
        <v>6.2500000000000003E-3</v>
      </c>
      <c r="K264" s="39"/>
      <c r="L264" s="39"/>
      <c r="M264" s="39"/>
      <c r="N264" s="39"/>
      <c r="O264" s="39"/>
      <c r="P264" s="39"/>
      <c r="Q264" s="39"/>
      <c r="R264" s="39">
        <v>1</v>
      </c>
      <c r="S264" s="10">
        <f t="shared" si="67"/>
        <v>1</v>
      </c>
      <c r="T264" s="10">
        <v>100000</v>
      </c>
      <c r="U264" s="10">
        <f t="shared" si="69"/>
        <v>100000</v>
      </c>
      <c r="V264" s="4"/>
      <c r="Y264" s="4"/>
    </row>
    <row r="265" spans="2:25" ht="37.5" hidden="1">
      <c r="B265" s="58"/>
      <c r="C265" s="60"/>
      <c r="D265" s="52" t="s">
        <v>41</v>
      </c>
      <c r="E265" s="63"/>
      <c r="F265" s="8">
        <v>8.3333333333333329E-2</v>
      </c>
      <c r="G265" s="67" t="s">
        <v>87</v>
      </c>
      <c r="H265" s="68"/>
      <c r="I265" s="35">
        <v>160</v>
      </c>
      <c r="J265" s="9">
        <f t="shared" si="63"/>
        <v>6.2500000000000003E-3</v>
      </c>
      <c r="K265" s="39"/>
      <c r="L265" s="39"/>
      <c r="M265" s="39"/>
      <c r="N265" s="39"/>
      <c r="O265" s="39"/>
      <c r="P265" s="39"/>
      <c r="Q265" s="39"/>
      <c r="R265" s="39">
        <v>1</v>
      </c>
      <c r="S265" s="10">
        <f t="shared" si="67"/>
        <v>1</v>
      </c>
      <c r="T265" s="10">
        <v>100000</v>
      </c>
      <c r="U265" s="10">
        <f t="shared" si="69"/>
        <v>100000</v>
      </c>
      <c r="V265" s="4"/>
      <c r="Y265" s="4"/>
    </row>
    <row r="266" spans="2:25" ht="37.5" hidden="1">
      <c r="B266" s="58"/>
      <c r="C266" s="60"/>
      <c r="D266" s="52" t="s">
        <v>41</v>
      </c>
      <c r="E266" s="63"/>
      <c r="F266" s="8">
        <v>0.16666666666666666</v>
      </c>
      <c r="G266" s="67" t="s">
        <v>87</v>
      </c>
      <c r="H266" s="68"/>
      <c r="I266" s="35">
        <v>160</v>
      </c>
      <c r="J266" s="9">
        <f t="shared" si="63"/>
        <v>6.2500000000000003E-3</v>
      </c>
      <c r="K266" s="39"/>
      <c r="L266" s="39"/>
      <c r="M266" s="39"/>
      <c r="N266" s="39"/>
      <c r="O266" s="39"/>
      <c r="P266" s="39"/>
      <c r="Q266" s="39"/>
      <c r="R266" s="39">
        <v>1</v>
      </c>
      <c r="S266" s="10">
        <f t="shared" si="67"/>
        <v>1</v>
      </c>
      <c r="T266" s="10">
        <v>100000</v>
      </c>
      <c r="U266" s="10">
        <f t="shared" si="69"/>
        <v>100000</v>
      </c>
      <c r="V266" s="4"/>
      <c r="W266" s="4"/>
      <c r="X266" s="4"/>
      <c r="Y266" s="4"/>
    </row>
    <row r="267" spans="2:25" ht="37.5" hidden="1">
      <c r="B267" s="58"/>
      <c r="C267" s="60"/>
      <c r="D267" s="52" t="s">
        <v>41</v>
      </c>
      <c r="E267" s="63"/>
      <c r="F267" s="8">
        <v>0.25</v>
      </c>
      <c r="G267" s="67" t="s">
        <v>87</v>
      </c>
      <c r="H267" s="68"/>
      <c r="I267" s="35">
        <v>160</v>
      </c>
      <c r="J267" s="9">
        <f t="shared" si="63"/>
        <v>6.2500000000000003E-3</v>
      </c>
      <c r="K267" s="39"/>
      <c r="L267" s="39"/>
      <c r="M267" s="39"/>
      <c r="N267" s="39"/>
      <c r="O267" s="39"/>
      <c r="P267" s="39"/>
      <c r="Q267" s="39"/>
      <c r="R267" s="39">
        <v>1</v>
      </c>
      <c r="S267" s="10">
        <f t="shared" si="67"/>
        <v>1</v>
      </c>
      <c r="T267" s="10">
        <v>100000</v>
      </c>
      <c r="U267" s="10">
        <f t="shared" si="69"/>
        <v>100000</v>
      </c>
      <c r="V267" s="4"/>
      <c r="Y267" s="4"/>
    </row>
    <row r="268" spans="2:25" ht="37.5" hidden="1">
      <c r="B268" s="58"/>
      <c r="C268" s="61"/>
      <c r="D268" s="53" t="s">
        <v>41</v>
      </c>
      <c r="E268" s="69"/>
      <c r="F268" s="14">
        <v>0.33333333333333331</v>
      </c>
      <c r="G268" s="67" t="s">
        <v>87</v>
      </c>
      <c r="H268" s="68"/>
      <c r="I268" s="37">
        <v>160</v>
      </c>
      <c r="J268" s="15">
        <f t="shared" si="63"/>
        <v>1.2500000000000001E-2</v>
      </c>
      <c r="K268" s="40"/>
      <c r="L268" s="40"/>
      <c r="M268" s="40"/>
      <c r="N268" s="40"/>
      <c r="O268" s="40"/>
      <c r="P268" s="40"/>
      <c r="Q268" s="40"/>
      <c r="R268" s="40">
        <v>2</v>
      </c>
      <c r="S268" s="16">
        <f t="shared" si="67"/>
        <v>2</v>
      </c>
      <c r="T268" s="16">
        <v>100000</v>
      </c>
      <c r="U268" s="16">
        <f t="shared" si="69"/>
        <v>200000</v>
      </c>
      <c r="V268" s="4"/>
      <c r="W268" s="4"/>
      <c r="X268" s="4"/>
      <c r="Y268" s="4"/>
    </row>
    <row r="269" spans="2:25" ht="16.5" hidden="1" customHeight="1">
      <c r="B269" s="58">
        <v>46103</v>
      </c>
      <c r="C269" s="59" t="s">
        <v>14</v>
      </c>
      <c r="D269" s="51"/>
      <c r="E269" s="62" t="s">
        <v>101</v>
      </c>
      <c r="F269" s="5">
        <v>0.41666666666666669</v>
      </c>
      <c r="G269" s="65"/>
      <c r="H269" s="66"/>
      <c r="I269" s="34"/>
      <c r="J269" s="6" t="str">
        <f t="shared" si="63"/>
        <v/>
      </c>
      <c r="K269" s="38"/>
      <c r="L269" s="38"/>
      <c r="M269" s="38"/>
      <c r="N269" s="38"/>
      <c r="O269" s="38"/>
      <c r="P269" s="38"/>
      <c r="Q269" s="38"/>
      <c r="R269" s="38"/>
      <c r="S269" s="7">
        <f>SUM(K269:R269)</f>
        <v>0</v>
      </c>
      <c r="T269" s="7">
        <v>100000</v>
      </c>
      <c r="U269" s="7">
        <f>T269*S269</f>
        <v>0</v>
      </c>
      <c r="V269" s="4"/>
      <c r="W269" s="4"/>
      <c r="X269" s="4"/>
      <c r="Y269" s="4"/>
    </row>
    <row r="270" spans="2:25" ht="18.75" hidden="1">
      <c r="B270" s="58"/>
      <c r="C270" s="60"/>
      <c r="D270" s="52"/>
      <c r="E270" s="63"/>
      <c r="F270" s="8">
        <v>0.5</v>
      </c>
      <c r="G270" s="67"/>
      <c r="H270" s="68"/>
      <c r="I270" s="35"/>
      <c r="J270" s="9" t="str">
        <f t="shared" si="63"/>
        <v/>
      </c>
      <c r="K270" s="39"/>
      <c r="L270" s="39"/>
      <c r="M270" s="39"/>
      <c r="N270" s="39"/>
      <c r="O270" s="39"/>
      <c r="P270" s="39"/>
      <c r="Q270" s="39"/>
      <c r="R270" s="39"/>
      <c r="S270" s="10">
        <f t="shared" ref="S270:S280" si="70">SUM(K270:R270)</f>
        <v>0</v>
      </c>
      <c r="T270" s="10">
        <v>100000</v>
      </c>
      <c r="U270" s="10">
        <f t="shared" ref="U270:U271" si="71">T270*S270</f>
        <v>0</v>
      </c>
      <c r="V270" s="4"/>
      <c r="W270" s="4"/>
      <c r="X270" s="4"/>
      <c r="Y270" s="4"/>
    </row>
    <row r="271" spans="2:25" ht="18.75" hidden="1">
      <c r="B271" s="58"/>
      <c r="C271" s="60"/>
      <c r="D271" s="52"/>
      <c r="E271" s="63"/>
      <c r="F271" s="8">
        <v>0.58333333333333337</v>
      </c>
      <c r="G271" s="67"/>
      <c r="H271" s="68"/>
      <c r="I271" s="35"/>
      <c r="J271" s="9" t="str">
        <f t="shared" si="63"/>
        <v/>
      </c>
      <c r="K271" s="39"/>
      <c r="L271" s="39"/>
      <c r="M271" s="39"/>
      <c r="N271" s="39"/>
      <c r="O271" s="39"/>
      <c r="P271" s="39"/>
      <c r="Q271" s="39"/>
      <c r="R271" s="39"/>
      <c r="S271" s="10">
        <f t="shared" si="70"/>
        <v>0</v>
      </c>
      <c r="T271" s="10">
        <v>100000</v>
      </c>
      <c r="U271" s="10">
        <f t="shared" si="71"/>
        <v>0</v>
      </c>
      <c r="V271" s="4"/>
      <c r="W271" s="4"/>
      <c r="X271" s="4"/>
      <c r="Y271" s="4"/>
    </row>
    <row r="272" spans="2:25" ht="18.75" hidden="1">
      <c r="B272" s="58"/>
      <c r="C272" s="60"/>
      <c r="D272" s="52"/>
      <c r="E272" s="63"/>
      <c r="F272" s="8">
        <v>0.66666666666666663</v>
      </c>
      <c r="G272" s="67"/>
      <c r="H272" s="68"/>
      <c r="I272" s="35"/>
      <c r="J272" s="9" t="str">
        <f t="shared" si="63"/>
        <v/>
      </c>
      <c r="K272" s="39"/>
      <c r="L272" s="39"/>
      <c r="M272" s="39"/>
      <c r="N272" s="39"/>
      <c r="O272" s="39"/>
      <c r="P272" s="39"/>
      <c r="Q272" s="39"/>
      <c r="R272" s="39"/>
      <c r="S272" s="10">
        <f t="shared" si="70"/>
        <v>0</v>
      </c>
      <c r="T272" s="10">
        <v>100000</v>
      </c>
      <c r="U272" s="10">
        <f>T272*S272</f>
        <v>0</v>
      </c>
      <c r="V272" s="4"/>
      <c r="W272" s="4"/>
      <c r="X272" s="4"/>
      <c r="Y272" s="4"/>
    </row>
    <row r="273" spans="2:25" ht="18.75" hidden="1">
      <c r="B273" s="58"/>
      <c r="C273" s="60"/>
      <c r="D273" s="52"/>
      <c r="E273" s="63"/>
      <c r="F273" s="8">
        <v>0.75</v>
      </c>
      <c r="G273" s="67"/>
      <c r="H273" s="68"/>
      <c r="I273" s="35"/>
      <c r="J273" s="9" t="str">
        <f t="shared" si="63"/>
        <v/>
      </c>
      <c r="K273" s="39"/>
      <c r="L273" s="39"/>
      <c r="M273" s="39"/>
      <c r="N273" s="39"/>
      <c r="O273" s="39"/>
      <c r="P273" s="39"/>
      <c r="Q273" s="39"/>
      <c r="R273" s="39"/>
      <c r="S273" s="10">
        <f t="shared" si="70"/>
        <v>0</v>
      </c>
      <c r="T273" s="10">
        <v>100000</v>
      </c>
      <c r="U273" s="10">
        <f t="shared" ref="U273:U280" si="72">T273*S273</f>
        <v>0</v>
      </c>
      <c r="V273" s="4"/>
      <c r="W273" s="4"/>
      <c r="X273" s="11"/>
      <c r="Y273" s="4"/>
    </row>
    <row r="274" spans="2:25" ht="18.75" hidden="1">
      <c r="B274" s="58"/>
      <c r="C274" s="60"/>
      <c r="D274" s="53"/>
      <c r="E274" s="64"/>
      <c r="F274" s="12">
        <v>0.83333333333333337</v>
      </c>
      <c r="G274" s="67"/>
      <c r="H274" s="68"/>
      <c r="I274" s="36"/>
      <c r="J274" s="9" t="str">
        <f t="shared" si="63"/>
        <v/>
      </c>
      <c r="K274" s="41"/>
      <c r="L274" s="41"/>
      <c r="M274" s="41"/>
      <c r="N274" s="41"/>
      <c r="O274" s="41"/>
      <c r="P274" s="41"/>
      <c r="Q274" s="41"/>
      <c r="R274" s="41"/>
      <c r="S274" s="13">
        <f t="shared" si="70"/>
        <v>0</v>
      </c>
      <c r="T274" s="13">
        <v>100000</v>
      </c>
      <c r="U274" s="13">
        <f t="shared" si="72"/>
        <v>0</v>
      </c>
      <c r="V274" s="4"/>
      <c r="Y274" s="4"/>
    </row>
    <row r="275" spans="2:25" ht="18.75" hidden="1">
      <c r="B275" s="58"/>
      <c r="C275" s="60"/>
      <c r="D275" s="51"/>
      <c r="E275" s="62" t="s">
        <v>102</v>
      </c>
      <c r="F275" s="5">
        <v>0.91666666666666663</v>
      </c>
      <c r="G275" s="65"/>
      <c r="H275" s="66"/>
      <c r="I275" s="34"/>
      <c r="J275" s="6" t="str">
        <f t="shared" si="63"/>
        <v/>
      </c>
      <c r="K275" s="38"/>
      <c r="L275" s="38"/>
      <c r="M275" s="38"/>
      <c r="N275" s="38"/>
      <c r="O275" s="38"/>
      <c r="P275" s="38"/>
      <c r="Q275" s="38"/>
      <c r="R275" s="38"/>
      <c r="S275" s="7">
        <f t="shared" si="70"/>
        <v>0</v>
      </c>
      <c r="T275" s="7">
        <v>100000</v>
      </c>
      <c r="U275" s="7">
        <f t="shared" si="72"/>
        <v>0</v>
      </c>
      <c r="V275" s="4"/>
      <c r="Y275" s="4"/>
    </row>
    <row r="276" spans="2:25" ht="18.75" hidden="1">
      <c r="B276" s="58"/>
      <c r="C276" s="60"/>
      <c r="D276" s="52"/>
      <c r="E276" s="63"/>
      <c r="F276" s="8">
        <v>1</v>
      </c>
      <c r="G276" s="67"/>
      <c r="H276" s="68"/>
      <c r="I276" s="35"/>
      <c r="J276" s="9" t="str">
        <f t="shared" si="63"/>
        <v/>
      </c>
      <c r="K276" s="39"/>
      <c r="L276" s="39"/>
      <c r="M276" s="39"/>
      <c r="N276" s="39"/>
      <c r="O276" s="39"/>
      <c r="P276" s="39"/>
      <c r="Q276" s="39"/>
      <c r="R276" s="39"/>
      <c r="S276" s="10">
        <f t="shared" si="70"/>
        <v>0</v>
      </c>
      <c r="T276" s="10">
        <v>100000</v>
      </c>
      <c r="U276" s="10">
        <f t="shared" si="72"/>
        <v>0</v>
      </c>
      <c r="V276" s="4"/>
      <c r="Y276" s="4"/>
    </row>
    <row r="277" spans="2:25" ht="18.75" hidden="1">
      <c r="B277" s="58"/>
      <c r="C277" s="60"/>
      <c r="D277" s="52"/>
      <c r="E277" s="63"/>
      <c r="F277" s="8">
        <v>8.3333333333333329E-2</v>
      </c>
      <c r="G277" s="67"/>
      <c r="H277" s="68"/>
      <c r="I277" s="35"/>
      <c r="J277" s="9" t="str">
        <f t="shared" si="63"/>
        <v/>
      </c>
      <c r="K277" s="39"/>
      <c r="L277" s="39"/>
      <c r="M277" s="39"/>
      <c r="N277" s="39"/>
      <c r="O277" s="39"/>
      <c r="P277" s="39"/>
      <c r="Q277" s="39"/>
      <c r="R277" s="39"/>
      <c r="S277" s="10">
        <f t="shared" si="70"/>
        <v>0</v>
      </c>
      <c r="T277" s="10">
        <v>100000</v>
      </c>
      <c r="U277" s="10">
        <f t="shared" si="72"/>
        <v>0</v>
      </c>
      <c r="V277" s="4"/>
      <c r="Y277" s="4"/>
    </row>
    <row r="278" spans="2:25" ht="18.75" hidden="1">
      <c r="B278" s="58"/>
      <c r="C278" s="60"/>
      <c r="D278" s="52"/>
      <c r="E278" s="63"/>
      <c r="F278" s="8">
        <v>0.16666666666666666</v>
      </c>
      <c r="G278" s="67"/>
      <c r="H278" s="68"/>
      <c r="I278" s="35"/>
      <c r="J278" s="9" t="str">
        <f t="shared" si="63"/>
        <v/>
      </c>
      <c r="K278" s="39"/>
      <c r="L278" s="39"/>
      <c r="M278" s="39"/>
      <c r="N278" s="39"/>
      <c r="O278" s="39"/>
      <c r="P278" s="39"/>
      <c r="Q278" s="39"/>
      <c r="R278" s="39"/>
      <c r="S278" s="10">
        <f t="shared" si="70"/>
        <v>0</v>
      </c>
      <c r="T278" s="10">
        <v>100000</v>
      </c>
      <c r="U278" s="10">
        <f t="shared" si="72"/>
        <v>0</v>
      </c>
      <c r="V278" s="4"/>
      <c r="W278" s="4"/>
      <c r="X278" s="4"/>
      <c r="Y278" s="4"/>
    </row>
    <row r="279" spans="2:25" ht="18.75" hidden="1">
      <c r="B279" s="58"/>
      <c r="C279" s="60"/>
      <c r="D279" s="52"/>
      <c r="E279" s="63"/>
      <c r="F279" s="8">
        <v>0.25</v>
      </c>
      <c r="G279" s="67"/>
      <c r="H279" s="68"/>
      <c r="I279" s="35"/>
      <c r="J279" s="9" t="str">
        <f t="shared" si="63"/>
        <v/>
      </c>
      <c r="K279" s="39"/>
      <c r="L279" s="39"/>
      <c r="M279" s="39"/>
      <c r="N279" s="39"/>
      <c r="O279" s="39"/>
      <c r="P279" s="39"/>
      <c r="Q279" s="39"/>
      <c r="R279" s="39"/>
      <c r="S279" s="10">
        <f t="shared" si="70"/>
        <v>0</v>
      </c>
      <c r="T279" s="10">
        <v>100000</v>
      </c>
      <c r="U279" s="10">
        <f t="shared" si="72"/>
        <v>0</v>
      </c>
      <c r="V279" s="4"/>
      <c r="Y279" s="4"/>
    </row>
    <row r="280" spans="2:25" ht="18.75" hidden="1">
      <c r="B280" s="58"/>
      <c r="C280" s="61"/>
      <c r="D280" s="53"/>
      <c r="E280" s="69"/>
      <c r="F280" s="14">
        <v>0.33333333333333331</v>
      </c>
      <c r="G280" s="67"/>
      <c r="H280" s="68"/>
      <c r="I280" s="37"/>
      <c r="J280" s="15" t="str">
        <f t="shared" si="63"/>
        <v/>
      </c>
      <c r="K280" s="40"/>
      <c r="L280" s="40"/>
      <c r="M280" s="40"/>
      <c r="N280" s="40"/>
      <c r="O280" s="40"/>
      <c r="P280" s="40"/>
      <c r="Q280" s="40"/>
      <c r="R280" s="40"/>
      <c r="S280" s="16">
        <f t="shared" si="70"/>
        <v>0</v>
      </c>
      <c r="T280" s="16">
        <v>100000</v>
      </c>
      <c r="U280" s="16">
        <f t="shared" si="72"/>
        <v>0</v>
      </c>
      <c r="V280" s="4"/>
      <c r="W280" s="4"/>
      <c r="X280" s="4"/>
      <c r="Y280" s="4"/>
    </row>
    <row r="281" spans="2:25" ht="38.25" hidden="1" customHeight="1">
      <c r="B281" s="58">
        <v>46104</v>
      </c>
      <c r="C281" s="59" t="s">
        <v>14</v>
      </c>
      <c r="D281" s="51" t="s">
        <v>40</v>
      </c>
      <c r="E281" s="62" t="s">
        <v>101</v>
      </c>
      <c r="F281" s="5">
        <v>0.41666666666666669</v>
      </c>
      <c r="G281" s="65" t="s">
        <v>74</v>
      </c>
      <c r="H281" s="66"/>
      <c r="I281" s="34">
        <v>160</v>
      </c>
      <c r="J281" s="6">
        <f t="shared" ref="J281:J304" si="73">IFERROR(S281/I281,"")</f>
        <v>0</v>
      </c>
      <c r="K281" s="38"/>
      <c r="L281" s="38"/>
      <c r="M281" s="38"/>
      <c r="N281" s="38"/>
      <c r="O281" s="38"/>
      <c r="P281" s="38"/>
      <c r="Q281" s="38"/>
      <c r="R281" s="38"/>
      <c r="S281" s="7">
        <f>SUM(K281:R281)</f>
        <v>0</v>
      </c>
      <c r="T281" s="7">
        <v>100000</v>
      </c>
      <c r="U281" s="7">
        <f>T281*S281</f>
        <v>0</v>
      </c>
      <c r="V281" s="4"/>
      <c r="W281" s="4"/>
      <c r="X281" s="4"/>
      <c r="Y281" s="4"/>
    </row>
    <row r="282" spans="2:25" ht="56.25" hidden="1">
      <c r="B282" s="58"/>
      <c r="C282" s="60"/>
      <c r="D282" s="52" t="s">
        <v>40</v>
      </c>
      <c r="E282" s="63"/>
      <c r="F282" s="8">
        <v>0.5</v>
      </c>
      <c r="G282" s="67" t="s">
        <v>74</v>
      </c>
      <c r="H282" s="68"/>
      <c r="I282" s="35">
        <v>80</v>
      </c>
      <c r="J282" s="9">
        <f t="shared" si="73"/>
        <v>0.25</v>
      </c>
      <c r="K282" s="39"/>
      <c r="L282" s="39"/>
      <c r="M282" s="39"/>
      <c r="N282" s="39"/>
      <c r="O282" s="39"/>
      <c r="P282" s="39"/>
      <c r="Q282" s="39">
        <v>20</v>
      </c>
      <c r="R282" s="39"/>
      <c r="S282" s="10">
        <f t="shared" ref="S282:S292" si="74">SUM(K282:R282)</f>
        <v>20</v>
      </c>
      <c r="T282" s="10">
        <v>100000</v>
      </c>
      <c r="U282" s="10">
        <f t="shared" ref="U282:U283" si="75">T282*S282</f>
        <v>2000000</v>
      </c>
      <c r="V282" s="4"/>
      <c r="W282" s="4"/>
      <c r="X282" s="4"/>
      <c r="Y282" s="4"/>
    </row>
    <row r="283" spans="2:25" ht="56.25" hidden="1">
      <c r="B283" s="58"/>
      <c r="C283" s="60"/>
      <c r="D283" s="52" t="s">
        <v>40</v>
      </c>
      <c r="E283" s="63"/>
      <c r="F283" s="8">
        <v>0.58333333333333337</v>
      </c>
      <c r="G283" s="67" t="s">
        <v>74</v>
      </c>
      <c r="H283" s="68"/>
      <c r="I283" s="35">
        <v>160</v>
      </c>
      <c r="J283" s="9">
        <f t="shared" si="73"/>
        <v>0</v>
      </c>
      <c r="K283" s="39"/>
      <c r="L283" s="39"/>
      <c r="M283" s="39"/>
      <c r="N283" s="39"/>
      <c r="O283" s="39"/>
      <c r="P283" s="39"/>
      <c r="Q283" s="39"/>
      <c r="R283" s="39"/>
      <c r="S283" s="10">
        <f t="shared" si="74"/>
        <v>0</v>
      </c>
      <c r="T283" s="10">
        <v>100000</v>
      </c>
      <c r="U283" s="10">
        <f t="shared" si="75"/>
        <v>0</v>
      </c>
      <c r="V283" s="4"/>
      <c r="W283" s="4"/>
      <c r="X283" s="4"/>
      <c r="Y283" s="4"/>
    </row>
    <row r="284" spans="2:25" ht="56.25" hidden="1">
      <c r="B284" s="58"/>
      <c r="C284" s="60"/>
      <c r="D284" s="52" t="s">
        <v>40</v>
      </c>
      <c r="E284" s="63"/>
      <c r="F284" s="8">
        <v>0.66666666666666663</v>
      </c>
      <c r="G284" s="67" t="s">
        <v>74</v>
      </c>
      <c r="H284" s="68"/>
      <c r="I284" s="35">
        <v>160</v>
      </c>
      <c r="J284" s="9">
        <f t="shared" si="73"/>
        <v>0</v>
      </c>
      <c r="K284" s="39"/>
      <c r="L284" s="39"/>
      <c r="M284" s="39"/>
      <c r="N284" s="39"/>
      <c r="O284" s="39"/>
      <c r="P284" s="39"/>
      <c r="Q284" s="39"/>
      <c r="R284" s="39"/>
      <c r="S284" s="10">
        <f t="shared" si="74"/>
        <v>0</v>
      </c>
      <c r="T284" s="10">
        <v>100000</v>
      </c>
      <c r="U284" s="10">
        <f>T284*S284</f>
        <v>0</v>
      </c>
      <c r="V284" s="4"/>
      <c r="W284" s="4"/>
      <c r="X284" s="4"/>
      <c r="Y284" s="4"/>
    </row>
    <row r="285" spans="2:25" ht="56.25" hidden="1">
      <c r="B285" s="58"/>
      <c r="C285" s="60"/>
      <c r="D285" s="52" t="s">
        <v>40</v>
      </c>
      <c r="E285" s="63"/>
      <c r="F285" s="8">
        <v>0.75</v>
      </c>
      <c r="G285" s="67" t="s">
        <v>74</v>
      </c>
      <c r="H285" s="68"/>
      <c r="I285" s="35">
        <v>160</v>
      </c>
      <c r="J285" s="9">
        <f t="shared" si="73"/>
        <v>0</v>
      </c>
      <c r="K285" s="39"/>
      <c r="L285" s="39"/>
      <c r="M285" s="39"/>
      <c r="N285" s="39"/>
      <c r="O285" s="39"/>
      <c r="P285" s="39"/>
      <c r="Q285" s="39"/>
      <c r="R285" s="39"/>
      <c r="S285" s="10">
        <f t="shared" si="74"/>
        <v>0</v>
      </c>
      <c r="T285" s="10">
        <v>100000</v>
      </c>
      <c r="U285" s="10">
        <f t="shared" ref="U285:U292" si="76">T285*S285</f>
        <v>0</v>
      </c>
      <c r="V285" s="4"/>
      <c r="W285" s="4"/>
      <c r="X285" s="11"/>
      <c r="Y285" s="4"/>
    </row>
    <row r="286" spans="2:25" ht="56.25" hidden="1">
      <c r="B286" s="58"/>
      <c r="C286" s="60"/>
      <c r="D286" s="53" t="s">
        <v>40</v>
      </c>
      <c r="E286" s="64"/>
      <c r="F286" s="12">
        <v>0.83333333333333337</v>
      </c>
      <c r="G286" s="67" t="s">
        <v>74</v>
      </c>
      <c r="H286" s="68"/>
      <c r="I286" s="36">
        <v>160</v>
      </c>
      <c r="J286" s="9">
        <f t="shared" si="73"/>
        <v>0</v>
      </c>
      <c r="K286" s="41"/>
      <c r="L286" s="41"/>
      <c r="M286" s="41"/>
      <c r="N286" s="41"/>
      <c r="O286" s="41"/>
      <c r="P286" s="41"/>
      <c r="Q286" s="41"/>
      <c r="R286" s="41"/>
      <c r="S286" s="13">
        <f t="shared" si="74"/>
        <v>0</v>
      </c>
      <c r="T286" s="13">
        <v>100000</v>
      </c>
      <c r="U286" s="13">
        <f t="shared" si="76"/>
        <v>0</v>
      </c>
      <c r="V286" s="4"/>
      <c r="Y286" s="4"/>
    </row>
    <row r="287" spans="2:25" ht="56.25" hidden="1">
      <c r="B287" s="58"/>
      <c r="C287" s="60"/>
      <c r="D287" s="51" t="s">
        <v>40</v>
      </c>
      <c r="E287" s="62" t="s">
        <v>102</v>
      </c>
      <c r="F287" s="5">
        <v>0.91666666666666663</v>
      </c>
      <c r="G287" s="65" t="s">
        <v>88</v>
      </c>
      <c r="H287" s="66"/>
      <c r="I287" s="34">
        <v>90</v>
      </c>
      <c r="J287" s="6">
        <f t="shared" si="73"/>
        <v>0.15555555555555556</v>
      </c>
      <c r="K287" s="38"/>
      <c r="L287" s="38"/>
      <c r="M287" s="38"/>
      <c r="N287" s="38"/>
      <c r="O287" s="38"/>
      <c r="P287" s="38"/>
      <c r="Q287" s="38">
        <v>14</v>
      </c>
      <c r="R287" s="38"/>
      <c r="S287" s="7">
        <f t="shared" si="74"/>
        <v>14</v>
      </c>
      <c r="T287" s="7">
        <v>100000</v>
      </c>
      <c r="U287" s="7">
        <f t="shared" si="76"/>
        <v>1400000</v>
      </c>
      <c r="V287" s="4"/>
      <c r="Y287" s="4"/>
    </row>
    <row r="288" spans="2:25" ht="56.25" hidden="1">
      <c r="B288" s="58"/>
      <c r="C288" s="60"/>
      <c r="D288" s="52" t="s">
        <v>40</v>
      </c>
      <c r="E288" s="63"/>
      <c r="F288" s="8">
        <v>1</v>
      </c>
      <c r="G288" s="67" t="s">
        <v>88</v>
      </c>
      <c r="H288" s="68"/>
      <c r="I288" s="35">
        <v>150</v>
      </c>
      <c r="J288" s="9">
        <f t="shared" si="73"/>
        <v>1.3333333333333334E-2</v>
      </c>
      <c r="K288" s="39"/>
      <c r="L288" s="39"/>
      <c r="M288" s="39">
        <v>2</v>
      </c>
      <c r="N288" s="39"/>
      <c r="O288" s="39"/>
      <c r="P288" s="39"/>
      <c r="Q288" s="39"/>
      <c r="R288" s="39"/>
      <c r="S288" s="10">
        <f t="shared" si="74"/>
        <v>2</v>
      </c>
      <c r="T288" s="10">
        <v>100000</v>
      </c>
      <c r="U288" s="10">
        <f t="shared" si="76"/>
        <v>200000</v>
      </c>
      <c r="V288" s="4"/>
      <c r="Y288" s="4"/>
    </row>
    <row r="289" spans="2:25" ht="56.25" hidden="1">
      <c r="B289" s="58"/>
      <c r="C289" s="60"/>
      <c r="D289" s="52" t="s">
        <v>40</v>
      </c>
      <c r="E289" s="63"/>
      <c r="F289" s="8">
        <v>8.3333333333333329E-2</v>
      </c>
      <c r="G289" s="67" t="s">
        <v>88</v>
      </c>
      <c r="H289" s="68"/>
      <c r="I289" s="35">
        <v>150</v>
      </c>
      <c r="J289" s="9">
        <f t="shared" si="73"/>
        <v>1.3333333333333334E-2</v>
      </c>
      <c r="K289" s="39"/>
      <c r="L289" s="39"/>
      <c r="M289" s="39">
        <v>2</v>
      </c>
      <c r="N289" s="39"/>
      <c r="O289" s="39"/>
      <c r="P289" s="39"/>
      <c r="Q289" s="39"/>
      <c r="R289" s="39"/>
      <c r="S289" s="10">
        <f t="shared" si="74"/>
        <v>2</v>
      </c>
      <c r="T289" s="10">
        <v>100000</v>
      </c>
      <c r="U289" s="10">
        <f t="shared" si="76"/>
        <v>200000</v>
      </c>
      <c r="V289" s="4"/>
      <c r="Y289" s="4"/>
    </row>
    <row r="290" spans="2:25" ht="56.25" hidden="1">
      <c r="B290" s="58"/>
      <c r="C290" s="60"/>
      <c r="D290" s="52" t="s">
        <v>40</v>
      </c>
      <c r="E290" s="63"/>
      <c r="F290" s="8">
        <v>0.16666666666666666</v>
      </c>
      <c r="G290" s="67" t="s">
        <v>88</v>
      </c>
      <c r="H290" s="68"/>
      <c r="I290" s="35">
        <v>150</v>
      </c>
      <c r="J290" s="9">
        <f t="shared" si="73"/>
        <v>1.3333333333333334E-2</v>
      </c>
      <c r="K290" s="39"/>
      <c r="L290" s="39"/>
      <c r="M290" s="39">
        <v>2</v>
      </c>
      <c r="N290" s="39"/>
      <c r="O290" s="39"/>
      <c r="P290" s="39"/>
      <c r="Q290" s="39"/>
      <c r="R290" s="39"/>
      <c r="S290" s="10">
        <f t="shared" si="74"/>
        <v>2</v>
      </c>
      <c r="T290" s="10">
        <v>100000</v>
      </c>
      <c r="U290" s="10">
        <f t="shared" si="76"/>
        <v>200000</v>
      </c>
      <c r="V290" s="4"/>
      <c r="W290" s="4"/>
      <c r="X290" s="4"/>
      <c r="Y290" s="4"/>
    </row>
    <row r="291" spans="2:25" ht="56.25" hidden="1">
      <c r="B291" s="58"/>
      <c r="C291" s="60"/>
      <c r="D291" s="52" t="s">
        <v>40</v>
      </c>
      <c r="E291" s="63"/>
      <c r="F291" s="8">
        <v>0.25</v>
      </c>
      <c r="G291" s="67" t="s">
        <v>88</v>
      </c>
      <c r="H291" s="68"/>
      <c r="I291" s="35">
        <v>150</v>
      </c>
      <c r="J291" s="9">
        <f t="shared" si="73"/>
        <v>1.3333333333333334E-2</v>
      </c>
      <c r="K291" s="39"/>
      <c r="L291" s="39"/>
      <c r="M291" s="39">
        <v>2</v>
      </c>
      <c r="N291" s="39"/>
      <c r="O291" s="39"/>
      <c r="P291" s="39"/>
      <c r="Q291" s="39"/>
      <c r="R291" s="39"/>
      <c r="S291" s="10">
        <f t="shared" si="74"/>
        <v>2</v>
      </c>
      <c r="T291" s="10">
        <v>100000</v>
      </c>
      <c r="U291" s="10">
        <f t="shared" si="76"/>
        <v>200000</v>
      </c>
      <c r="V291" s="4"/>
      <c r="Y291" s="4"/>
    </row>
    <row r="292" spans="2:25" ht="56.25" hidden="1">
      <c r="B292" s="58"/>
      <c r="C292" s="61"/>
      <c r="D292" s="53" t="s">
        <v>40</v>
      </c>
      <c r="E292" s="69"/>
      <c r="F292" s="14">
        <v>0.33333333333333331</v>
      </c>
      <c r="G292" s="67" t="s">
        <v>88</v>
      </c>
      <c r="H292" s="68"/>
      <c r="I292" s="37">
        <v>150</v>
      </c>
      <c r="J292" s="15">
        <f t="shared" si="73"/>
        <v>1.3333333333333334E-2</v>
      </c>
      <c r="K292" s="40"/>
      <c r="L292" s="40"/>
      <c r="M292" s="40">
        <v>2</v>
      </c>
      <c r="N292" s="40"/>
      <c r="O292" s="40"/>
      <c r="P292" s="40"/>
      <c r="Q292" s="40"/>
      <c r="R292" s="40"/>
      <c r="S292" s="16">
        <f t="shared" si="74"/>
        <v>2</v>
      </c>
      <c r="T292" s="16">
        <v>100000</v>
      </c>
      <c r="U292" s="16">
        <f t="shared" si="76"/>
        <v>200000</v>
      </c>
      <c r="V292" s="4"/>
      <c r="W292" s="4"/>
      <c r="X292" s="4"/>
      <c r="Y292" s="4"/>
    </row>
    <row r="293" spans="2:25" ht="48" hidden="1" customHeight="1">
      <c r="B293" s="58">
        <v>46105</v>
      </c>
      <c r="C293" s="59" t="s">
        <v>14</v>
      </c>
      <c r="D293" s="51" t="s">
        <v>40</v>
      </c>
      <c r="E293" s="62" t="s">
        <v>101</v>
      </c>
      <c r="F293" s="5">
        <v>0.41666666666666669</v>
      </c>
      <c r="G293" s="65" t="s">
        <v>79</v>
      </c>
      <c r="H293" s="66"/>
      <c r="I293" s="34">
        <v>160</v>
      </c>
      <c r="J293" s="6">
        <f t="shared" si="73"/>
        <v>0</v>
      </c>
      <c r="K293" s="38"/>
      <c r="L293" s="38"/>
      <c r="M293" s="38"/>
      <c r="N293" s="38"/>
      <c r="O293" s="38"/>
      <c r="P293" s="38"/>
      <c r="Q293" s="38"/>
      <c r="R293" s="38"/>
      <c r="S293" s="7">
        <f>SUM(K293:R293)</f>
        <v>0</v>
      </c>
      <c r="T293" s="7">
        <v>100000</v>
      </c>
      <c r="U293" s="7">
        <f>T293*S293</f>
        <v>0</v>
      </c>
      <c r="V293" s="4"/>
      <c r="W293" s="4"/>
      <c r="X293" s="4"/>
      <c r="Y293" s="4"/>
    </row>
    <row r="294" spans="2:25" ht="56.25" hidden="1">
      <c r="B294" s="58"/>
      <c r="C294" s="60"/>
      <c r="D294" s="52" t="s">
        <v>40</v>
      </c>
      <c r="E294" s="63"/>
      <c r="F294" s="8">
        <v>0.5</v>
      </c>
      <c r="G294" s="67" t="s">
        <v>79</v>
      </c>
      <c r="H294" s="68"/>
      <c r="I294" s="35">
        <v>160</v>
      </c>
      <c r="J294" s="9">
        <f t="shared" si="73"/>
        <v>0</v>
      </c>
      <c r="K294" s="39"/>
      <c r="L294" s="39"/>
      <c r="M294" s="39"/>
      <c r="N294" s="39"/>
      <c r="O294" s="39"/>
      <c r="P294" s="39"/>
      <c r="Q294" s="39"/>
      <c r="R294" s="39"/>
      <c r="S294" s="10">
        <f t="shared" ref="S294:S304" si="77">SUM(K294:R294)</f>
        <v>0</v>
      </c>
      <c r="T294" s="10">
        <v>100000</v>
      </c>
      <c r="U294" s="10">
        <f t="shared" ref="U294:U295" si="78">T294*S294</f>
        <v>0</v>
      </c>
      <c r="V294" s="4"/>
      <c r="W294" s="4"/>
      <c r="X294" s="4"/>
      <c r="Y294" s="4"/>
    </row>
    <row r="295" spans="2:25" ht="56.25" hidden="1">
      <c r="B295" s="58"/>
      <c r="C295" s="60"/>
      <c r="D295" s="52" t="s">
        <v>40</v>
      </c>
      <c r="E295" s="63"/>
      <c r="F295" s="8">
        <v>0.58333333333333337</v>
      </c>
      <c r="G295" s="67" t="s">
        <v>79</v>
      </c>
      <c r="H295" s="68"/>
      <c r="I295" s="35">
        <v>160</v>
      </c>
      <c r="J295" s="9">
        <f t="shared" si="73"/>
        <v>0</v>
      </c>
      <c r="K295" s="39"/>
      <c r="L295" s="39"/>
      <c r="M295" s="39"/>
      <c r="N295" s="39"/>
      <c r="O295" s="39"/>
      <c r="P295" s="39"/>
      <c r="Q295" s="39"/>
      <c r="R295" s="39"/>
      <c r="S295" s="10">
        <f t="shared" si="77"/>
        <v>0</v>
      </c>
      <c r="T295" s="10">
        <v>100000</v>
      </c>
      <c r="U295" s="10">
        <f t="shared" si="78"/>
        <v>0</v>
      </c>
      <c r="V295" s="4"/>
      <c r="W295" s="4"/>
      <c r="X295" s="4"/>
      <c r="Y295" s="4"/>
    </row>
    <row r="296" spans="2:25" ht="56.25" hidden="1">
      <c r="B296" s="58"/>
      <c r="C296" s="60"/>
      <c r="D296" s="52" t="s">
        <v>40</v>
      </c>
      <c r="E296" s="63"/>
      <c r="F296" s="8">
        <v>0.66666666666666663</v>
      </c>
      <c r="G296" s="67" t="s">
        <v>79</v>
      </c>
      <c r="H296" s="68"/>
      <c r="I296" s="35">
        <v>160</v>
      </c>
      <c r="J296" s="9">
        <f t="shared" si="73"/>
        <v>0</v>
      </c>
      <c r="K296" s="39"/>
      <c r="L296" s="39"/>
      <c r="M296" s="39"/>
      <c r="N296" s="39"/>
      <c r="O296" s="39"/>
      <c r="P296" s="39"/>
      <c r="Q296" s="39"/>
      <c r="R296" s="39"/>
      <c r="S296" s="10">
        <f t="shared" si="77"/>
        <v>0</v>
      </c>
      <c r="T296" s="10">
        <v>100000</v>
      </c>
      <c r="U296" s="10">
        <f>T296*S296</f>
        <v>0</v>
      </c>
      <c r="V296" s="4"/>
      <c r="W296" s="4"/>
      <c r="X296" s="4"/>
      <c r="Y296" s="4"/>
    </row>
    <row r="297" spans="2:25" ht="56.25" hidden="1">
      <c r="B297" s="58"/>
      <c r="C297" s="60"/>
      <c r="D297" s="52" t="s">
        <v>40</v>
      </c>
      <c r="E297" s="63"/>
      <c r="F297" s="8">
        <v>0.75</v>
      </c>
      <c r="G297" s="67" t="s">
        <v>79</v>
      </c>
      <c r="H297" s="68"/>
      <c r="I297" s="35">
        <v>160</v>
      </c>
      <c r="J297" s="9">
        <f t="shared" si="73"/>
        <v>0.05</v>
      </c>
      <c r="K297" s="39"/>
      <c r="L297" s="39"/>
      <c r="M297" s="39"/>
      <c r="N297" s="39"/>
      <c r="O297" s="39"/>
      <c r="P297" s="39"/>
      <c r="Q297" s="39"/>
      <c r="R297" s="39">
        <v>8</v>
      </c>
      <c r="S297" s="10">
        <f t="shared" si="77"/>
        <v>8</v>
      </c>
      <c r="T297" s="10">
        <v>100000</v>
      </c>
      <c r="U297" s="10">
        <f t="shared" ref="U297:U304" si="79">T297*S297</f>
        <v>800000</v>
      </c>
      <c r="V297" s="4"/>
      <c r="W297" s="4"/>
      <c r="X297" s="11"/>
      <c r="Y297" s="4"/>
    </row>
    <row r="298" spans="2:25" ht="56.25" hidden="1">
      <c r="B298" s="58"/>
      <c r="C298" s="60"/>
      <c r="D298" s="53" t="s">
        <v>40</v>
      </c>
      <c r="E298" s="64"/>
      <c r="F298" s="12">
        <v>0.83333333333333337</v>
      </c>
      <c r="G298" s="67" t="s">
        <v>79</v>
      </c>
      <c r="H298" s="68"/>
      <c r="I298" s="36"/>
      <c r="J298" s="9" t="str">
        <f t="shared" si="73"/>
        <v/>
      </c>
      <c r="K298" s="41"/>
      <c r="L298" s="41"/>
      <c r="M298" s="41"/>
      <c r="N298" s="41"/>
      <c r="O298" s="41"/>
      <c r="P298" s="41"/>
      <c r="Q298" s="41"/>
      <c r="R298" s="41"/>
      <c r="S298" s="13">
        <f t="shared" si="77"/>
        <v>0</v>
      </c>
      <c r="T298" s="13">
        <v>100000</v>
      </c>
      <c r="U298" s="13">
        <f t="shared" si="79"/>
        <v>0</v>
      </c>
      <c r="V298" s="4"/>
      <c r="Y298" s="4"/>
    </row>
    <row r="299" spans="2:25" ht="56.25" hidden="1">
      <c r="B299" s="58"/>
      <c r="C299" s="60"/>
      <c r="D299" s="51" t="s">
        <v>40</v>
      </c>
      <c r="E299" s="62" t="s">
        <v>102</v>
      </c>
      <c r="F299" s="5">
        <v>0.91666666666666663</v>
      </c>
      <c r="G299" s="65" t="s">
        <v>88</v>
      </c>
      <c r="H299" s="66"/>
      <c r="I299" s="34">
        <v>153</v>
      </c>
      <c r="J299" s="6">
        <f t="shared" si="73"/>
        <v>1.9607843137254902E-2</v>
      </c>
      <c r="K299" s="38"/>
      <c r="L299" s="38"/>
      <c r="M299" s="38">
        <v>3</v>
      </c>
      <c r="N299" s="38"/>
      <c r="O299" s="38"/>
      <c r="P299" s="38"/>
      <c r="Q299" s="38"/>
      <c r="R299" s="38"/>
      <c r="S299" s="7">
        <f t="shared" si="77"/>
        <v>3</v>
      </c>
      <c r="T299" s="7">
        <v>100000</v>
      </c>
      <c r="U299" s="7">
        <f t="shared" si="79"/>
        <v>300000</v>
      </c>
      <c r="V299" s="4"/>
      <c r="Y299" s="4"/>
    </row>
    <row r="300" spans="2:25" ht="56.25" hidden="1">
      <c r="B300" s="58"/>
      <c r="C300" s="60"/>
      <c r="D300" s="52" t="s">
        <v>40</v>
      </c>
      <c r="E300" s="63"/>
      <c r="F300" s="8">
        <v>1</v>
      </c>
      <c r="G300" s="67" t="s">
        <v>88</v>
      </c>
      <c r="H300" s="68"/>
      <c r="I300" s="35">
        <v>153</v>
      </c>
      <c r="J300" s="9">
        <f t="shared" si="73"/>
        <v>1.9607843137254902E-2</v>
      </c>
      <c r="K300" s="39"/>
      <c r="L300" s="39"/>
      <c r="M300" s="39">
        <v>3</v>
      </c>
      <c r="N300" s="39"/>
      <c r="O300" s="39"/>
      <c r="P300" s="39"/>
      <c r="Q300" s="39"/>
      <c r="R300" s="39"/>
      <c r="S300" s="10">
        <f t="shared" si="77"/>
        <v>3</v>
      </c>
      <c r="T300" s="10">
        <v>100000</v>
      </c>
      <c r="U300" s="10">
        <f t="shared" si="79"/>
        <v>300000</v>
      </c>
      <c r="V300" s="4"/>
      <c r="Y300" s="4"/>
    </row>
    <row r="301" spans="2:25" ht="56.25" hidden="1">
      <c r="B301" s="58"/>
      <c r="C301" s="60"/>
      <c r="D301" s="52" t="s">
        <v>40</v>
      </c>
      <c r="E301" s="63"/>
      <c r="F301" s="8">
        <v>8.3333333333333329E-2</v>
      </c>
      <c r="G301" s="67" t="s">
        <v>88</v>
      </c>
      <c r="H301" s="68"/>
      <c r="I301" s="35">
        <v>153</v>
      </c>
      <c r="J301" s="9">
        <f t="shared" si="73"/>
        <v>1.9607843137254902E-2</v>
      </c>
      <c r="K301" s="39"/>
      <c r="L301" s="39"/>
      <c r="M301" s="39">
        <v>3</v>
      </c>
      <c r="N301" s="39"/>
      <c r="O301" s="39"/>
      <c r="P301" s="39"/>
      <c r="Q301" s="39"/>
      <c r="R301" s="39"/>
      <c r="S301" s="10">
        <f t="shared" si="77"/>
        <v>3</v>
      </c>
      <c r="T301" s="10">
        <v>100000</v>
      </c>
      <c r="U301" s="10">
        <f t="shared" si="79"/>
        <v>300000</v>
      </c>
      <c r="V301" s="4"/>
      <c r="Y301" s="4"/>
    </row>
    <row r="302" spans="2:25" ht="56.25" hidden="1">
      <c r="B302" s="58"/>
      <c r="C302" s="60"/>
      <c r="D302" s="52" t="s">
        <v>40</v>
      </c>
      <c r="E302" s="63"/>
      <c r="F302" s="8">
        <v>0.16666666666666666</v>
      </c>
      <c r="G302" s="67" t="s">
        <v>88</v>
      </c>
      <c r="H302" s="68"/>
      <c r="I302" s="35">
        <v>153</v>
      </c>
      <c r="J302" s="9">
        <f t="shared" si="73"/>
        <v>1.9607843137254902E-2</v>
      </c>
      <c r="K302" s="39"/>
      <c r="L302" s="39"/>
      <c r="M302" s="39">
        <v>3</v>
      </c>
      <c r="N302" s="39"/>
      <c r="O302" s="39"/>
      <c r="P302" s="39"/>
      <c r="Q302" s="39"/>
      <c r="R302" s="39"/>
      <c r="S302" s="10">
        <f t="shared" si="77"/>
        <v>3</v>
      </c>
      <c r="T302" s="10">
        <v>100000</v>
      </c>
      <c r="U302" s="10">
        <f t="shared" si="79"/>
        <v>300000</v>
      </c>
      <c r="V302" s="4"/>
      <c r="W302" s="4"/>
      <c r="X302" s="4"/>
      <c r="Y302" s="4"/>
    </row>
    <row r="303" spans="2:25" ht="56.25" hidden="1">
      <c r="B303" s="58"/>
      <c r="C303" s="60"/>
      <c r="D303" s="52" t="s">
        <v>40</v>
      </c>
      <c r="E303" s="63"/>
      <c r="F303" s="8">
        <v>0.25</v>
      </c>
      <c r="G303" s="67" t="s">
        <v>88</v>
      </c>
      <c r="H303" s="68"/>
      <c r="I303" s="35">
        <v>154</v>
      </c>
      <c r="J303" s="9">
        <f t="shared" si="73"/>
        <v>1.2987012987012988E-2</v>
      </c>
      <c r="K303" s="39"/>
      <c r="L303" s="39"/>
      <c r="M303" s="39"/>
      <c r="N303" s="39"/>
      <c r="O303" s="39"/>
      <c r="P303" s="39"/>
      <c r="Q303" s="39"/>
      <c r="R303" s="39">
        <v>2</v>
      </c>
      <c r="S303" s="10">
        <f t="shared" si="77"/>
        <v>2</v>
      </c>
      <c r="T303" s="10">
        <v>100000</v>
      </c>
      <c r="U303" s="10">
        <f t="shared" si="79"/>
        <v>200000</v>
      </c>
      <c r="V303" s="4"/>
      <c r="Y303" s="4"/>
    </row>
    <row r="304" spans="2:25" ht="56.25" hidden="1">
      <c r="B304" s="58"/>
      <c r="C304" s="61"/>
      <c r="D304" s="53" t="s">
        <v>40</v>
      </c>
      <c r="E304" s="69"/>
      <c r="F304" s="14">
        <v>0.33333333333333331</v>
      </c>
      <c r="G304" s="67" t="s">
        <v>88</v>
      </c>
      <c r="H304" s="68"/>
      <c r="I304" s="37">
        <v>154</v>
      </c>
      <c r="J304" s="15">
        <f t="shared" si="73"/>
        <v>0</v>
      </c>
      <c r="K304" s="40"/>
      <c r="L304" s="40"/>
      <c r="M304" s="40"/>
      <c r="N304" s="40"/>
      <c r="O304" s="40"/>
      <c r="P304" s="40"/>
      <c r="Q304" s="40"/>
      <c r="R304" s="40"/>
      <c r="S304" s="16">
        <f t="shared" si="77"/>
        <v>0</v>
      </c>
      <c r="T304" s="16">
        <v>100000</v>
      </c>
      <c r="U304" s="16">
        <f t="shared" si="79"/>
        <v>0</v>
      </c>
      <c r="V304" s="4"/>
      <c r="W304" s="4"/>
      <c r="X304" s="4"/>
      <c r="Y304" s="4"/>
    </row>
    <row r="305" spans="2:25" ht="16.5" hidden="1" customHeight="1">
      <c r="B305" s="58">
        <v>46106</v>
      </c>
      <c r="C305" s="59" t="s">
        <v>14</v>
      </c>
      <c r="D305" s="51" t="s">
        <v>100</v>
      </c>
      <c r="E305" s="62" t="s">
        <v>101</v>
      </c>
      <c r="F305" s="5">
        <v>0.41666666666666669</v>
      </c>
      <c r="G305" s="65" t="s">
        <v>104</v>
      </c>
      <c r="H305" s="66"/>
      <c r="I305" s="34">
        <v>50</v>
      </c>
      <c r="J305" s="6">
        <f t="shared" ref="J305:J328" si="80">IFERROR(S305/I305,"")</f>
        <v>0.06</v>
      </c>
      <c r="K305" s="38"/>
      <c r="L305" s="38"/>
      <c r="M305" s="38">
        <v>3</v>
      </c>
      <c r="N305" s="38"/>
      <c r="O305" s="38"/>
      <c r="P305" s="38"/>
      <c r="Q305" s="38"/>
      <c r="R305" s="38"/>
      <c r="S305" s="7">
        <f>SUM(K305:R305)</f>
        <v>3</v>
      </c>
      <c r="T305" s="7">
        <v>100000</v>
      </c>
      <c r="U305" s="7">
        <f>T305*S305</f>
        <v>300000</v>
      </c>
      <c r="V305" s="4"/>
      <c r="W305" s="4"/>
      <c r="X305" s="4"/>
      <c r="Y305" s="4"/>
    </row>
    <row r="306" spans="2:25" ht="18.75" hidden="1">
      <c r="B306" s="58"/>
      <c r="C306" s="60"/>
      <c r="D306" s="52" t="s">
        <v>100</v>
      </c>
      <c r="E306" s="63"/>
      <c r="F306" s="8">
        <v>0.5</v>
      </c>
      <c r="G306" s="67" t="s">
        <v>104</v>
      </c>
      <c r="H306" s="68"/>
      <c r="I306" s="35">
        <v>53</v>
      </c>
      <c r="J306" s="9">
        <f t="shared" si="80"/>
        <v>3.7735849056603772E-2</v>
      </c>
      <c r="K306" s="39"/>
      <c r="L306" s="39"/>
      <c r="M306" s="39">
        <v>2</v>
      </c>
      <c r="N306" s="39"/>
      <c r="O306" s="39"/>
      <c r="P306" s="39"/>
      <c r="Q306" s="39"/>
      <c r="R306" s="39"/>
      <c r="S306" s="10">
        <f t="shared" ref="S306:S316" si="81">SUM(K306:R306)</f>
        <v>2</v>
      </c>
      <c r="T306" s="10">
        <v>100000</v>
      </c>
      <c r="U306" s="10">
        <f t="shared" ref="U306:U307" si="82">T306*S306</f>
        <v>200000</v>
      </c>
      <c r="V306" s="4"/>
      <c r="W306" s="4"/>
      <c r="X306" s="4"/>
      <c r="Y306" s="4"/>
    </row>
    <row r="307" spans="2:25" ht="18.75" hidden="1">
      <c r="B307" s="58"/>
      <c r="C307" s="60"/>
      <c r="D307" s="52" t="s">
        <v>100</v>
      </c>
      <c r="E307" s="63"/>
      <c r="F307" s="8">
        <v>0.58333333333333337</v>
      </c>
      <c r="G307" s="67" t="s">
        <v>104</v>
      </c>
      <c r="H307" s="68"/>
      <c r="I307" s="35">
        <v>55</v>
      </c>
      <c r="J307" s="9">
        <f t="shared" si="80"/>
        <v>0</v>
      </c>
      <c r="K307" s="39"/>
      <c r="L307" s="39"/>
      <c r="M307" s="39"/>
      <c r="N307" s="39"/>
      <c r="O307" s="39"/>
      <c r="P307" s="39"/>
      <c r="Q307" s="39"/>
      <c r="R307" s="39"/>
      <c r="S307" s="10">
        <f t="shared" si="81"/>
        <v>0</v>
      </c>
      <c r="T307" s="10">
        <v>100000</v>
      </c>
      <c r="U307" s="10">
        <f t="shared" si="82"/>
        <v>0</v>
      </c>
      <c r="V307" s="4"/>
      <c r="W307" s="4"/>
      <c r="X307" s="4"/>
      <c r="Y307" s="4"/>
    </row>
    <row r="308" spans="2:25" ht="18.75" hidden="1">
      <c r="B308" s="58"/>
      <c r="C308" s="60"/>
      <c r="D308" s="52" t="s">
        <v>100</v>
      </c>
      <c r="E308" s="63"/>
      <c r="F308" s="8">
        <v>0.66666666666666663</v>
      </c>
      <c r="G308" s="67" t="s">
        <v>104</v>
      </c>
      <c r="H308" s="68"/>
      <c r="I308" s="35">
        <v>55</v>
      </c>
      <c r="J308" s="9">
        <f t="shared" si="80"/>
        <v>0</v>
      </c>
      <c r="K308" s="39"/>
      <c r="L308" s="39"/>
      <c r="M308" s="39"/>
      <c r="N308" s="39"/>
      <c r="O308" s="39"/>
      <c r="P308" s="39"/>
      <c r="Q308" s="39"/>
      <c r="R308" s="39"/>
      <c r="S308" s="10">
        <f t="shared" si="81"/>
        <v>0</v>
      </c>
      <c r="T308" s="10">
        <v>100000</v>
      </c>
      <c r="U308" s="10">
        <f>T308*S308</f>
        <v>0</v>
      </c>
      <c r="V308" s="4"/>
      <c r="W308" s="4"/>
      <c r="X308" s="4"/>
      <c r="Y308" s="4"/>
    </row>
    <row r="309" spans="2:25" ht="18.75" hidden="1">
      <c r="B309" s="58"/>
      <c r="C309" s="60"/>
      <c r="D309" s="52" t="s">
        <v>100</v>
      </c>
      <c r="E309" s="63"/>
      <c r="F309" s="8">
        <v>0.75</v>
      </c>
      <c r="G309" s="67" t="s">
        <v>104</v>
      </c>
      <c r="H309" s="68"/>
      <c r="I309" s="35">
        <v>55</v>
      </c>
      <c r="J309" s="9">
        <f t="shared" si="80"/>
        <v>0</v>
      </c>
      <c r="K309" s="39"/>
      <c r="L309" s="39"/>
      <c r="M309" s="39"/>
      <c r="N309" s="39"/>
      <c r="O309" s="39"/>
      <c r="P309" s="39"/>
      <c r="Q309" s="39"/>
      <c r="R309" s="39"/>
      <c r="S309" s="10">
        <f t="shared" si="81"/>
        <v>0</v>
      </c>
      <c r="T309" s="10">
        <v>100000</v>
      </c>
      <c r="U309" s="10">
        <f t="shared" ref="U309:U316" si="83">T309*S309</f>
        <v>0</v>
      </c>
      <c r="V309" s="4"/>
      <c r="W309" s="4"/>
      <c r="X309" s="11"/>
      <c r="Y309" s="4"/>
    </row>
    <row r="310" spans="2:25" ht="18.75" hidden="1">
      <c r="B310" s="58"/>
      <c r="C310" s="60"/>
      <c r="D310" s="53" t="s">
        <v>100</v>
      </c>
      <c r="E310" s="64"/>
      <c r="F310" s="12">
        <v>0.83333333333333337</v>
      </c>
      <c r="G310" s="67" t="s">
        <v>104</v>
      </c>
      <c r="H310" s="68"/>
      <c r="I310" s="36">
        <v>52</v>
      </c>
      <c r="J310" s="9">
        <f t="shared" si="80"/>
        <v>0</v>
      </c>
      <c r="K310" s="41"/>
      <c r="L310" s="41"/>
      <c r="M310" s="41"/>
      <c r="N310" s="41"/>
      <c r="O310" s="41"/>
      <c r="P310" s="41"/>
      <c r="Q310" s="41"/>
      <c r="R310" s="41"/>
      <c r="S310" s="13">
        <f t="shared" si="81"/>
        <v>0</v>
      </c>
      <c r="T310" s="13">
        <v>100000</v>
      </c>
      <c r="U310" s="13">
        <f t="shared" si="83"/>
        <v>0</v>
      </c>
      <c r="V310" s="4"/>
      <c r="Y310" s="4"/>
    </row>
    <row r="311" spans="2:25" ht="18.75" hidden="1" customHeight="1">
      <c r="B311" s="58"/>
      <c r="C311" s="60"/>
      <c r="D311" s="51" t="s">
        <v>100</v>
      </c>
      <c r="E311" s="62" t="s">
        <v>102</v>
      </c>
      <c r="F311" s="5">
        <v>0.91666666666666663</v>
      </c>
      <c r="G311" s="65" t="s">
        <v>88</v>
      </c>
      <c r="H311" s="66"/>
      <c r="I311" s="34">
        <v>20</v>
      </c>
      <c r="J311" s="6">
        <f t="shared" si="80"/>
        <v>0.5</v>
      </c>
      <c r="K311" s="38"/>
      <c r="L311" s="38"/>
      <c r="M311" s="38"/>
      <c r="N311" s="38"/>
      <c r="O311" s="38"/>
      <c r="P311" s="38"/>
      <c r="Q311" s="38">
        <v>10</v>
      </c>
      <c r="R311" s="38"/>
      <c r="S311" s="7">
        <f t="shared" si="81"/>
        <v>10</v>
      </c>
      <c r="T311" s="7">
        <v>100000</v>
      </c>
      <c r="U311" s="7">
        <f t="shared" si="83"/>
        <v>1000000</v>
      </c>
      <c r="V311" s="4"/>
      <c r="Y311" s="4"/>
    </row>
    <row r="312" spans="2:25" ht="18.75" hidden="1" customHeight="1">
      <c r="B312" s="58"/>
      <c r="C312" s="60"/>
      <c r="D312" s="52" t="s">
        <v>100</v>
      </c>
      <c r="E312" s="63"/>
      <c r="F312" s="8">
        <v>1</v>
      </c>
      <c r="G312" s="67" t="s">
        <v>88</v>
      </c>
      <c r="H312" s="68"/>
      <c r="I312" s="35">
        <v>50</v>
      </c>
      <c r="J312" s="9">
        <f t="shared" si="80"/>
        <v>0.04</v>
      </c>
      <c r="K312" s="39"/>
      <c r="L312" s="39"/>
      <c r="M312" s="39">
        <v>2</v>
      </c>
      <c r="N312" s="39"/>
      <c r="O312" s="39"/>
      <c r="P312" s="39"/>
      <c r="Q312" s="39"/>
      <c r="R312" s="39"/>
      <c r="S312" s="10">
        <f t="shared" si="81"/>
        <v>2</v>
      </c>
      <c r="T312" s="10">
        <v>100000</v>
      </c>
      <c r="U312" s="10">
        <f t="shared" si="83"/>
        <v>200000</v>
      </c>
      <c r="V312" s="4"/>
      <c r="Y312" s="4"/>
    </row>
    <row r="313" spans="2:25" ht="18.75" hidden="1" customHeight="1">
      <c r="B313" s="58"/>
      <c r="C313" s="60"/>
      <c r="D313" s="52" t="s">
        <v>100</v>
      </c>
      <c r="E313" s="63"/>
      <c r="F313" s="8">
        <v>8.3333333333333329E-2</v>
      </c>
      <c r="G313" s="67" t="s">
        <v>88</v>
      </c>
      <c r="H313" s="68"/>
      <c r="I313" s="35">
        <v>50</v>
      </c>
      <c r="J313" s="9">
        <f t="shared" si="80"/>
        <v>0.06</v>
      </c>
      <c r="K313" s="39"/>
      <c r="L313" s="39"/>
      <c r="M313" s="39"/>
      <c r="N313" s="39"/>
      <c r="O313" s="39"/>
      <c r="P313" s="39"/>
      <c r="Q313" s="39"/>
      <c r="R313" s="39">
        <v>3</v>
      </c>
      <c r="S313" s="10">
        <f t="shared" si="81"/>
        <v>3</v>
      </c>
      <c r="T313" s="10">
        <v>100000</v>
      </c>
      <c r="U313" s="10">
        <f t="shared" si="83"/>
        <v>300000</v>
      </c>
      <c r="V313" s="4"/>
      <c r="Y313" s="4"/>
    </row>
    <row r="314" spans="2:25" ht="18.75" hidden="1" customHeight="1">
      <c r="B314" s="58"/>
      <c r="C314" s="60"/>
      <c r="D314" s="52" t="s">
        <v>100</v>
      </c>
      <c r="E314" s="63"/>
      <c r="F314" s="8">
        <v>0.16666666666666666</v>
      </c>
      <c r="G314" s="67" t="s">
        <v>88</v>
      </c>
      <c r="H314" s="68"/>
      <c r="I314" s="35">
        <v>50</v>
      </c>
      <c r="J314" s="9">
        <f t="shared" si="80"/>
        <v>0.06</v>
      </c>
      <c r="K314" s="39"/>
      <c r="L314" s="39"/>
      <c r="M314" s="39"/>
      <c r="N314" s="39"/>
      <c r="O314" s="39"/>
      <c r="P314" s="39"/>
      <c r="Q314" s="39"/>
      <c r="R314" s="39">
        <v>3</v>
      </c>
      <c r="S314" s="10">
        <f t="shared" si="81"/>
        <v>3</v>
      </c>
      <c r="T314" s="10">
        <v>100000</v>
      </c>
      <c r="U314" s="10">
        <f t="shared" si="83"/>
        <v>300000</v>
      </c>
      <c r="V314" s="4"/>
      <c r="W314" s="4"/>
      <c r="X314" s="4"/>
      <c r="Y314" s="4"/>
    </row>
    <row r="315" spans="2:25" ht="18.75" hidden="1" customHeight="1">
      <c r="B315" s="58"/>
      <c r="C315" s="60"/>
      <c r="D315" s="52" t="s">
        <v>100</v>
      </c>
      <c r="E315" s="63"/>
      <c r="F315" s="8">
        <v>0.25</v>
      </c>
      <c r="G315" s="67" t="s">
        <v>88</v>
      </c>
      <c r="H315" s="68"/>
      <c r="I315" s="35">
        <v>50</v>
      </c>
      <c r="J315" s="9">
        <f t="shared" si="80"/>
        <v>0.06</v>
      </c>
      <c r="K315" s="39"/>
      <c r="L315" s="39"/>
      <c r="M315" s="39"/>
      <c r="N315" s="39"/>
      <c r="O315" s="39"/>
      <c r="P315" s="39"/>
      <c r="Q315" s="39"/>
      <c r="R315" s="39">
        <v>3</v>
      </c>
      <c r="S315" s="10">
        <f t="shared" si="81"/>
        <v>3</v>
      </c>
      <c r="T315" s="10">
        <v>100000</v>
      </c>
      <c r="U315" s="10">
        <f t="shared" si="83"/>
        <v>300000</v>
      </c>
      <c r="V315" s="4"/>
      <c r="Y315" s="4"/>
    </row>
    <row r="316" spans="2:25" ht="18.75" hidden="1" customHeight="1">
      <c r="B316" s="58"/>
      <c r="C316" s="61"/>
      <c r="D316" s="53" t="s">
        <v>100</v>
      </c>
      <c r="E316" s="69"/>
      <c r="F316" s="14">
        <v>0.33333333333333331</v>
      </c>
      <c r="G316" s="67" t="s">
        <v>88</v>
      </c>
      <c r="H316" s="68"/>
      <c r="I316" s="37">
        <v>50</v>
      </c>
      <c r="J316" s="15">
        <f t="shared" si="80"/>
        <v>0.06</v>
      </c>
      <c r="K316" s="40"/>
      <c r="L316" s="40"/>
      <c r="M316" s="40"/>
      <c r="N316" s="40"/>
      <c r="O316" s="40"/>
      <c r="P316" s="40"/>
      <c r="Q316" s="40"/>
      <c r="R316" s="40">
        <v>3</v>
      </c>
      <c r="S316" s="16">
        <f t="shared" si="81"/>
        <v>3</v>
      </c>
      <c r="T316" s="16">
        <v>100000</v>
      </c>
      <c r="U316" s="16">
        <f t="shared" si="83"/>
        <v>300000</v>
      </c>
      <c r="V316" s="4"/>
      <c r="W316" s="4"/>
      <c r="X316" s="4"/>
      <c r="Y316" s="4"/>
    </row>
    <row r="317" spans="2:25" ht="16.5" hidden="1" customHeight="1">
      <c r="B317" s="58">
        <v>46107</v>
      </c>
      <c r="C317" s="59" t="s">
        <v>14</v>
      </c>
      <c r="D317" s="51" t="s">
        <v>100</v>
      </c>
      <c r="E317" s="62" t="s">
        <v>101</v>
      </c>
      <c r="F317" s="5">
        <v>0.41666666666666669</v>
      </c>
      <c r="G317" s="65" t="s">
        <v>75</v>
      </c>
      <c r="H317" s="66"/>
      <c r="I317" s="34">
        <v>53</v>
      </c>
      <c r="J317" s="6">
        <f t="shared" si="80"/>
        <v>3.7735849056603772E-2</v>
      </c>
      <c r="K317" s="38"/>
      <c r="L317" s="38"/>
      <c r="M317" s="38">
        <v>2</v>
      </c>
      <c r="N317" s="38"/>
      <c r="O317" s="38"/>
      <c r="P317" s="38"/>
      <c r="Q317" s="38"/>
      <c r="R317" s="38"/>
      <c r="S317" s="7">
        <f>SUM(K317:R317)</f>
        <v>2</v>
      </c>
      <c r="T317" s="7">
        <v>100000</v>
      </c>
      <c r="U317" s="7">
        <f>T317*S317</f>
        <v>200000</v>
      </c>
      <c r="V317" s="4"/>
      <c r="W317" s="4"/>
      <c r="X317" s="4"/>
      <c r="Y317" s="4"/>
    </row>
    <row r="318" spans="2:25" ht="18.75" hidden="1" customHeight="1">
      <c r="B318" s="58"/>
      <c r="C318" s="60"/>
      <c r="D318" s="52" t="s">
        <v>100</v>
      </c>
      <c r="E318" s="63"/>
      <c r="F318" s="8">
        <v>0.5</v>
      </c>
      <c r="G318" s="67" t="s">
        <v>75</v>
      </c>
      <c r="H318" s="68"/>
      <c r="I318" s="35">
        <v>50</v>
      </c>
      <c r="J318" s="9">
        <f t="shared" si="80"/>
        <v>0.1</v>
      </c>
      <c r="K318" s="39"/>
      <c r="L318" s="39"/>
      <c r="M318" s="39">
        <v>5</v>
      </c>
      <c r="N318" s="39"/>
      <c r="O318" s="39"/>
      <c r="P318" s="39"/>
      <c r="Q318" s="39"/>
      <c r="R318" s="39"/>
      <c r="S318" s="10">
        <f t="shared" ref="S318:S328" si="84">SUM(K318:R318)</f>
        <v>5</v>
      </c>
      <c r="T318" s="10">
        <v>100000</v>
      </c>
      <c r="U318" s="10">
        <f t="shared" ref="U318:U319" si="85">T318*S318</f>
        <v>500000</v>
      </c>
      <c r="V318" s="4"/>
      <c r="W318" s="4"/>
      <c r="X318" s="4"/>
      <c r="Y318" s="4"/>
    </row>
    <row r="319" spans="2:25" ht="18.75" hidden="1" customHeight="1">
      <c r="B319" s="58"/>
      <c r="C319" s="60"/>
      <c r="D319" s="52" t="s">
        <v>100</v>
      </c>
      <c r="E319" s="63"/>
      <c r="F319" s="8">
        <v>0.58333333333333337</v>
      </c>
      <c r="G319" s="67" t="s">
        <v>75</v>
      </c>
      <c r="H319" s="68"/>
      <c r="I319" s="35">
        <v>55</v>
      </c>
      <c r="J319" s="9">
        <f t="shared" si="80"/>
        <v>0</v>
      </c>
      <c r="K319" s="39"/>
      <c r="L319" s="39"/>
      <c r="M319" s="39"/>
      <c r="N319" s="39"/>
      <c r="O319" s="39"/>
      <c r="P319" s="39"/>
      <c r="Q319" s="39"/>
      <c r="R319" s="39"/>
      <c r="S319" s="10">
        <f t="shared" si="84"/>
        <v>0</v>
      </c>
      <c r="T319" s="10">
        <v>100000</v>
      </c>
      <c r="U319" s="10">
        <f t="shared" si="85"/>
        <v>0</v>
      </c>
      <c r="V319" s="4"/>
      <c r="W319" s="4"/>
      <c r="X319" s="4"/>
      <c r="Y319" s="4"/>
    </row>
    <row r="320" spans="2:25" ht="18.75" hidden="1" customHeight="1">
      <c r="B320" s="58"/>
      <c r="C320" s="60"/>
      <c r="D320" s="52" t="s">
        <v>100</v>
      </c>
      <c r="E320" s="63"/>
      <c r="F320" s="8">
        <v>0.66666666666666663</v>
      </c>
      <c r="G320" s="67" t="s">
        <v>75</v>
      </c>
      <c r="H320" s="68"/>
      <c r="I320" s="35">
        <v>55</v>
      </c>
      <c r="J320" s="9">
        <f t="shared" si="80"/>
        <v>0</v>
      </c>
      <c r="K320" s="39"/>
      <c r="L320" s="39"/>
      <c r="M320" s="39"/>
      <c r="N320" s="39"/>
      <c r="O320" s="39"/>
      <c r="P320" s="39"/>
      <c r="Q320" s="39"/>
      <c r="R320" s="39"/>
      <c r="S320" s="10">
        <f t="shared" si="84"/>
        <v>0</v>
      </c>
      <c r="T320" s="10">
        <v>100000</v>
      </c>
      <c r="U320" s="10">
        <f>T320*S320</f>
        <v>0</v>
      </c>
      <c r="V320" s="4"/>
      <c r="W320" s="4"/>
      <c r="X320" s="4"/>
      <c r="Y320" s="4"/>
    </row>
    <row r="321" spans="2:25" ht="18.75" hidden="1" customHeight="1">
      <c r="B321" s="58"/>
      <c r="C321" s="60"/>
      <c r="D321" s="52" t="s">
        <v>100</v>
      </c>
      <c r="E321" s="63"/>
      <c r="F321" s="8">
        <v>0.75</v>
      </c>
      <c r="G321" s="67" t="s">
        <v>75</v>
      </c>
      <c r="H321" s="68"/>
      <c r="I321" s="35">
        <v>55</v>
      </c>
      <c r="J321" s="9">
        <f t="shared" si="80"/>
        <v>0</v>
      </c>
      <c r="K321" s="39"/>
      <c r="L321" s="39"/>
      <c r="M321" s="39"/>
      <c r="N321" s="39"/>
      <c r="O321" s="39"/>
      <c r="P321" s="39"/>
      <c r="Q321" s="39"/>
      <c r="R321" s="39"/>
      <c r="S321" s="10">
        <f t="shared" si="84"/>
        <v>0</v>
      </c>
      <c r="T321" s="10">
        <v>100000</v>
      </c>
      <c r="U321" s="10">
        <f t="shared" ref="U321:U328" si="86">T321*S321</f>
        <v>0</v>
      </c>
      <c r="V321" s="4"/>
      <c r="W321" s="4"/>
      <c r="X321" s="11"/>
      <c r="Y321" s="4"/>
    </row>
    <row r="322" spans="2:25" ht="18.75" hidden="1" customHeight="1">
      <c r="B322" s="58"/>
      <c r="C322" s="60"/>
      <c r="D322" s="53" t="s">
        <v>100</v>
      </c>
      <c r="E322" s="64"/>
      <c r="F322" s="12">
        <v>0.83333333333333337</v>
      </c>
      <c r="G322" s="67" t="s">
        <v>75</v>
      </c>
      <c r="H322" s="68"/>
      <c r="I322" s="36">
        <v>52</v>
      </c>
      <c r="J322" s="9">
        <f t="shared" si="80"/>
        <v>0</v>
      </c>
      <c r="K322" s="41"/>
      <c r="L322" s="41"/>
      <c r="M322" s="41"/>
      <c r="N322" s="41"/>
      <c r="O322" s="41"/>
      <c r="P322" s="41"/>
      <c r="Q322" s="41"/>
      <c r="R322" s="41"/>
      <c r="S322" s="13">
        <f t="shared" si="84"/>
        <v>0</v>
      </c>
      <c r="T322" s="13">
        <v>100000</v>
      </c>
      <c r="U322" s="13">
        <f t="shared" si="86"/>
        <v>0</v>
      </c>
      <c r="V322" s="4"/>
      <c r="Y322" s="4"/>
    </row>
    <row r="323" spans="2:25" ht="18.75" hidden="1">
      <c r="B323" s="58"/>
      <c r="C323" s="60"/>
      <c r="D323" s="51" t="s">
        <v>100</v>
      </c>
      <c r="E323" s="62" t="s">
        <v>102</v>
      </c>
      <c r="F323" s="5">
        <v>0.91666666666666663</v>
      </c>
      <c r="G323" s="65" t="s">
        <v>86</v>
      </c>
      <c r="H323" s="66"/>
      <c r="I323" s="34">
        <v>53</v>
      </c>
      <c r="J323" s="6">
        <f t="shared" si="80"/>
        <v>0</v>
      </c>
      <c r="K323" s="38"/>
      <c r="L323" s="38"/>
      <c r="M323" s="38"/>
      <c r="N323" s="38"/>
      <c r="O323" s="38"/>
      <c r="P323" s="38"/>
      <c r="Q323" s="38"/>
      <c r="R323" s="38"/>
      <c r="S323" s="7">
        <f t="shared" si="84"/>
        <v>0</v>
      </c>
      <c r="T323" s="7">
        <v>100000</v>
      </c>
      <c r="U323" s="7">
        <f t="shared" si="86"/>
        <v>0</v>
      </c>
      <c r="V323" s="4"/>
      <c r="Y323" s="4"/>
    </row>
    <row r="324" spans="2:25" ht="18.75" hidden="1">
      <c r="B324" s="58"/>
      <c r="C324" s="60"/>
      <c r="D324" s="52" t="s">
        <v>100</v>
      </c>
      <c r="E324" s="63"/>
      <c r="F324" s="8">
        <v>1</v>
      </c>
      <c r="G324" s="67" t="s">
        <v>86</v>
      </c>
      <c r="H324" s="68"/>
      <c r="I324" s="35">
        <v>53</v>
      </c>
      <c r="J324" s="9">
        <f t="shared" si="80"/>
        <v>3.7735849056603772E-2</v>
      </c>
      <c r="K324" s="39"/>
      <c r="L324" s="39"/>
      <c r="M324" s="39">
        <v>2</v>
      </c>
      <c r="N324" s="39"/>
      <c r="O324" s="39"/>
      <c r="P324" s="39"/>
      <c r="Q324" s="39"/>
      <c r="R324" s="39"/>
      <c r="S324" s="10">
        <f t="shared" si="84"/>
        <v>2</v>
      </c>
      <c r="T324" s="10">
        <v>100000</v>
      </c>
      <c r="U324" s="10">
        <f t="shared" si="86"/>
        <v>200000</v>
      </c>
      <c r="V324" s="4"/>
      <c r="Y324" s="4"/>
    </row>
    <row r="325" spans="2:25" ht="18.75" hidden="1">
      <c r="B325" s="58"/>
      <c r="C325" s="60"/>
      <c r="D325" s="52" t="s">
        <v>100</v>
      </c>
      <c r="E325" s="63"/>
      <c r="F325" s="8">
        <v>8.3333333333333329E-2</v>
      </c>
      <c r="G325" s="67" t="s">
        <v>86</v>
      </c>
      <c r="H325" s="68"/>
      <c r="I325" s="35">
        <v>53</v>
      </c>
      <c r="J325" s="9">
        <f t="shared" si="80"/>
        <v>3.7735849056603772E-2</v>
      </c>
      <c r="K325" s="39"/>
      <c r="L325" s="39"/>
      <c r="M325" s="39">
        <v>2</v>
      </c>
      <c r="N325" s="39"/>
      <c r="O325" s="39"/>
      <c r="P325" s="39"/>
      <c r="Q325" s="39"/>
      <c r="R325" s="39"/>
      <c r="S325" s="10">
        <f t="shared" si="84"/>
        <v>2</v>
      </c>
      <c r="T325" s="10">
        <v>100000</v>
      </c>
      <c r="U325" s="10">
        <f t="shared" si="86"/>
        <v>200000</v>
      </c>
      <c r="V325" s="4"/>
      <c r="Y325" s="4"/>
    </row>
    <row r="326" spans="2:25" ht="18.75" hidden="1">
      <c r="B326" s="58"/>
      <c r="C326" s="60"/>
      <c r="D326" s="52" t="s">
        <v>100</v>
      </c>
      <c r="E326" s="63"/>
      <c r="F326" s="8">
        <v>0.16666666666666666</v>
      </c>
      <c r="G326" s="67" t="s">
        <v>86</v>
      </c>
      <c r="H326" s="68"/>
      <c r="I326" s="35">
        <v>53</v>
      </c>
      <c r="J326" s="9">
        <f t="shared" si="80"/>
        <v>3.7735849056603772E-2</v>
      </c>
      <c r="K326" s="39"/>
      <c r="L326" s="39"/>
      <c r="M326" s="39">
        <v>2</v>
      </c>
      <c r="N326" s="39"/>
      <c r="O326" s="39"/>
      <c r="P326" s="39"/>
      <c r="Q326" s="39"/>
      <c r="R326" s="39"/>
      <c r="S326" s="10">
        <f t="shared" si="84"/>
        <v>2</v>
      </c>
      <c r="T326" s="10">
        <v>100000</v>
      </c>
      <c r="U326" s="10">
        <f t="shared" si="86"/>
        <v>200000</v>
      </c>
      <c r="V326" s="4"/>
      <c r="W326" s="4"/>
      <c r="X326" s="4"/>
      <c r="Y326" s="4"/>
    </row>
    <row r="327" spans="2:25" ht="18.75" hidden="1">
      <c r="B327" s="58"/>
      <c r="C327" s="60"/>
      <c r="D327" s="52" t="s">
        <v>100</v>
      </c>
      <c r="E327" s="63"/>
      <c r="F327" s="8">
        <v>0.25</v>
      </c>
      <c r="G327" s="67" t="s">
        <v>86</v>
      </c>
      <c r="H327" s="68"/>
      <c r="I327" s="35">
        <v>54</v>
      </c>
      <c r="J327" s="9">
        <f t="shared" si="80"/>
        <v>3.7037037037037035E-2</v>
      </c>
      <c r="K327" s="39"/>
      <c r="L327" s="39"/>
      <c r="M327" s="39">
        <v>2</v>
      </c>
      <c r="N327" s="39"/>
      <c r="O327" s="39"/>
      <c r="P327" s="39"/>
      <c r="Q327" s="39"/>
      <c r="R327" s="39"/>
      <c r="S327" s="10">
        <f t="shared" si="84"/>
        <v>2</v>
      </c>
      <c r="T327" s="10">
        <v>100000</v>
      </c>
      <c r="U327" s="10">
        <f t="shared" si="86"/>
        <v>200000</v>
      </c>
      <c r="V327" s="4"/>
      <c r="Y327" s="4"/>
    </row>
    <row r="328" spans="2:25" ht="18.75" hidden="1">
      <c r="B328" s="58"/>
      <c r="C328" s="61"/>
      <c r="D328" s="53" t="s">
        <v>100</v>
      </c>
      <c r="E328" s="69"/>
      <c r="F328" s="14">
        <v>0.33333333333333331</v>
      </c>
      <c r="G328" s="67" t="s">
        <v>86</v>
      </c>
      <c r="H328" s="68"/>
      <c r="I328" s="37">
        <v>54</v>
      </c>
      <c r="J328" s="15">
        <f t="shared" si="80"/>
        <v>3.7037037037037035E-2</v>
      </c>
      <c r="K328" s="40"/>
      <c r="L328" s="40"/>
      <c r="M328" s="40">
        <v>2</v>
      </c>
      <c r="N328" s="40"/>
      <c r="O328" s="40"/>
      <c r="P328" s="40"/>
      <c r="Q328" s="40"/>
      <c r="R328" s="40"/>
      <c r="S328" s="16">
        <f t="shared" si="84"/>
        <v>2</v>
      </c>
      <c r="T328" s="16">
        <v>100000</v>
      </c>
      <c r="U328" s="16">
        <f t="shared" si="86"/>
        <v>200000</v>
      </c>
      <c r="V328" s="4"/>
      <c r="W328" s="4"/>
      <c r="X328" s="4"/>
      <c r="Y328" s="4"/>
    </row>
    <row r="329" spans="2:25" ht="16.5" hidden="1" customHeight="1">
      <c r="B329" s="58">
        <v>46108</v>
      </c>
      <c r="C329" s="59" t="s">
        <v>14</v>
      </c>
      <c r="D329" s="51" t="s">
        <v>100</v>
      </c>
      <c r="E329" s="62" t="s">
        <v>101</v>
      </c>
      <c r="F329" s="5">
        <v>0.41666666666666669</v>
      </c>
      <c r="G329" s="65" t="s">
        <v>76</v>
      </c>
      <c r="H329" s="66"/>
      <c r="I329" s="34">
        <v>40</v>
      </c>
      <c r="J329" s="6">
        <f t="shared" ref="J329:J364" si="87">IFERROR(S329/I329,"")</f>
        <v>0.125</v>
      </c>
      <c r="K329" s="38"/>
      <c r="L329" s="38"/>
      <c r="M329" s="38">
        <v>5</v>
      </c>
      <c r="N329" s="38"/>
      <c r="O329" s="38"/>
      <c r="P329" s="38"/>
      <c r="Q329" s="38"/>
      <c r="R329" s="38"/>
      <c r="S329" s="7">
        <f>SUM(K329:R329)</f>
        <v>5</v>
      </c>
      <c r="T329" s="7">
        <v>100000</v>
      </c>
      <c r="U329" s="7">
        <f>T329*S329</f>
        <v>500000</v>
      </c>
      <c r="V329" s="4"/>
      <c r="W329" s="4"/>
      <c r="X329" s="4"/>
      <c r="Y329" s="4"/>
    </row>
    <row r="330" spans="2:25" ht="18.75" hidden="1" customHeight="1">
      <c r="B330" s="58"/>
      <c r="C330" s="60"/>
      <c r="D330" s="52" t="s">
        <v>100</v>
      </c>
      <c r="E330" s="63"/>
      <c r="F330" s="8">
        <v>0.5</v>
      </c>
      <c r="G330" s="67" t="s">
        <v>76</v>
      </c>
      <c r="H330" s="68"/>
      <c r="I330" s="35">
        <v>20</v>
      </c>
      <c r="J330" s="9">
        <f t="shared" si="87"/>
        <v>0.05</v>
      </c>
      <c r="K330" s="39"/>
      <c r="L330" s="39"/>
      <c r="M330" s="39"/>
      <c r="N330" s="39"/>
      <c r="O330" s="39"/>
      <c r="P330" s="39"/>
      <c r="Q330" s="39">
        <v>1</v>
      </c>
      <c r="R330" s="39"/>
      <c r="S330" s="10">
        <f t="shared" ref="S330:S340" si="88">SUM(K330:R330)</f>
        <v>1</v>
      </c>
      <c r="T330" s="10">
        <v>100000</v>
      </c>
      <c r="U330" s="10">
        <f t="shared" ref="U330:U331" si="89">T330*S330</f>
        <v>100000</v>
      </c>
      <c r="V330" s="4"/>
      <c r="W330" s="4"/>
      <c r="X330" s="4"/>
      <c r="Y330" s="4"/>
    </row>
    <row r="331" spans="2:25" ht="18.75" hidden="1" customHeight="1">
      <c r="B331" s="58"/>
      <c r="C331" s="60"/>
      <c r="D331" s="52" t="s">
        <v>100</v>
      </c>
      <c r="E331" s="63"/>
      <c r="F331" s="8">
        <v>0.58333333333333337</v>
      </c>
      <c r="G331" s="67" t="s">
        <v>76</v>
      </c>
      <c r="H331" s="68"/>
      <c r="I331" s="35">
        <v>53</v>
      </c>
      <c r="J331" s="9">
        <f t="shared" si="87"/>
        <v>3.7735849056603772E-2</v>
      </c>
      <c r="K331" s="39"/>
      <c r="L331" s="39"/>
      <c r="M331" s="39">
        <v>2</v>
      </c>
      <c r="N331" s="39"/>
      <c r="O331" s="39"/>
      <c r="P331" s="39"/>
      <c r="Q331" s="39"/>
      <c r="R331" s="39"/>
      <c r="S331" s="10">
        <f t="shared" si="88"/>
        <v>2</v>
      </c>
      <c r="T331" s="10">
        <v>100000</v>
      </c>
      <c r="U331" s="10">
        <f t="shared" si="89"/>
        <v>200000</v>
      </c>
      <c r="V331" s="4"/>
      <c r="W331" s="4"/>
      <c r="X331" s="4"/>
      <c r="Y331" s="4"/>
    </row>
    <row r="332" spans="2:25" ht="18.75" hidden="1" customHeight="1">
      <c r="B332" s="58"/>
      <c r="C332" s="60"/>
      <c r="D332" s="52" t="s">
        <v>100</v>
      </c>
      <c r="E332" s="63"/>
      <c r="F332" s="8">
        <v>0.66666666666666663</v>
      </c>
      <c r="G332" s="67" t="s">
        <v>76</v>
      </c>
      <c r="H332" s="68"/>
      <c r="I332" s="35">
        <v>50</v>
      </c>
      <c r="J332" s="9">
        <f t="shared" si="87"/>
        <v>0.02</v>
      </c>
      <c r="K332" s="39"/>
      <c r="L332" s="39"/>
      <c r="M332" s="39"/>
      <c r="N332" s="39"/>
      <c r="O332" s="39"/>
      <c r="P332" s="39"/>
      <c r="Q332" s="39">
        <v>1</v>
      </c>
      <c r="R332" s="39"/>
      <c r="S332" s="10">
        <f t="shared" si="88"/>
        <v>1</v>
      </c>
      <c r="T332" s="10">
        <v>100000</v>
      </c>
      <c r="U332" s="10">
        <f>T332*S332</f>
        <v>100000</v>
      </c>
      <c r="V332" s="4"/>
      <c r="W332" s="4"/>
      <c r="X332" s="4"/>
      <c r="Y332" s="4"/>
    </row>
    <row r="333" spans="2:25" ht="18.75" hidden="1" customHeight="1">
      <c r="B333" s="58"/>
      <c r="C333" s="60"/>
      <c r="D333" s="52" t="s">
        <v>100</v>
      </c>
      <c r="E333" s="63"/>
      <c r="F333" s="8">
        <v>0.75</v>
      </c>
      <c r="G333" s="67" t="s">
        <v>76</v>
      </c>
      <c r="H333" s="68"/>
      <c r="I333" s="35">
        <v>37</v>
      </c>
      <c r="J333" s="9">
        <f t="shared" si="87"/>
        <v>5.4054054054054057E-2</v>
      </c>
      <c r="K333" s="39"/>
      <c r="L333" s="39"/>
      <c r="M333" s="39"/>
      <c r="N333" s="39"/>
      <c r="O333" s="39"/>
      <c r="P333" s="39"/>
      <c r="Q333" s="39">
        <v>2</v>
      </c>
      <c r="R333" s="39"/>
      <c r="S333" s="10">
        <f t="shared" si="88"/>
        <v>2</v>
      </c>
      <c r="T333" s="10">
        <v>100000</v>
      </c>
      <c r="U333" s="10">
        <f t="shared" ref="U333:U340" si="90">T333*S333</f>
        <v>200000</v>
      </c>
      <c r="V333" s="4"/>
      <c r="W333" s="4"/>
      <c r="X333" s="11"/>
      <c r="Y333" s="4"/>
    </row>
    <row r="334" spans="2:25" ht="18.75" hidden="1" customHeight="1">
      <c r="B334" s="58"/>
      <c r="C334" s="60"/>
      <c r="D334" s="53" t="s">
        <v>100</v>
      </c>
      <c r="E334" s="64"/>
      <c r="F334" s="12">
        <v>0.83333333333333337</v>
      </c>
      <c r="G334" s="67" t="s">
        <v>76</v>
      </c>
      <c r="H334" s="68"/>
      <c r="I334" s="36">
        <v>50</v>
      </c>
      <c r="J334" s="9">
        <f t="shared" si="87"/>
        <v>0</v>
      </c>
      <c r="K334" s="41"/>
      <c r="L334" s="41"/>
      <c r="M334" s="41"/>
      <c r="N334" s="41"/>
      <c r="O334" s="41"/>
      <c r="P334" s="41"/>
      <c r="Q334" s="41"/>
      <c r="R334" s="41"/>
      <c r="S334" s="13">
        <f t="shared" si="88"/>
        <v>0</v>
      </c>
      <c r="T334" s="13">
        <v>100000</v>
      </c>
      <c r="U334" s="13">
        <f t="shared" si="90"/>
        <v>0</v>
      </c>
      <c r="V334" s="4"/>
      <c r="Y334" s="4"/>
    </row>
    <row r="335" spans="2:25" ht="18.75" hidden="1">
      <c r="B335" s="58"/>
      <c r="C335" s="60"/>
      <c r="D335" s="51" t="s">
        <v>100</v>
      </c>
      <c r="E335" s="62" t="s">
        <v>102</v>
      </c>
      <c r="F335" s="5">
        <v>0.91666666666666663</v>
      </c>
      <c r="G335" s="65" t="s">
        <v>86</v>
      </c>
      <c r="H335" s="66"/>
      <c r="I335" s="34">
        <v>51</v>
      </c>
      <c r="J335" s="6">
        <f t="shared" si="87"/>
        <v>3.9215686274509803E-2</v>
      </c>
      <c r="K335" s="38"/>
      <c r="L335" s="38"/>
      <c r="M335" s="38">
        <v>2</v>
      </c>
      <c r="N335" s="38"/>
      <c r="O335" s="38"/>
      <c r="P335" s="38"/>
      <c r="Q335" s="38"/>
      <c r="R335" s="38"/>
      <c r="S335" s="7">
        <f t="shared" si="88"/>
        <v>2</v>
      </c>
      <c r="T335" s="7">
        <v>100000</v>
      </c>
      <c r="U335" s="7">
        <f t="shared" si="90"/>
        <v>200000</v>
      </c>
      <c r="V335" s="4"/>
      <c r="Y335" s="4"/>
    </row>
    <row r="336" spans="2:25" ht="18.75" hidden="1">
      <c r="B336" s="58"/>
      <c r="C336" s="60"/>
      <c r="D336" s="52" t="s">
        <v>100</v>
      </c>
      <c r="E336" s="63"/>
      <c r="F336" s="8">
        <v>1</v>
      </c>
      <c r="G336" s="67" t="s">
        <v>86</v>
      </c>
      <c r="H336" s="68"/>
      <c r="I336" s="35">
        <v>51</v>
      </c>
      <c r="J336" s="9">
        <f t="shared" si="87"/>
        <v>3.9215686274509803E-2</v>
      </c>
      <c r="K336" s="39"/>
      <c r="L336" s="39"/>
      <c r="M336" s="39">
        <v>2</v>
      </c>
      <c r="N336" s="39"/>
      <c r="O336" s="39"/>
      <c r="P336" s="39"/>
      <c r="Q336" s="39"/>
      <c r="R336" s="39"/>
      <c r="S336" s="10">
        <f t="shared" si="88"/>
        <v>2</v>
      </c>
      <c r="T336" s="10">
        <v>100000</v>
      </c>
      <c r="U336" s="10">
        <f t="shared" si="90"/>
        <v>200000</v>
      </c>
      <c r="V336" s="4"/>
      <c r="Y336" s="4"/>
    </row>
    <row r="337" spans="2:25" ht="18.75" hidden="1">
      <c r="B337" s="58"/>
      <c r="C337" s="60"/>
      <c r="D337" s="52" t="s">
        <v>100</v>
      </c>
      <c r="E337" s="63"/>
      <c r="F337" s="8">
        <v>8.3333333333333329E-2</v>
      </c>
      <c r="G337" s="67" t="s">
        <v>86</v>
      </c>
      <c r="H337" s="68"/>
      <c r="I337" s="35">
        <v>52</v>
      </c>
      <c r="J337" s="9">
        <f t="shared" si="87"/>
        <v>3.8461538461538464E-2</v>
      </c>
      <c r="K337" s="39"/>
      <c r="L337" s="39"/>
      <c r="M337" s="39">
        <v>2</v>
      </c>
      <c r="N337" s="39"/>
      <c r="O337" s="39"/>
      <c r="P337" s="39"/>
      <c r="Q337" s="39"/>
      <c r="R337" s="39"/>
      <c r="S337" s="10">
        <f t="shared" si="88"/>
        <v>2</v>
      </c>
      <c r="T337" s="10">
        <v>100000</v>
      </c>
      <c r="U337" s="10">
        <f t="shared" si="90"/>
        <v>200000</v>
      </c>
      <c r="V337" s="4"/>
      <c r="Y337" s="4"/>
    </row>
    <row r="338" spans="2:25" ht="18.75" hidden="1">
      <c r="B338" s="58"/>
      <c r="C338" s="60"/>
      <c r="D338" s="52" t="s">
        <v>100</v>
      </c>
      <c r="E338" s="63"/>
      <c r="F338" s="8">
        <v>0.16666666666666666</v>
      </c>
      <c r="G338" s="67" t="s">
        <v>86</v>
      </c>
      <c r="H338" s="68"/>
      <c r="I338" s="35">
        <v>52</v>
      </c>
      <c r="J338" s="9">
        <f t="shared" si="87"/>
        <v>3.8461538461538464E-2</v>
      </c>
      <c r="K338" s="39"/>
      <c r="L338" s="39"/>
      <c r="M338" s="39">
        <v>2</v>
      </c>
      <c r="N338" s="39"/>
      <c r="O338" s="39"/>
      <c r="P338" s="39"/>
      <c r="Q338" s="39"/>
      <c r="R338" s="39"/>
      <c r="S338" s="10">
        <f t="shared" si="88"/>
        <v>2</v>
      </c>
      <c r="T338" s="10">
        <v>100000</v>
      </c>
      <c r="U338" s="10">
        <f t="shared" si="90"/>
        <v>200000</v>
      </c>
      <c r="V338" s="4"/>
      <c r="W338" s="4"/>
      <c r="X338" s="4"/>
      <c r="Y338" s="4"/>
    </row>
    <row r="339" spans="2:25" ht="18.75" hidden="1">
      <c r="B339" s="58"/>
      <c r="C339" s="60"/>
      <c r="D339" s="52" t="s">
        <v>100</v>
      </c>
      <c r="E339" s="63"/>
      <c r="F339" s="8">
        <v>0.25</v>
      </c>
      <c r="G339" s="67" t="s">
        <v>86</v>
      </c>
      <c r="H339" s="68"/>
      <c r="I339" s="35">
        <v>52</v>
      </c>
      <c r="J339" s="9">
        <f t="shared" si="87"/>
        <v>0</v>
      </c>
      <c r="K339" s="39"/>
      <c r="L339" s="39"/>
      <c r="M339" s="39"/>
      <c r="N339" s="39"/>
      <c r="O339" s="39"/>
      <c r="P339" s="39"/>
      <c r="Q339" s="39"/>
      <c r="R339" s="39"/>
      <c r="S339" s="10">
        <f t="shared" si="88"/>
        <v>0</v>
      </c>
      <c r="T339" s="10">
        <v>100000</v>
      </c>
      <c r="U339" s="10">
        <f t="shared" si="90"/>
        <v>0</v>
      </c>
      <c r="V339" s="4"/>
      <c r="Y339" s="4"/>
    </row>
    <row r="340" spans="2:25" ht="18.75" hidden="1">
      <c r="B340" s="58"/>
      <c r="C340" s="61"/>
      <c r="D340" s="53" t="s">
        <v>100</v>
      </c>
      <c r="E340" s="69"/>
      <c r="F340" s="14">
        <v>0.33333333333333331</v>
      </c>
      <c r="G340" s="67" t="s">
        <v>86</v>
      </c>
      <c r="H340" s="68"/>
      <c r="I340" s="37">
        <v>52</v>
      </c>
      <c r="J340" s="15">
        <f t="shared" si="87"/>
        <v>0</v>
      </c>
      <c r="K340" s="40"/>
      <c r="L340" s="40"/>
      <c r="M340" s="40"/>
      <c r="N340" s="40"/>
      <c r="O340" s="40"/>
      <c r="P340" s="40"/>
      <c r="Q340" s="40"/>
      <c r="R340" s="40"/>
      <c r="S340" s="16">
        <f t="shared" si="88"/>
        <v>0</v>
      </c>
      <c r="T340" s="16">
        <v>100000</v>
      </c>
      <c r="U340" s="16">
        <f t="shared" si="90"/>
        <v>0</v>
      </c>
      <c r="V340" s="4"/>
      <c r="W340" s="4"/>
      <c r="X340" s="4"/>
      <c r="Y340" s="4"/>
    </row>
    <row r="341" spans="2:25" ht="16.5" hidden="1" customHeight="1">
      <c r="B341" s="58">
        <v>46109</v>
      </c>
      <c r="C341" s="59" t="s">
        <v>14</v>
      </c>
      <c r="D341" s="51" t="s">
        <v>100</v>
      </c>
      <c r="E341" s="62" t="s">
        <v>101</v>
      </c>
      <c r="F341" s="5">
        <v>0.41666666666666669</v>
      </c>
      <c r="G341" s="65" t="s">
        <v>76</v>
      </c>
      <c r="H341" s="66"/>
      <c r="I341" s="34">
        <v>54</v>
      </c>
      <c r="J341" s="6">
        <f>IFERROR(S341/I341,"")</f>
        <v>3.7037037037037035E-2</v>
      </c>
      <c r="K341" s="38"/>
      <c r="L341" s="38"/>
      <c r="M341" s="38">
        <v>2</v>
      </c>
      <c r="N341" s="38"/>
      <c r="O341" s="38"/>
      <c r="P341" s="38"/>
      <c r="Q341" s="38"/>
      <c r="R341" s="38"/>
      <c r="S341" s="7">
        <f>SUM(K341:R341)</f>
        <v>2</v>
      </c>
      <c r="T341" s="7">
        <v>100000</v>
      </c>
      <c r="U341" s="7">
        <f>T341*S341</f>
        <v>200000</v>
      </c>
      <c r="V341" s="4"/>
      <c r="W341" s="4"/>
      <c r="X341" s="4"/>
      <c r="Y341" s="4"/>
    </row>
    <row r="342" spans="2:25" ht="18.75" hidden="1" customHeight="1">
      <c r="B342" s="58"/>
      <c r="C342" s="60"/>
      <c r="D342" s="52" t="s">
        <v>100</v>
      </c>
      <c r="E342" s="63"/>
      <c r="F342" s="8">
        <v>0.5</v>
      </c>
      <c r="G342" s="67" t="s">
        <v>76</v>
      </c>
      <c r="H342" s="68"/>
      <c r="I342" s="35">
        <v>56</v>
      </c>
      <c r="J342" s="9">
        <f>IFERROR(S342/I342,"")</f>
        <v>0</v>
      </c>
      <c r="K342" s="39"/>
      <c r="L342" s="39"/>
      <c r="M342" s="39"/>
      <c r="N342" s="39"/>
      <c r="O342" s="39"/>
      <c r="P342" s="39"/>
      <c r="Q342" s="39"/>
      <c r="R342" s="39"/>
      <c r="S342" s="10">
        <f t="shared" ref="S342:S352" si="91">SUM(K342:R342)</f>
        <v>0</v>
      </c>
      <c r="T342" s="10">
        <v>100000</v>
      </c>
      <c r="U342" s="10">
        <f t="shared" ref="U342:U343" si="92">T342*S342</f>
        <v>0</v>
      </c>
      <c r="V342" s="4"/>
      <c r="W342" s="4"/>
      <c r="X342" s="4"/>
      <c r="Y342" s="4"/>
    </row>
    <row r="343" spans="2:25" ht="18.75" hidden="1" customHeight="1">
      <c r="B343" s="58"/>
      <c r="C343" s="60"/>
      <c r="D343" s="52" t="s">
        <v>100</v>
      </c>
      <c r="E343" s="63"/>
      <c r="F343" s="8">
        <v>0.58333333333333337</v>
      </c>
      <c r="G343" s="67" t="s">
        <v>76</v>
      </c>
      <c r="H343" s="68"/>
      <c r="I343" s="35">
        <v>56</v>
      </c>
      <c r="J343" s="9">
        <f t="shared" si="87"/>
        <v>0</v>
      </c>
      <c r="K343" s="39"/>
      <c r="L343" s="39"/>
      <c r="M343" s="39"/>
      <c r="N343" s="39"/>
      <c r="O343" s="39"/>
      <c r="P343" s="39"/>
      <c r="Q343" s="39"/>
      <c r="R343" s="39"/>
      <c r="S343" s="10">
        <f t="shared" si="91"/>
        <v>0</v>
      </c>
      <c r="T343" s="10">
        <v>100000</v>
      </c>
      <c r="U343" s="10">
        <f t="shared" si="92"/>
        <v>0</v>
      </c>
      <c r="V343" s="4"/>
      <c r="W343" s="4"/>
      <c r="X343" s="4"/>
      <c r="Y343" s="4"/>
    </row>
    <row r="344" spans="2:25" ht="18.75" hidden="1" customHeight="1">
      <c r="B344" s="58"/>
      <c r="C344" s="60"/>
      <c r="D344" s="52" t="s">
        <v>100</v>
      </c>
      <c r="E344" s="63"/>
      <c r="F344" s="8">
        <v>0.66666666666666663</v>
      </c>
      <c r="G344" s="67" t="s">
        <v>76</v>
      </c>
      <c r="H344" s="68"/>
      <c r="I344" s="35">
        <v>56</v>
      </c>
      <c r="J344" s="9">
        <f t="shared" si="87"/>
        <v>0</v>
      </c>
      <c r="K344" s="39"/>
      <c r="L344" s="39"/>
      <c r="M344" s="39"/>
      <c r="N344" s="39"/>
      <c r="O344" s="39"/>
      <c r="P344" s="39"/>
      <c r="Q344" s="39"/>
      <c r="R344" s="39"/>
      <c r="S344" s="10">
        <f t="shared" si="91"/>
        <v>0</v>
      </c>
      <c r="T344" s="10">
        <v>100000</v>
      </c>
      <c r="U344" s="10">
        <f>T344*S344</f>
        <v>0</v>
      </c>
      <c r="V344" s="4"/>
      <c r="W344" s="4"/>
      <c r="X344" s="4"/>
      <c r="Y344" s="4"/>
    </row>
    <row r="345" spans="2:25" ht="18.75" hidden="1" customHeight="1">
      <c r="B345" s="58"/>
      <c r="C345" s="60"/>
      <c r="D345" s="52" t="s">
        <v>100</v>
      </c>
      <c r="E345" s="63"/>
      <c r="F345" s="8">
        <v>0.75</v>
      </c>
      <c r="G345" s="67" t="s">
        <v>76</v>
      </c>
      <c r="H345" s="68"/>
      <c r="I345" s="35">
        <v>16</v>
      </c>
      <c r="J345" s="9">
        <f t="shared" si="87"/>
        <v>0</v>
      </c>
      <c r="K345" s="39"/>
      <c r="L345" s="39"/>
      <c r="M345" s="39"/>
      <c r="N345" s="39"/>
      <c r="O345" s="39"/>
      <c r="P345" s="39"/>
      <c r="Q345" s="39"/>
      <c r="R345" s="39"/>
      <c r="S345" s="10">
        <f t="shared" si="91"/>
        <v>0</v>
      </c>
      <c r="T345" s="10">
        <v>100000</v>
      </c>
      <c r="U345" s="10">
        <f t="shared" ref="U345:U352" si="93">T345*S345</f>
        <v>0</v>
      </c>
      <c r="V345" s="4"/>
      <c r="W345" s="4"/>
      <c r="X345" s="11"/>
      <c r="Y345" s="4"/>
    </row>
    <row r="346" spans="2:25" ht="18.75" hidden="1" customHeight="1">
      <c r="B346" s="58"/>
      <c r="C346" s="60"/>
      <c r="D346" s="53" t="s">
        <v>100</v>
      </c>
      <c r="E346" s="64"/>
      <c r="F346" s="12">
        <v>0.83333333333333337</v>
      </c>
      <c r="G346" s="67" t="s">
        <v>76</v>
      </c>
      <c r="H346" s="68"/>
      <c r="I346" s="36"/>
      <c r="J346" s="9" t="str">
        <f t="shared" si="87"/>
        <v/>
      </c>
      <c r="K346" s="41"/>
      <c r="L346" s="41"/>
      <c r="M346" s="41"/>
      <c r="N346" s="41"/>
      <c r="O346" s="41"/>
      <c r="P346" s="41"/>
      <c r="Q346" s="41"/>
      <c r="R346" s="41"/>
      <c r="S346" s="13">
        <f t="shared" si="91"/>
        <v>0</v>
      </c>
      <c r="T346" s="13">
        <v>100000</v>
      </c>
      <c r="U346" s="13">
        <f t="shared" si="93"/>
        <v>0</v>
      </c>
      <c r="V346" s="4"/>
      <c r="Y346" s="4"/>
    </row>
    <row r="347" spans="2:25" ht="18.75" hidden="1">
      <c r="B347" s="58"/>
      <c r="C347" s="60"/>
      <c r="D347" s="51" t="s">
        <v>100</v>
      </c>
      <c r="E347" s="62" t="s">
        <v>102</v>
      </c>
      <c r="F347" s="5">
        <v>0.91666666666666663</v>
      </c>
      <c r="G347" s="65" t="s">
        <v>88</v>
      </c>
      <c r="H347" s="66"/>
      <c r="I347" s="34">
        <v>40</v>
      </c>
      <c r="J347" s="6">
        <f t="shared" si="87"/>
        <v>0.25</v>
      </c>
      <c r="K347" s="38"/>
      <c r="L347" s="38"/>
      <c r="M347" s="38">
        <v>10</v>
      </c>
      <c r="N347" s="38"/>
      <c r="O347" s="38"/>
      <c r="P347" s="38"/>
      <c r="Q347" s="38"/>
      <c r="R347" s="38"/>
      <c r="S347" s="7">
        <f t="shared" si="91"/>
        <v>10</v>
      </c>
      <c r="T347" s="7">
        <v>100000</v>
      </c>
      <c r="U347" s="7">
        <f t="shared" si="93"/>
        <v>1000000</v>
      </c>
      <c r="V347" s="4"/>
      <c r="Y347" s="4"/>
    </row>
    <row r="348" spans="2:25" ht="18.75" hidden="1">
      <c r="B348" s="58"/>
      <c r="C348" s="60"/>
      <c r="D348" s="52" t="s">
        <v>100</v>
      </c>
      <c r="E348" s="63"/>
      <c r="F348" s="8">
        <v>1</v>
      </c>
      <c r="G348" s="67" t="s">
        <v>88</v>
      </c>
      <c r="H348" s="68"/>
      <c r="I348" s="35">
        <v>52</v>
      </c>
      <c r="J348" s="9">
        <f t="shared" si="87"/>
        <v>3.8461538461538464E-2</v>
      </c>
      <c r="K348" s="39"/>
      <c r="L348" s="39"/>
      <c r="M348" s="39"/>
      <c r="N348" s="39"/>
      <c r="O348" s="39"/>
      <c r="P348" s="39"/>
      <c r="Q348" s="39"/>
      <c r="R348" s="39">
        <v>2</v>
      </c>
      <c r="S348" s="10">
        <f t="shared" si="91"/>
        <v>2</v>
      </c>
      <c r="T348" s="10">
        <v>100000</v>
      </c>
      <c r="U348" s="10">
        <f t="shared" si="93"/>
        <v>200000</v>
      </c>
      <c r="V348" s="4"/>
      <c r="Y348" s="4"/>
    </row>
    <row r="349" spans="2:25" ht="18.75" hidden="1">
      <c r="B349" s="58"/>
      <c r="C349" s="60"/>
      <c r="D349" s="52" t="s">
        <v>100</v>
      </c>
      <c r="E349" s="63"/>
      <c r="F349" s="8">
        <v>8.3333333333333329E-2</v>
      </c>
      <c r="G349" s="67" t="s">
        <v>88</v>
      </c>
      <c r="H349" s="68"/>
      <c r="I349" s="35">
        <v>52</v>
      </c>
      <c r="J349" s="9">
        <f t="shared" si="87"/>
        <v>3.8461538461538464E-2</v>
      </c>
      <c r="K349" s="39"/>
      <c r="L349" s="39"/>
      <c r="M349" s="39"/>
      <c r="N349" s="39"/>
      <c r="O349" s="39"/>
      <c r="P349" s="39"/>
      <c r="Q349" s="39"/>
      <c r="R349" s="39">
        <v>2</v>
      </c>
      <c r="S349" s="10">
        <f t="shared" si="91"/>
        <v>2</v>
      </c>
      <c r="T349" s="10">
        <v>100000</v>
      </c>
      <c r="U349" s="10">
        <f t="shared" si="93"/>
        <v>200000</v>
      </c>
      <c r="V349" s="4"/>
      <c r="Y349" s="4"/>
    </row>
    <row r="350" spans="2:25" ht="18.75" hidden="1">
      <c r="B350" s="58"/>
      <c r="C350" s="60"/>
      <c r="D350" s="52" t="s">
        <v>100</v>
      </c>
      <c r="E350" s="63"/>
      <c r="F350" s="8">
        <v>0.16666666666666666</v>
      </c>
      <c r="G350" s="67" t="s">
        <v>88</v>
      </c>
      <c r="H350" s="68"/>
      <c r="I350" s="35">
        <v>52</v>
      </c>
      <c r="J350" s="9">
        <f t="shared" si="87"/>
        <v>3.8461538461538464E-2</v>
      </c>
      <c r="K350" s="39"/>
      <c r="L350" s="39"/>
      <c r="M350" s="39"/>
      <c r="N350" s="39"/>
      <c r="O350" s="39"/>
      <c r="P350" s="39"/>
      <c r="Q350" s="39"/>
      <c r="R350" s="39">
        <v>2</v>
      </c>
      <c r="S350" s="10">
        <f t="shared" si="91"/>
        <v>2</v>
      </c>
      <c r="T350" s="10">
        <v>100000</v>
      </c>
      <c r="U350" s="10">
        <f t="shared" si="93"/>
        <v>200000</v>
      </c>
      <c r="V350" s="4"/>
      <c r="W350" s="4"/>
      <c r="X350" s="4"/>
      <c r="Y350" s="4"/>
    </row>
    <row r="351" spans="2:25" ht="18.75" hidden="1">
      <c r="B351" s="58"/>
      <c r="C351" s="60"/>
      <c r="D351" s="52" t="s">
        <v>100</v>
      </c>
      <c r="E351" s="63"/>
      <c r="F351" s="8">
        <v>0.25</v>
      </c>
      <c r="G351" s="67" t="s">
        <v>88</v>
      </c>
      <c r="H351" s="68"/>
      <c r="I351" s="35">
        <v>52</v>
      </c>
      <c r="J351" s="9">
        <f t="shared" si="87"/>
        <v>1.9230769230769232E-2</v>
      </c>
      <c r="K351" s="39"/>
      <c r="L351" s="39"/>
      <c r="M351" s="39"/>
      <c r="N351" s="39"/>
      <c r="O351" s="39"/>
      <c r="P351" s="39"/>
      <c r="Q351" s="39"/>
      <c r="R351" s="39">
        <v>1</v>
      </c>
      <c r="S351" s="10">
        <f t="shared" si="91"/>
        <v>1</v>
      </c>
      <c r="T351" s="10">
        <v>100000</v>
      </c>
      <c r="U351" s="10">
        <f t="shared" si="93"/>
        <v>100000</v>
      </c>
      <c r="V351" s="4"/>
      <c r="Y351" s="4"/>
    </row>
    <row r="352" spans="2:25" ht="18.75" hidden="1">
      <c r="B352" s="58"/>
      <c r="C352" s="61"/>
      <c r="D352" s="53" t="s">
        <v>100</v>
      </c>
      <c r="E352" s="69"/>
      <c r="F352" s="14">
        <v>0.33333333333333331</v>
      </c>
      <c r="G352" s="67" t="s">
        <v>88</v>
      </c>
      <c r="H352" s="68"/>
      <c r="I352" s="37">
        <v>52</v>
      </c>
      <c r="J352" s="15">
        <f t="shared" si="87"/>
        <v>0</v>
      </c>
      <c r="K352" s="40"/>
      <c r="L352" s="40"/>
      <c r="M352" s="40"/>
      <c r="N352" s="40"/>
      <c r="O352" s="40"/>
      <c r="P352" s="40"/>
      <c r="Q352" s="40"/>
      <c r="R352" s="40"/>
      <c r="S352" s="16">
        <f t="shared" si="91"/>
        <v>0</v>
      </c>
      <c r="T352" s="16">
        <v>100000</v>
      </c>
      <c r="U352" s="16">
        <f t="shared" si="93"/>
        <v>0</v>
      </c>
      <c r="V352" s="4"/>
      <c r="W352" s="4"/>
      <c r="X352" s="4"/>
      <c r="Y352" s="4"/>
    </row>
    <row r="353" spans="2:25" ht="16.5" hidden="1" customHeight="1">
      <c r="B353" s="58">
        <v>46110</v>
      </c>
      <c r="C353" s="59" t="s">
        <v>14</v>
      </c>
      <c r="D353" s="51"/>
      <c r="E353" s="62" t="s">
        <v>101</v>
      </c>
      <c r="F353" s="5">
        <v>0.41666666666666669</v>
      </c>
      <c r="G353" s="65"/>
      <c r="H353" s="66"/>
      <c r="I353" s="34"/>
      <c r="J353" s="6" t="str">
        <f t="shared" si="87"/>
        <v/>
      </c>
      <c r="K353" s="38"/>
      <c r="L353" s="38"/>
      <c r="M353" s="38"/>
      <c r="N353" s="38"/>
      <c r="O353" s="38"/>
      <c r="P353" s="38"/>
      <c r="Q353" s="38"/>
      <c r="R353" s="38"/>
      <c r="S353" s="7">
        <f>SUM(K353:R353)</f>
        <v>0</v>
      </c>
      <c r="T353" s="7">
        <v>100000</v>
      </c>
      <c r="U353" s="7">
        <f>T353*S353</f>
        <v>0</v>
      </c>
      <c r="V353" s="4"/>
      <c r="W353" s="4"/>
      <c r="X353" s="4"/>
      <c r="Y353" s="4"/>
    </row>
    <row r="354" spans="2:25" ht="18.75" hidden="1" customHeight="1">
      <c r="B354" s="58"/>
      <c r="C354" s="60"/>
      <c r="D354" s="52"/>
      <c r="E354" s="63"/>
      <c r="F354" s="8">
        <v>0.5</v>
      </c>
      <c r="G354" s="67"/>
      <c r="H354" s="68"/>
      <c r="I354" s="35"/>
      <c r="J354" s="9" t="str">
        <f t="shared" si="87"/>
        <v/>
      </c>
      <c r="K354" s="39"/>
      <c r="L354" s="39"/>
      <c r="M354" s="39"/>
      <c r="N354" s="39"/>
      <c r="O354" s="39"/>
      <c r="P354" s="39"/>
      <c r="Q354" s="39"/>
      <c r="R354" s="39"/>
      <c r="S354" s="10">
        <f t="shared" ref="S354:S364" si="94">SUM(K354:R354)</f>
        <v>0</v>
      </c>
      <c r="T354" s="10">
        <v>100000</v>
      </c>
      <c r="U354" s="10">
        <f t="shared" ref="U354:U355" si="95">T354*S354</f>
        <v>0</v>
      </c>
      <c r="V354" s="4"/>
      <c r="W354" s="4"/>
      <c r="X354" s="4"/>
      <c r="Y354" s="4"/>
    </row>
    <row r="355" spans="2:25" ht="18.75" hidden="1" customHeight="1">
      <c r="B355" s="58"/>
      <c r="C355" s="60"/>
      <c r="D355" s="52"/>
      <c r="E355" s="63"/>
      <c r="F355" s="8">
        <v>0.58333333333333337</v>
      </c>
      <c r="G355" s="67"/>
      <c r="H355" s="68"/>
      <c r="I355" s="35"/>
      <c r="J355" s="9" t="str">
        <f t="shared" si="87"/>
        <v/>
      </c>
      <c r="K355" s="39"/>
      <c r="L355" s="39"/>
      <c r="M355" s="39"/>
      <c r="N355" s="39"/>
      <c r="O355" s="39"/>
      <c r="P355" s="39"/>
      <c r="Q355" s="39"/>
      <c r="R355" s="39"/>
      <c r="S355" s="10">
        <f t="shared" si="94"/>
        <v>0</v>
      </c>
      <c r="T355" s="10">
        <v>100000</v>
      </c>
      <c r="U355" s="10">
        <f t="shared" si="95"/>
        <v>0</v>
      </c>
      <c r="V355" s="4"/>
      <c r="W355" s="4"/>
      <c r="X355" s="4"/>
      <c r="Y355" s="4"/>
    </row>
    <row r="356" spans="2:25" ht="18.75" hidden="1" customHeight="1">
      <c r="B356" s="58"/>
      <c r="C356" s="60"/>
      <c r="D356" s="52"/>
      <c r="E356" s="63"/>
      <c r="F356" s="8">
        <v>0.66666666666666663</v>
      </c>
      <c r="G356" s="67"/>
      <c r="H356" s="68"/>
      <c r="I356" s="35"/>
      <c r="J356" s="9" t="str">
        <f t="shared" si="87"/>
        <v/>
      </c>
      <c r="K356" s="39"/>
      <c r="L356" s="39"/>
      <c r="M356" s="39"/>
      <c r="N356" s="39"/>
      <c r="O356" s="39"/>
      <c r="P356" s="39"/>
      <c r="Q356" s="39"/>
      <c r="R356" s="39"/>
      <c r="S356" s="10">
        <f t="shared" si="94"/>
        <v>0</v>
      </c>
      <c r="T356" s="10">
        <v>100000</v>
      </c>
      <c r="U356" s="10">
        <f>T356*S356</f>
        <v>0</v>
      </c>
      <c r="V356" s="4"/>
      <c r="W356" s="4"/>
      <c r="X356" s="4"/>
      <c r="Y356" s="4"/>
    </row>
    <row r="357" spans="2:25" ht="18.75" hidden="1" customHeight="1">
      <c r="B357" s="58"/>
      <c r="C357" s="60"/>
      <c r="D357" s="52"/>
      <c r="E357" s="63"/>
      <c r="F357" s="8">
        <v>0.75</v>
      </c>
      <c r="G357" s="67"/>
      <c r="H357" s="68"/>
      <c r="I357" s="35"/>
      <c r="J357" s="9" t="str">
        <f t="shared" si="87"/>
        <v/>
      </c>
      <c r="K357" s="39"/>
      <c r="L357" s="39"/>
      <c r="M357" s="39"/>
      <c r="N357" s="39"/>
      <c r="O357" s="39"/>
      <c r="P357" s="39"/>
      <c r="Q357" s="39"/>
      <c r="R357" s="39"/>
      <c r="S357" s="10">
        <f t="shared" si="94"/>
        <v>0</v>
      </c>
      <c r="T357" s="10">
        <v>100000</v>
      </c>
      <c r="U357" s="10">
        <f t="shared" ref="U357:U364" si="96">T357*S357</f>
        <v>0</v>
      </c>
      <c r="V357" s="4"/>
      <c r="W357" s="4"/>
      <c r="X357" s="11"/>
      <c r="Y357" s="4"/>
    </row>
    <row r="358" spans="2:25" ht="18.75" hidden="1" customHeight="1">
      <c r="B358" s="58"/>
      <c r="C358" s="60"/>
      <c r="D358" s="53"/>
      <c r="E358" s="64"/>
      <c r="F358" s="12">
        <v>0.83333333333333337</v>
      </c>
      <c r="G358" s="67"/>
      <c r="H358" s="68"/>
      <c r="I358" s="36"/>
      <c r="J358" s="9" t="str">
        <f t="shared" si="87"/>
        <v/>
      </c>
      <c r="K358" s="41"/>
      <c r="L358" s="41"/>
      <c r="M358" s="41"/>
      <c r="N358" s="41"/>
      <c r="O358" s="41"/>
      <c r="P358" s="41"/>
      <c r="Q358" s="41"/>
      <c r="R358" s="41"/>
      <c r="S358" s="13">
        <f t="shared" si="94"/>
        <v>0</v>
      </c>
      <c r="T358" s="13">
        <v>100000</v>
      </c>
      <c r="U358" s="13">
        <f t="shared" si="96"/>
        <v>0</v>
      </c>
      <c r="V358" s="4"/>
      <c r="Y358" s="4"/>
    </row>
    <row r="359" spans="2:25" ht="18.75" hidden="1">
      <c r="B359" s="58"/>
      <c r="C359" s="60"/>
      <c r="D359" s="51"/>
      <c r="E359" s="62" t="s">
        <v>102</v>
      </c>
      <c r="F359" s="5">
        <v>0.91666666666666663</v>
      </c>
      <c r="G359" s="65"/>
      <c r="H359" s="66"/>
      <c r="I359" s="34"/>
      <c r="J359" s="6" t="str">
        <f t="shared" si="87"/>
        <v/>
      </c>
      <c r="K359" s="38"/>
      <c r="L359" s="38"/>
      <c r="M359" s="38"/>
      <c r="N359" s="38"/>
      <c r="O359" s="38"/>
      <c r="P359" s="38"/>
      <c r="Q359" s="38"/>
      <c r="R359" s="38"/>
      <c r="S359" s="7">
        <f t="shared" si="94"/>
        <v>0</v>
      </c>
      <c r="T359" s="7">
        <v>100000</v>
      </c>
      <c r="U359" s="7">
        <f t="shared" si="96"/>
        <v>0</v>
      </c>
      <c r="V359" s="4"/>
      <c r="Y359" s="4"/>
    </row>
    <row r="360" spans="2:25" ht="18.75" hidden="1">
      <c r="B360" s="58"/>
      <c r="C360" s="60"/>
      <c r="D360" s="52"/>
      <c r="E360" s="63"/>
      <c r="F360" s="8">
        <v>1</v>
      </c>
      <c r="G360" s="67"/>
      <c r="H360" s="68"/>
      <c r="I360" s="35"/>
      <c r="J360" s="9" t="str">
        <f t="shared" si="87"/>
        <v/>
      </c>
      <c r="K360" s="39"/>
      <c r="L360" s="39"/>
      <c r="M360" s="39"/>
      <c r="N360" s="39"/>
      <c r="O360" s="39"/>
      <c r="P360" s="39"/>
      <c r="Q360" s="39"/>
      <c r="R360" s="39"/>
      <c r="S360" s="10">
        <f t="shared" si="94"/>
        <v>0</v>
      </c>
      <c r="T360" s="10">
        <v>100000</v>
      </c>
      <c r="U360" s="10">
        <f t="shared" si="96"/>
        <v>0</v>
      </c>
      <c r="V360" s="4"/>
      <c r="Y360" s="4"/>
    </row>
    <row r="361" spans="2:25" ht="18.75" hidden="1">
      <c r="B361" s="58"/>
      <c r="C361" s="60"/>
      <c r="D361" s="52"/>
      <c r="E361" s="63"/>
      <c r="F361" s="8">
        <v>8.3333333333333329E-2</v>
      </c>
      <c r="G361" s="67"/>
      <c r="H361" s="68"/>
      <c r="I361" s="35"/>
      <c r="J361" s="9" t="str">
        <f t="shared" si="87"/>
        <v/>
      </c>
      <c r="K361" s="39"/>
      <c r="L361" s="39"/>
      <c r="M361" s="39"/>
      <c r="N361" s="39"/>
      <c r="O361" s="39"/>
      <c r="P361" s="39"/>
      <c r="Q361" s="39"/>
      <c r="R361" s="39"/>
      <c r="S361" s="10">
        <f t="shared" si="94"/>
        <v>0</v>
      </c>
      <c r="T361" s="10">
        <v>100000</v>
      </c>
      <c r="U361" s="10">
        <f t="shared" si="96"/>
        <v>0</v>
      </c>
      <c r="V361" s="4"/>
      <c r="Y361" s="4"/>
    </row>
    <row r="362" spans="2:25" ht="18.75" hidden="1">
      <c r="B362" s="58"/>
      <c r="C362" s="60"/>
      <c r="D362" s="52"/>
      <c r="E362" s="63"/>
      <c r="F362" s="8">
        <v>0.16666666666666666</v>
      </c>
      <c r="G362" s="67"/>
      <c r="H362" s="68"/>
      <c r="I362" s="35"/>
      <c r="J362" s="9" t="str">
        <f t="shared" si="87"/>
        <v/>
      </c>
      <c r="K362" s="39"/>
      <c r="L362" s="39"/>
      <c r="M362" s="39"/>
      <c r="N362" s="39"/>
      <c r="O362" s="39"/>
      <c r="P362" s="39"/>
      <c r="Q362" s="39"/>
      <c r="R362" s="39"/>
      <c r="S362" s="10">
        <f t="shared" si="94"/>
        <v>0</v>
      </c>
      <c r="T362" s="10">
        <v>100000</v>
      </c>
      <c r="U362" s="10">
        <f t="shared" si="96"/>
        <v>0</v>
      </c>
      <c r="V362" s="4"/>
      <c r="W362" s="4"/>
      <c r="X362" s="4"/>
      <c r="Y362" s="4"/>
    </row>
    <row r="363" spans="2:25" ht="18.75" hidden="1">
      <c r="B363" s="58"/>
      <c r="C363" s="60"/>
      <c r="D363" s="52"/>
      <c r="E363" s="63"/>
      <c r="F363" s="8">
        <v>0.25</v>
      </c>
      <c r="G363" s="67"/>
      <c r="H363" s="68"/>
      <c r="I363" s="35"/>
      <c r="J363" s="9" t="str">
        <f t="shared" si="87"/>
        <v/>
      </c>
      <c r="K363" s="39"/>
      <c r="L363" s="39"/>
      <c r="M363" s="39"/>
      <c r="N363" s="39"/>
      <c r="O363" s="39"/>
      <c r="P363" s="39"/>
      <c r="Q363" s="39"/>
      <c r="R363" s="39"/>
      <c r="S363" s="10">
        <f t="shared" si="94"/>
        <v>0</v>
      </c>
      <c r="T363" s="10">
        <v>100000</v>
      </c>
      <c r="U363" s="10">
        <f t="shared" si="96"/>
        <v>0</v>
      </c>
      <c r="V363" s="4"/>
      <c r="Y363" s="4"/>
    </row>
    <row r="364" spans="2:25" ht="18.75" hidden="1">
      <c r="B364" s="58"/>
      <c r="C364" s="61"/>
      <c r="D364" s="53"/>
      <c r="E364" s="69"/>
      <c r="F364" s="14">
        <v>0.33333333333333331</v>
      </c>
      <c r="G364" s="67"/>
      <c r="H364" s="68"/>
      <c r="I364" s="37"/>
      <c r="J364" s="15" t="str">
        <f t="shared" si="87"/>
        <v/>
      </c>
      <c r="K364" s="40"/>
      <c r="L364" s="40"/>
      <c r="M364" s="40"/>
      <c r="N364" s="40"/>
      <c r="O364" s="40"/>
      <c r="P364" s="40"/>
      <c r="Q364" s="40"/>
      <c r="R364" s="40"/>
      <c r="S364" s="16">
        <f t="shared" si="94"/>
        <v>0</v>
      </c>
      <c r="T364" s="16">
        <v>100000</v>
      </c>
      <c r="U364" s="16">
        <f t="shared" si="96"/>
        <v>0</v>
      </c>
      <c r="V364" s="4"/>
      <c r="W364" s="4"/>
      <c r="X364" s="4"/>
      <c r="Y364" s="4"/>
    </row>
    <row r="365" spans="2:25" ht="16.5" hidden="1" customHeight="1">
      <c r="B365" s="58">
        <v>46111</v>
      </c>
      <c r="C365" s="59" t="s">
        <v>14</v>
      </c>
      <c r="D365" s="51"/>
      <c r="E365" s="62" t="s">
        <v>101</v>
      </c>
      <c r="F365" s="5">
        <v>0.41666666666666669</v>
      </c>
      <c r="G365" s="65"/>
      <c r="H365" s="66"/>
      <c r="I365" s="34"/>
      <c r="J365" s="6" t="str">
        <f t="shared" ref="J365:J400" si="97">IFERROR(S365/I365,"")</f>
        <v/>
      </c>
      <c r="K365" s="38"/>
      <c r="L365" s="38"/>
      <c r="M365" s="38"/>
      <c r="N365" s="38"/>
      <c r="O365" s="38"/>
      <c r="P365" s="38"/>
      <c r="Q365" s="38"/>
      <c r="R365" s="38"/>
      <c r="S365" s="7">
        <f>SUM(K365:R365)</f>
        <v>0</v>
      </c>
      <c r="T365" s="7">
        <v>100000</v>
      </c>
      <c r="U365" s="7">
        <f>T365*S365</f>
        <v>0</v>
      </c>
      <c r="V365" s="4"/>
      <c r="W365" s="4"/>
      <c r="X365" s="4"/>
      <c r="Y365" s="4"/>
    </row>
    <row r="366" spans="2:25" ht="18.75" hidden="1" customHeight="1">
      <c r="B366" s="58"/>
      <c r="C366" s="60"/>
      <c r="D366" s="52"/>
      <c r="E366" s="63"/>
      <c r="F366" s="8">
        <v>0.5</v>
      </c>
      <c r="G366" s="67"/>
      <c r="H366" s="68"/>
      <c r="I366" s="35"/>
      <c r="J366" s="9" t="str">
        <f t="shared" si="97"/>
        <v/>
      </c>
      <c r="K366" s="39"/>
      <c r="L366" s="39"/>
      <c r="M366" s="39"/>
      <c r="N366" s="39"/>
      <c r="O366" s="39"/>
      <c r="P366" s="39"/>
      <c r="Q366" s="39"/>
      <c r="R366" s="39"/>
      <c r="S366" s="10">
        <f t="shared" ref="S366:S376" si="98">SUM(K366:R366)</f>
        <v>0</v>
      </c>
      <c r="T366" s="10">
        <v>100000</v>
      </c>
      <c r="U366" s="10">
        <f t="shared" ref="U366:U367" si="99">T366*S366</f>
        <v>0</v>
      </c>
      <c r="V366" s="4"/>
      <c r="W366" s="4"/>
      <c r="X366" s="4"/>
      <c r="Y366" s="4"/>
    </row>
    <row r="367" spans="2:25" ht="18.75" hidden="1" customHeight="1">
      <c r="B367" s="58"/>
      <c r="C367" s="60"/>
      <c r="D367" s="52"/>
      <c r="E367" s="63"/>
      <c r="F367" s="8">
        <v>0.58333333333333337</v>
      </c>
      <c r="G367" s="67"/>
      <c r="H367" s="68"/>
      <c r="I367" s="35"/>
      <c r="J367" s="9" t="str">
        <f t="shared" si="97"/>
        <v/>
      </c>
      <c r="K367" s="39"/>
      <c r="L367" s="39"/>
      <c r="M367" s="39"/>
      <c r="N367" s="39"/>
      <c r="O367" s="39"/>
      <c r="P367" s="39"/>
      <c r="Q367" s="39"/>
      <c r="R367" s="39"/>
      <c r="S367" s="10">
        <f t="shared" si="98"/>
        <v>0</v>
      </c>
      <c r="T367" s="10">
        <v>100000</v>
      </c>
      <c r="U367" s="10">
        <f t="shared" si="99"/>
        <v>0</v>
      </c>
      <c r="V367" s="4"/>
      <c r="W367" s="4"/>
      <c r="X367" s="4"/>
      <c r="Y367" s="4"/>
    </row>
    <row r="368" spans="2:25" ht="18.75" hidden="1" customHeight="1">
      <c r="B368" s="58"/>
      <c r="C368" s="60"/>
      <c r="D368" s="52"/>
      <c r="E368" s="63"/>
      <c r="F368" s="8">
        <v>0.66666666666666663</v>
      </c>
      <c r="G368" s="67"/>
      <c r="H368" s="68"/>
      <c r="I368" s="35"/>
      <c r="J368" s="9" t="str">
        <f t="shared" si="97"/>
        <v/>
      </c>
      <c r="K368" s="39"/>
      <c r="L368" s="39"/>
      <c r="M368" s="39"/>
      <c r="N368" s="39"/>
      <c r="O368" s="39"/>
      <c r="P368" s="39"/>
      <c r="Q368" s="39"/>
      <c r="R368" s="39"/>
      <c r="S368" s="10">
        <f t="shared" si="98"/>
        <v>0</v>
      </c>
      <c r="T368" s="10">
        <v>100000</v>
      </c>
      <c r="U368" s="10">
        <f>T368*S368</f>
        <v>0</v>
      </c>
      <c r="V368" s="4"/>
      <c r="W368" s="4"/>
      <c r="X368" s="4"/>
      <c r="Y368" s="4"/>
    </row>
    <row r="369" spans="2:25" ht="18.75" hidden="1" customHeight="1">
      <c r="B369" s="58"/>
      <c r="C369" s="60"/>
      <c r="D369" s="52"/>
      <c r="E369" s="63"/>
      <c r="F369" s="8">
        <v>0.75</v>
      </c>
      <c r="G369" s="67"/>
      <c r="H369" s="68"/>
      <c r="I369" s="35"/>
      <c r="J369" s="9" t="str">
        <f t="shared" si="97"/>
        <v/>
      </c>
      <c r="K369" s="39"/>
      <c r="L369" s="39"/>
      <c r="M369" s="39"/>
      <c r="N369" s="39"/>
      <c r="O369" s="39"/>
      <c r="P369" s="39"/>
      <c r="Q369" s="39"/>
      <c r="R369" s="39"/>
      <c r="S369" s="10">
        <f t="shared" si="98"/>
        <v>0</v>
      </c>
      <c r="T369" s="10">
        <v>100000</v>
      </c>
      <c r="U369" s="10">
        <f t="shared" ref="U369:U376" si="100">T369*S369</f>
        <v>0</v>
      </c>
      <c r="V369" s="4"/>
      <c r="W369" s="4"/>
      <c r="X369" s="11"/>
      <c r="Y369" s="4"/>
    </row>
    <row r="370" spans="2:25" ht="18.75" hidden="1" customHeight="1">
      <c r="B370" s="58"/>
      <c r="C370" s="60"/>
      <c r="D370" s="53"/>
      <c r="E370" s="64"/>
      <c r="F370" s="12">
        <v>0.83333333333333337</v>
      </c>
      <c r="G370" s="67"/>
      <c r="H370" s="68"/>
      <c r="I370" s="36"/>
      <c r="J370" s="9" t="str">
        <f t="shared" si="97"/>
        <v/>
      </c>
      <c r="K370" s="41"/>
      <c r="L370" s="41"/>
      <c r="M370" s="41"/>
      <c r="N370" s="41"/>
      <c r="O370" s="41"/>
      <c r="P370" s="41"/>
      <c r="Q370" s="41"/>
      <c r="R370" s="41"/>
      <c r="S370" s="13">
        <f t="shared" si="98"/>
        <v>0</v>
      </c>
      <c r="T370" s="13">
        <v>100000</v>
      </c>
      <c r="U370" s="13">
        <f t="shared" si="100"/>
        <v>0</v>
      </c>
      <c r="V370" s="4"/>
      <c r="Y370" s="4"/>
    </row>
    <row r="371" spans="2:25" ht="18.75" hidden="1">
      <c r="B371" s="58"/>
      <c r="C371" s="60"/>
      <c r="D371" s="51"/>
      <c r="E371" s="62" t="s">
        <v>102</v>
      </c>
      <c r="F371" s="5">
        <v>0.91666666666666663</v>
      </c>
      <c r="G371" s="65"/>
      <c r="H371" s="66"/>
      <c r="I371" s="34"/>
      <c r="J371" s="6" t="str">
        <f t="shared" si="97"/>
        <v/>
      </c>
      <c r="K371" s="38"/>
      <c r="L371" s="38"/>
      <c r="M371" s="38"/>
      <c r="N371" s="38"/>
      <c r="O371" s="38"/>
      <c r="P371" s="38"/>
      <c r="Q371" s="38"/>
      <c r="R371" s="38"/>
      <c r="S371" s="7">
        <f t="shared" si="98"/>
        <v>0</v>
      </c>
      <c r="T371" s="7">
        <v>100000</v>
      </c>
      <c r="U371" s="7">
        <f t="shared" si="100"/>
        <v>0</v>
      </c>
      <c r="V371" s="4"/>
      <c r="Y371" s="4"/>
    </row>
    <row r="372" spans="2:25" ht="18.75" hidden="1">
      <c r="B372" s="58"/>
      <c r="C372" s="60"/>
      <c r="D372" s="52"/>
      <c r="E372" s="63"/>
      <c r="F372" s="8">
        <v>1</v>
      </c>
      <c r="G372" s="67"/>
      <c r="H372" s="68"/>
      <c r="I372" s="35"/>
      <c r="J372" s="9" t="str">
        <f t="shared" si="97"/>
        <v/>
      </c>
      <c r="K372" s="39"/>
      <c r="L372" s="39"/>
      <c r="M372" s="39"/>
      <c r="N372" s="39"/>
      <c r="O372" s="39"/>
      <c r="P372" s="39"/>
      <c r="Q372" s="39"/>
      <c r="R372" s="39"/>
      <c r="S372" s="10">
        <f t="shared" si="98"/>
        <v>0</v>
      </c>
      <c r="T372" s="10">
        <v>100000</v>
      </c>
      <c r="U372" s="10">
        <f t="shared" si="100"/>
        <v>0</v>
      </c>
      <c r="V372" s="4"/>
      <c r="Y372" s="4"/>
    </row>
    <row r="373" spans="2:25" ht="18.75" hidden="1">
      <c r="B373" s="58"/>
      <c r="C373" s="60"/>
      <c r="D373" s="52"/>
      <c r="E373" s="63"/>
      <c r="F373" s="8">
        <v>8.3333333333333329E-2</v>
      </c>
      <c r="G373" s="67"/>
      <c r="H373" s="68"/>
      <c r="I373" s="35"/>
      <c r="J373" s="9" t="str">
        <f t="shared" si="97"/>
        <v/>
      </c>
      <c r="K373" s="39"/>
      <c r="L373" s="39"/>
      <c r="M373" s="39"/>
      <c r="N373" s="39"/>
      <c r="O373" s="39"/>
      <c r="P373" s="39"/>
      <c r="Q373" s="39"/>
      <c r="R373" s="39"/>
      <c r="S373" s="10">
        <f t="shared" si="98"/>
        <v>0</v>
      </c>
      <c r="T373" s="10">
        <v>100000</v>
      </c>
      <c r="U373" s="10">
        <f t="shared" si="100"/>
        <v>0</v>
      </c>
      <c r="V373" s="4"/>
      <c r="Y373" s="4"/>
    </row>
    <row r="374" spans="2:25" ht="18.75" hidden="1">
      <c r="B374" s="58"/>
      <c r="C374" s="60"/>
      <c r="D374" s="52"/>
      <c r="E374" s="63"/>
      <c r="F374" s="8">
        <v>0.16666666666666666</v>
      </c>
      <c r="G374" s="67"/>
      <c r="H374" s="68"/>
      <c r="I374" s="35"/>
      <c r="J374" s="9" t="str">
        <f t="shared" si="97"/>
        <v/>
      </c>
      <c r="K374" s="39"/>
      <c r="L374" s="39"/>
      <c r="M374" s="39"/>
      <c r="N374" s="39"/>
      <c r="O374" s="39"/>
      <c r="P374" s="39"/>
      <c r="Q374" s="39"/>
      <c r="R374" s="39"/>
      <c r="S374" s="10">
        <f t="shared" si="98"/>
        <v>0</v>
      </c>
      <c r="T374" s="10">
        <v>100000</v>
      </c>
      <c r="U374" s="10">
        <f t="shared" si="100"/>
        <v>0</v>
      </c>
      <c r="V374" s="4"/>
      <c r="W374" s="4"/>
      <c r="X374" s="4"/>
      <c r="Y374" s="4"/>
    </row>
    <row r="375" spans="2:25" ht="18.75" hidden="1">
      <c r="B375" s="58"/>
      <c r="C375" s="60"/>
      <c r="D375" s="52"/>
      <c r="E375" s="63"/>
      <c r="F375" s="8">
        <v>0.25</v>
      </c>
      <c r="G375" s="67"/>
      <c r="H375" s="68"/>
      <c r="I375" s="35"/>
      <c r="J375" s="9" t="str">
        <f t="shared" si="97"/>
        <v/>
      </c>
      <c r="K375" s="39"/>
      <c r="L375" s="39"/>
      <c r="M375" s="39"/>
      <c r="N375" s="39"/>
      <c r="O375" s="39"/>
      <c r="P375" s="39"/>
      <c r="Q375" s="39"/>
      <c r="R375" s="39"/>
      <c r="S375" s="10">
        <f t="shared" si="98"/>
        <v>0</v>
      </c>
      <c r="T375" s="10">
        <v>100000</v>
      </c>
      <c r="U375" s="10">
        <f t="shared" si="100"/>
        <v>0</v>
      </c>
      <c r="V375" s="4"/>
      <c r="Y375" s="4"/>
    </row>
    <row r="376" spans="2:25" ht="18.75" hidden="1">
      <c r="B376" s="58"/>
      <c r="C376" s="61"/>
      <c r="D376" s="53"/>
      <c r="E376" s="69"/>
      <c r="F376" s="14">
        <v>0.33333333333333331</v>
      </c>
      <c r="G376" s="67"/>
      <c r="H376" s="68"/>
      <c r="I376" s="37"/>
      <c r="J376" s="15" t="str">
        <f t="shared" si="97"/>
        <v/>
      </c>
      <c r="K376" s="40"/>
      <c r="L376" s="40"/>
      <c r="M376" s="40"/>
      <c r="N376" s="40"/>
      <c r="O376" s="40"/>
      <c r="P376" s="40"/>
      <c r="Q376" s="40"/>
      <c r="R376" s="40"/>
      <c r="S376" s="16">
        <f t="shared" si="98"/>
        <v>0</v>
      </c>
      <c r="T376" s="16">
        <v>100000</v>
      </c>
      <c r="U376" s="16">
        <f t="shared" si="100"/>
        <v>0</v>
      </c>
      <c r="V376" s="4"/>
      <c r="W376" s="4"/>
      <c r="X376" s="4"/>
      <c r="Y376" s="4"/>
    </row>
    <row r="377" spans="2:25" ht="16.5" hidden="1" customHeight="1">
      <c r="B377" s="58">
        <v>46112</v>
      </c>
      <c r="C377" s="59" t="s">
        <v>14</v>
      </c>
      <c r="D377" s="51"/>
      <c r="E377" s="62" t="s">
        <v>101</v>
      </c>
      <c r="F377" s="5">
        <v>0.41666666666666669</v>
      </c>
      <c r="G377" s="65"/>
      <c r="H377" s="66"/>
      <c r="I377" s="34"/>
      <c r="J377" s="6" t="str">
        <f t="shared" si="97"/>
        <v/>
      </c>
      <c r="K377" s="38"/>
      <c r="L377" s="38"/>
      <c r="M377" s="38"/>
      <c r="N377" s="38"/>
      <c r="O377" s="38"/>
      <c r="P377" s="38"/>
      <c r="Q377" s="38"/>
      <c r="R377" s="38"/>
      <c r="S377" s="7">
        <f>SUM(K377:R377)</f>
        <v>0</v>
      </c>
      <c r="T377" s="7">
        <v>100000</v>
      </c>
      <c r="U377" s="7">
        <f>T377*S377</f>
        <v>0</v>
      </c>
      <c r="V377" s="4"/>
      <c r="W377" s="4"/>
      <c r="X377" s="4"/>
      <c r="Y377" s="4"/>
    </row>
    <row r="378" spans="2:25" ht="18.75" hidden="1" customHeight="1">
      <c r="B378" s="58"/>
      <c r="C378" s="60"/>
      <c r="D378" s="52"/>
      <c r="E378" s="63"/>
      <c r="F378" s="8">
        <v>0.5</v>
      </c>
      <c r="G378" s="67"/>
      <c r="H378" s="68"/>
      <c r="I378" s="35"/>
      <c r="J378" s="9" t="str">
        <f t="shared" si="97"/>
        <v/>
      </c>
      <c r="K378" s="39"/>
      <c r="L378" s="39"/>
      <c r="M378" s="39"/>
      <c r="N378" s="39"/>
      <c r="O378" s="39"/>
      <c r="P378" s="39"/>
      <c r="Q378" s="39"/>
      <c r="R378" s="39"/>
      <c r="S378" s="10">
        <f t="shared" ref="S378:S388" si="101">SUM(K378:R378)</f>
        <v>0</v>
      </c>
      <c r="T378" s="10">
        <v>100000</v>
      </c>
      <c r="U378" s="10">
        <f t="shared" ref="U378:U379" si="102">T378*S378</f>
        <v>0</v>
      </c>
      <c r="V378" s="4"/>
      <c r="W378" s="4"/>
      <c r="X378" s="4"/>
      <c r="Y378" s="4"/>
    </row>
    <row r="379" spans="2:25" ht="18.75" hidden="1" customHeight="1">
      <c r="B379" s="58"/>
      <c r="C379" s="60"/>
      <c r="D379" s="52"/>
      <c r="E379" s="63"/>
      <c r="F379" s="8">
        <v>0.58333333333333337</v>
      </c>
      <c r="G379" s="67"/>
      <c r="H379" s="68"/>
      <c r="I379" s="35"/>
      <c r="J379" s="9" t="str">
        <f t="shared" si="97"/>
        <v/>
      </c>
      <c r="K379" s="39"/>
      <c r="L379" s="39"/>
      <c r="M379" s="39"/>
      <c r="N379" s="39"/>
      <c r="O379" s="39"/>
      <c r="P379" s="39"/>
      <c r="Q379" s="39"/>
      <c r="R379" s="39"/>
      <c r="S379" s="10">
        <f t="shared" si="101"/>
        <v>0</v>
      </c>
      <c r="T379" s="10">
        <v>100000</v>
      </c>
      <c r="U379" s="10">
        <f t="shared" si="102"/>
        <v>0</v>
      </c>
      <c r="V379" s="4"/>
      <c r="W379" s="4"/>
      <c r="X379" s="4"/>
      <c r="Y379" s="4"/>
    </row>
    <row r="380" spans="2:25" ht="18.75" hidden="1" customHeight="1">
      <c r="B380" s="58"/>
      <c r="C380" s="60"/>
      <c r="D380" s="52"/>
      <c r="E380" s="63"/>
      <c r="F380" s="8">
        <v>0.66666666666666663</v>
      </c>
      <c r="G380" s="67"/>
      <c r="H380" s="68"/>
      <c r="I380" s="35"/>
      <c r="J380" s="9" t="str">
        <f t="shared" si="97"/>
        <v/>
      </c>
      <c r="K380" s="39"/>
      <c r="L380" s="39"/>
      <c r="M380" s="39"/>
      <c r="N380" s="39"/>
      <c r="O380" s="39"/>
      <c r="P380" s="39"/>
      <c r="Q380" s="39"/>
      <c r="R380" s="39"/>
      <c r="S380" s="10">
        <f t="shared" si="101"/>
        <v>0</v>
      </c>
      <c r="T380" s="10">
        <v>100000</v>
      </c>
      <c r="U380" s="10">
        <f>T380*S380</f>
        <v>0</v>
      </c>
      <c r="V380" s="4"/>
      <c r="W380" s="4"/>
      <c r="X380" s="4"/>
      <c r="Y380" s="4"/>
    </row>
    <row r="381" spans="2:25" ht="18.75" hidden="1" customHeight="1">
      <c r="B381" s="58"/>
      <c r="C381" s="60"/>
      <c r="D381" s="52"/>
      <c r="E381" s="63"/>
      <c r="F381" s="8">
        <v>0.75</v>
      </c>
      <c r="G381" s="67"/>
      <c r="H381" s="68"/>
      <c r="I381" s="35"/>
      <c r="J381" s="9" t="str">
        <f t="shared" si="97"/>
        <v/>
      </c>
      <c r="K381" s="39"/>
      <c r="L381" s="39"/>
      <c r="M381" s="39"/>
      <c r="N381" s="39"/>
      <c r="O381" s="39"/>
      <c r="P381" s="39"/>
      <c r="Q381" s="39"/>
      <c r="R381" s="39"/>
      <c r="S381" s="10">
        <f t="shared" si="101"/>
        <v>0</v>
      </c>
      <c r="T381" s="10">
        <v>100000</v>
      </c>
      <c r="U381" s="10">
        <f t="shared" ref="U381:U388" si="103">T381*S381</f>
        <v>0</v>
      </c>
      <c r="V381" s="4"/>
      <c r="W381" s="4"/>
      <c r="X381" s="11"/>
      <c r="Y381" s="4"/>
    </row>
    <row r="382" spans="2:25" ht="18.75" hidden="1" customHeight="1">
      <c r="B382" s="58"/>
      <c r="C382" s="60"/>
      <c r="D382" s="53"/>
      <c r="E382" s="64"/>
      <c r="F382" s="12">
        <v>0.83333333333333337</v>
      </c>
      <c r="G382" s="67"/>
      <c r="H382" s="68"/>
      <c r="I382" s="36"/>
      <c r="J382" s="9" t="str">
        <f t="shared" si="97"/>
        <v/>
      </c>
      <c r="K382" s="41"/>
      <c r="L382" s="41"/>
      <c r="M382" s="41"/>
      <c r="N382" s="41"/>
      <c r="O382" s="41"/>
      <c r="P382" s="41"/>
      <c r="Q382" s="41"/>
      <c r="R382" s="41"/>
      <c r="S382" s="13">
        <f t="shared" si="101"/>
        <v>0</v>
      </c>
      <c r="T382" s="13">
        <v>100000</v>
      </c>
      <c r="U382" s="13">
        <f t="shared" si="103"/>
        <v>0</v>
      </c>
      <c r="V382" s="4"/>
      <c r="Y382" s="4"/>
    </row>
    <row r="383" spans="2:25" ht="18.75" hidden="1">
      <c r="B383" s="58"/>
      <c r="C383" s="60"/>
      <c r="D383" s="51" t="s">
        <v>100</v>
      </c>
      <c r="E383" s="62" t="s">
        <v>102</v>
      </c>
      <c r="F383" s="5">
        <v>0.91666666666666663</v>
      </c>
      <c r="G383" s="65" t="s">
        <v>105</v>
      </c>
      <c r="H383" s="66"/>
      <c r="I383" s="34">
        <v>20</v>
      </c>
      <c r="J383" s="6">
        <f t="shared" si="97"/>
        <v>0.5</v>
      </c>
      <c r="K383" s="38"/>
      <c r="L383" s="38"/>
      <c r="M383" s="38"/>
      <c r="N383" s="38"/>
      <c r="O383" s="38"/>
      <c r="P383" s="38"/>
      <c r="Q383" s="38">
        <v>10</v>
      </c>
      <c r="R383" s="38"/>
      <c r="S383" s="7">
        <f t="shared" si="101"/>
        <v>10</v>
      </c>
      <c r="T383" s="7">
        <v>100000</v>
      </c>
      <c r="U383" s="7">
        <f t="shared" si="103"/>
        <v>1000000</v>
      </c>
      <c r="V383" s="4"/>
      <c r="Y383" s="4"/>
    </row>
    <row r="384" spans="2:25" ht="18.75" hidden="1">
      <c r="B384" s="58"/>
      <c r="C384" s="60"/>
      <c r="D384" s="52" t="s">
        <v>100</v>
      </c>
      <c r="E384" s="63"/>
      <c r="F384" s="8">
        <v>1</v>
      </c>
      <c r="G384" s="67" t="s">
        <v>105</v>
      </c>
      <c r="H384" s="68"/>
      <c r="I384" s="35">
        <v>52</v>
      </c>
      <c r="J384" s="9">
        <f t="shared" si="97"/>
        <v>1.9230769230769232E-2</v>
      </c>
      <c r="K384" s="39"/>
      <c r="L384" s="39"/>
      <c r="M384" s="39">
        <v>1</v>
      </c>
      <c r="N384" s="39"/>
      <c r="O384" s="39"/>
      <c r="P384" s="39"/>
      <c r="Q384" s="39"/>
      <c r="R384" s="39"/>
      <c r="S384" s="10">
        <f t="shared" si="101"/>
        <v>1</v>
      </c>
      <c r="T384" s="10">
        <v>100000</v>
      </c>
      <c r="U384" s="10">
        <f t="shared" si="103"/>
        <v>100000</v>
      </c>
      <c r="V384" s="4"/>
      <c r="Y384" s="4"/>
    </row>
    <row r="385" spans="2:25" ht="18.75" hidden="1">
      <c r="B385" s="58"/>
      <c r="C385" s="60"/>
      <c r="D385" s="52" t="s">
        <v>100</v>
      </c>
      <c r="E385" s="63"/>
      <c r="F385" s="8">
        <v>8.3333333333333329E-2</v>
      </c>
      <c r="G385" s="67" t="s">
        <v>105</v>
      </c>
      <c r="H385" s="68"/>
      <c r="I385" s="35">
        <v>52</v>
      </c>
      <c r="J385" s="9">
        <f t="shared" si="97"/>
        <v>1.9230769230769232E-2</v>
      </c>
      <c r="K385" s="39"/>
      <c r="L385" s="39"/>
      <c r="M385" s="39">
        <v>1</v>
      </c>
      <c r="N385" s="39"/>
      <c r="O385" s="39"/>
      <c r="P385" s="39"/>
      <c r="Q385" s="39"/>
      <c r="R385" s="39"/>
      <c r="S385" s="10">
        <f t="shared" si="101"/>
        <v>1</v>
      </c>
      <c r="T385" s="10">
        <v>100000</v>
      </c>
      <c r="U385" s="10">
        <f t="shared" si="103"/>
        <v>100000</v>
      </c>
      <c r="V385" s="4"/>
      <c r="Y385" s="4"/>
    </row>
    <row r="386" spans="2:25" ht="18.75" hidden="1">
      <c r="B386" s="58"/>
      <c r="C386" s="60"/>
      <c r="D386" s="52" t="s">
        <v>100</v>
      </c>
      <c r="E386" s="63"/>
      <c r="F386" s="8">
        <v>0.16666666666666666</v>
      </c>
      <c r="G386" s="67" t="s">
        <v>105</v>
      </c>
      <c r="H386" s="68"/>
      <c r="I386" s="35">
        <v>52</v>
      </c>
      <c r="J386" s="9">
        <f t="shared" si="97"/>
        <v>1.9230769230769232E-2</v>
      </c>
      <c r="K386" s="39"/>
      <c r="L386" s="39"/>
      <c r="M386" s="39">
        <v>1</v>
      </c>
      <c r="N386" s="39"/>
      <c r="O386" s="39"/>
      <c r="P386" s="39"/>
      <c r="Q386" s="39"/>
      <c r="R386" s="39"/>
      <c r="S386" s="10">
        <f t="shared" si="101"/>
        <v>1</v>
      </c>
      <c r="T386" s="10">
        <v>100000</v>
      </c>
      <c r="U386" s="10">
        <f t="shared" si="103"/>
        <v>100000</v>
      </c>
      <c r="V386" s="4"/>
      <c r="W386" s="4"/>
      <c r="X386" s="4"/>
      <c r="Y386" s="4"/>
    </row>
    <row r="387" spans="2:25" ht="18.75" hidden="1">
      <c r="B387" s="58"/>
      <c r="C387" s="60"/>
      <c r="D387" s="52" t="s">
        <v>100</v>
      </c>
      <c r="E387" s="63"/>
      <c r="F387" s="8">
        <v>0.25</v>
      </c>
      <c r="G387" s="67" t="s">
        <v>105</v>
      </c>
      <c r="H387" s="68"/>
      <c r="I387" s="35">
        <v>52</v>
      </c>
      <c r="J387" s="9">
        <f t="shared" si="97"/>
        <v>1.9230769230769232E-2</v>
      </c>
      <c r="K387" s="39"/>
      <c r="L387" s="39"/>
      <c r="M387" s="39">
        <v>1</v>
      </c>
      <c r="N387" s="39"/>
      <c r="O387" s="39"/>
      <c r="P387" s="39"/>
      <c r="Q387" s="39"/>
      <c r="R387" s="39"/>
      <c r="S387" s="10">
        <f t="shared" si="101"/>
        <v>1</v>
      </c>
      <c r="T387" s="10">
        <v>100000</v>
      </c>
      <c r="U387" s="10">
        <f t="shared" si="103"/>
        <v>100000</v>
      </c>
      <c r="V387" s="4"/>
      <c r="Y387" s="4"/>
    </row>
    <row r="388" spans="2:25" ht="18.75" hidden="1">
      <c r="B388" s="58"/>
      <c r="C388" s="61"/>
      <c r="D388" s="53" t="s">
        <v>100</v>
      </c>
      <c r="E388" s="69"/>
      <c r="F388" s="14">
        <v>0.33333333333333331</v>
      </c>
      <c r="G388" s="67" t="s">
        <v>105</v>
      </c>
      <c r="H388" s="68"/>
      <c r="I388" s="37">
        <v>52</v>
      </c>
      <c r="J388" s="15">
        <f t="shared" si="97"/>
        <v>1.9230769230769232E-2</v>
      </c>
      <c r="K388" s="40"/>
      <c r="L388" s="40"/>
      <c r="M388" s="40">
        <v>1</v>
      </c>
      <c r="N388" s="40"/>
      <c r="O388" s="40"/>
      <c r="P388" s="40"/>
      <c r="Q388" s="40"/>
      <c r="R388" s="40"/>
      <c r="S388" s="16">
        <f t="shared" si="101"/>
        <v>1</v>
      </c>
      <c r="T388" s="16">
        <v>100000</v>
      </c>
      <c r="U388" s="16">
        <f t="shared" si="103"/>
        <v>100000</v>
      </c>
      <c r="V388" s="4"/>
      <c r="W388" s="4"/>
      <c r="X388" s="4"/>
      <c r="Y388" s="4"/>
    </row>
    <row r="389" spans="2:25" ht="16.5" customHeight="1">
      <c r="B389" s="58">
        <v>46113</v>
      </c>
      <c r="C389" s="59" t="s">
        <v>14</v>
      </c>
      <c r="D389" s="51" t="s">
        <v>100</v>
      </c>
      <c r="E389" s="62" t="s">
        <v>101</v>
      </c>
      <c r="F389" s="5">
        <v>0.41666666666666669</v>
      </c>
      <c r="G389" s="65" t="s">
        <v>74</v>
      </c>
      <c r="H389" s="66"/>
      <c r="I389" s="34">
        <v>40</v>
      </c>
      <c r="J389" s="6">
        <f t="shared" si="97"/>
        <v>0</v>
      </c>
      <c r="K389" s="38"/>
      <c r="L389" s="38"/>
      <c r="M389" s="38"/>
      <c r="N389" s="38"/>
      <c r="O389" s="38"/>
      <c r="P389" s="38"/>
      <c r="Q389" s="38"/>
      <c r="R389" s="38"/>
      <c r="S389" s="7">
        <f>SUM(K389:R389)</f>
        <v>0</v>
      </c>
      <c r="T389" s="7">
        <v>100000</v>
      </c>
      <c r="U389" s="7">
        <f>T389*S389</f>
        <v>0</v>
      </c>
      <c r="V389" s="4"/>
      <c r="W389" s="4"/>
      <c r="X389" s="4"/>
      <c r="Y389" s="4"/>
    </row>
    <row r="390" spans="2:25" ht="36" customHeight="1">
      <c r="B390" s="58"/>
      <c r="C390" s="60"/>
      <c r="D390" s="52" t="s">
        <v>41</v>
      </c>
      <c r="E390" s="63"/>
      <c r="F390" s="8">
        <v>0.5</v>
      </c>
      <c r="G390" s="67" t="s">
        <v>74</v>
      </c>
      <c r="H390" s="68"/>
      <c r="I390" s="35"/>
      <c r="J390" s="9" t="str">
        <f t="shared" si="97"/>
        <v/>
      </c>
      <c r="K390" s="39"/>
      <c r="L390" s="39"/>
      <c r="M390" s="39"/>
      <c r="N390" s="39"/>
      <c r="O390" s="39"/>
      <c r="P390" s="39"/>
      <c r="Q390" s="39"/>
      <c r="R390" s="39"/>
      <c r="S390" s="10">
        <f t="shared" ref="S390:S400" si="104">SUM(K390:R390)</f>
        <v>0</v>
      </c>
      <c r="T390" s="10">
        <v>100000</v>
      </c>
      <c r="U390" s="10">
        <f t="shared" ref="U390:U391" si="105">T390*S390</f>
        <v>0</v>
      </c>
      <c r="V390" s="4"/>
      <c r="W390" s="4"/>
      <c r="X390" s="4"/>
      <c r="Y390" s="4"/>
    </row>
    <row r="391" spans="2:25" ht="38.25" customHeight="1">
      <c r="B391" s="58"/>
      <c r="C391" s="60"/>
      <c r="D391" s="52" t="s">
        <v>41</v>
      </c>
      <c r="E391" s="63"/>
      <c r="F391" s="8">
        <v>0.58333333333333337</v>
      </c>
      <c r="G391" s="67" t="s">
        <v>74</v>
      </c>
      <c r="H391" s="68"/>
      <c r="I391" s="35"/>
      <c r="J391" s="9" t="str">
        <f t="shared" si="97"/>
        <v/>
      </c>
      <c r="K391" s="39"/>
      <c r="L391" s="39"/>
      <c r="M391" s="39"/>
      <c r="N391" s="39"/>
      <c r="O391" s="39"/>
      <c r="P391" s="39"/>
      <c r="Q391" s="39"/>
      <c r="R391" s="39"/>
      <c r="S391" s="10">
        <f t="shared" si="104"/>
        <v>0</v>
      </c>
      <c r="T391" s="10">
        <v>100000</v>
      </c>
      <c r="U391" s="10">
        <f t="shared" si="105"/>
        <v>0</v>
      </c>
      <c r="V391" s="4"/>
      <c r="W391" s="4"/>
      <c r="X391" s="4"/>
      <c r="Y391" s="4"/>
    </row>
    <row r="392" spans="2:25" ht="34.5" customHeight="1">
      <c r="B392" s="58"/>
      <c r="C392" s="60"/>
      <c r="D392" s="52" t="s">
        <v>41</v>
      </c>
      <c r="E392" s="63"/>
      <c r="F392" s="8">
        <v>0.66666666666666663</v>
      </c>
      <c r="G392" s="67" t="s">
        <v>74</v>
      </c>
      <c r="H392" s="68"/>
      <c r="I392" s="35">
        <v>25</v>
      </c>
      <c r="J392" s="9">
        <f t="shared" si="97"/>
        <v>1.6</v>
      </c>
      <c r="K392" s="39"/>
      <c r="L392" s="39"/>
      <c r="M392" s="39"/>
      <c r="N392" s="39">
        <v>20</v>
      </c>
      <c r="O392" s="39"/>
      <c r="P392" s="39"/>
      <c r="Q392" s="39">
        <v>20</v>
      </c>
      <c r="R392" s="39"/>
      <c r="S392" s="10">
        <f t="shared" si="104"/>
        <v>40</v>
      </c>
      <c r="T392" s="10">
        <v>100000</v>
      </c>
      <c r="U392" s="10">
        <f>T392*S392</f>
        <v>4000000</v>
      </c>
      <c r="V392" s="4"/>
      <c r="W392" s="4"/>
      <c r="X392" s="4"/>
      <c r="Y392" s="4"/>
    </row>
    <row r="393" spans="2:25" ht="33.75" customHeight="1">
      <c r="B393" s="58"/>
      <c r="C393" s="60"/>
      <c r="D393" s="52" t="s">
        <v>41</v>
      </c>
      <c r="E393" s="63"/>
      <c r="F393" s="8">
        <v>0.75</v>
      </c>
      <c r="G393" s="67" t="s">
        <v>74</v>
      </c>
      <c r="H393" s="68"/>
      <c r="I393" s="35">
        <v>145</v>
      </c>
      <c r="J393" s="9">
        <f t="shared" si="97"/>
        <v>0</v>
      </c>
      <c r="K393" s="39"/>
      <c r="L393" s="39"/>
      <c r="M393" s="39"/>
      <c r="N393" s="39"/>
      <c r="O393" s="39"/>
      <c r="P393" s="39"/>
      <c r="Q393" s="39"/>
      <c r="R393" s="39"/>
      <c r="S393" s="10">
        <f t="shared" si="104"/>
        <v>0</v>
      </c>
      <c r="T393" s="10">
        <v>100000</v>
      </c>
      <c r="U393" s="10">
        <f t="shared" ref="U393:U400" si="106">T393*S393</f>
        <v>0</v>
      </c>
      <c r="V393" s="4"/>
      <c r="W393" s="4"/>
      <c r="X393" s="11"/>
      <c r="Y393" s="4"/>
    </row>
    <row r="394" spans="2:25" ht="33" customHeight="1">
      <c r="B394" s="58"/>
      <c r="C394" s="60"/>
      <c r="D394" s="53" t="s">
        <v>41</v>
      </c>
      <c r="E394" s="64"/>
      <c r="F394" s="12">
        <v>0.83333333333333337</v>
      </c>
      <c r="G394" s="67" t="s">
        <v>74</v>
      </c>
      <c r="H394" s="68"/>
      <c r="I394" s="36">
        <v>130</v>
      </c>
      <c r="J394" s="9">
        <f t="shared" si="97"/>
        <v>0</v>
      </c>
      <c r="K394" s="41"/>
      <c r="L394" s="41"/>
      <c r="M394" s="41"/>
      <c r="N394" s="41"/>
      <c r="O394" s="41"/>
      <c r="P394" s="41"/>
      <c r="Q394" s="41"/>
      <c r="R394" s="41"/>
      <c r="S394" s="13">
        <f t="shared" si="104"/>
        <v>0</v>
      </c>
      <c r="T394" s="13">
        <v>100000</v>
      </c>
      <c r="U394" s="13">
        <f t="shared" si="106"/>
        <v>0</v>
      </c>
      <c r="V394" s="4"/>
      <c r="Y394" s="4"/>
    </row>
    <row r="395" spans="2:25" ht="37.5">
      <c r="B395" s="58"/>
      <c r="C395" s="60"/>
      <c r="D395" s="51" t="s">
        <v>41</v>
      </c>
      <c r="E395" s="62" t="s">
        <v>102</v>
      </c>
      <c r="F395" s="5">
        <v>0.91666666666666663</v>
      </c>
      <c r="G395" s="65" t="s">
        <v>106</v>
      </c>
      <c r="H395" s="66"/>
      <c r="I395" s="34">
        <v>145</v>
      </c>
      <c r="J395" s="6">
        <f t="shared" si="97"/>
        <v>1.3793103448275862E-2</v>
      </c>
      <c r="K395" s="38"/>
      <c r="L395" s="38"/>
      <c r="M395" s="38"/>
      <c r="N395" s="38"/>
      <c r="O395" s="38"/>
      <c r="P395" s="38"/>
      <c r="Q395" s="38"/>
      <c r="R395" s="38">
        <v>2</v>
      </c>
      <c r="S395" s="7">
        <f t="shared" si="104"/>
        <v>2</v>
      </c>
      <c r="T395" s="7">
        <v>100000</v>
      </c>
      <c r="U395" s="7">
        <f t="shared" si="106"/>
        <v>200000</v>
      </c>
      <c r="V395" s="4"/>
      <c r="Y395" s="4"/>
    </row>
    <row r="396" spans="2:25" ht="37.5">
      <c r="B396" s="58"/>
      <c r="C396" s="60"/>
      <c r="D396" s="52" t="s">
        <v>41</v>
      </c>
      <c r="E396" s="63"/>
      <c r="F396" s="8">
        <v>1</v>
      </c>
      <c r="G396" s="67" t="s">
        <v>106</v>
      </c>
      <c r="H396" s="68"/>
      <c r="I396" s="35">
        <v>147</v>
      </c>
      <c r="J396" s="9">
        <f t="shared" si="97"/>
        <v>1.3605442176870748E-2</v>
      </c>
      <c r="K396" s="39"/>
      <c r="L396" s="39"/>
      <c r="M396" s="39"/>
      <c r="N396" s="39"/>
      <c r="O396" s="39"/>
      <c r="P396" s="39"/>
      <c r="Q396" s="39"/>
      <c r="R396" s="39">
        <v>2</v>
      </c>
      <c r="S396" s="10">
        <f t="shared" si="104"/>
        <v>2</v>
      </c>
      <c r="T396" s="10">
        <v>100000</v>
      </c>
      <c r="U396" s="10">
        <f t="shared" si="106"/>
        <v>200000</v>
      </c>
      <c r="V396" s="4"/>
      <c r="Y396" s="4"/>
    </row>
    <row r="397" spans="2:25" ht="37.5">
      <c r="B397" s="58"/>
      <c r="C397" s="60"/>
      <c r="D397" s="52" t="s">
        <v>41</v>
      </c>
      <c r="E397" s="63"/>
      <c r="F397" s="8">
        <v>8.3333333333333329E-2</v>
      </c>
      <c r="G397" s="67" t="s">
        <v>106</v>
      </c>
      <c r="H397" s="68"/>
      <c r="I397" s="35">
        <v>147</v>
      </c>
      <c r="J397" s="9">
        <f t="shared" si="97"/>
        <v>1.3605442176870748E-2</v>
      </c>
      <c r="K397" s="39"/>
      <c r="L397" s="39"/>
      <c r="M397" s="39"/>
      <c r="N397" s="39"/>
      <c r="O397" s="39"/>
      <c r="P397" s="39"/>
      <c r="Q397" s="39"/>
      <c r="R397" s="39">
        <v>2</v>
      </c>
      <c r="S397" s="10">
        <f t="shared" si="104"/>
        <v>2</v>
      </c>
      <c r="T397" s="10">
        <v>100000</v>
      </c>
      <c r="U397" s="10">
        <f t="shared" si="106"/>
        <v>200000</v>
      </c>
      <c r="V397" s="4"/>
      <c r="Y397" s="4"/>
    </row>
    <row r="398" spans="2:25" ht="37.5">
      <c r="B398" s="58"/>
      <c r="C398" s="60"/>
      <c r="D398" s="52" t="s">
        <v>41</v>
      </c>
      <c r="E398" s="63"/>
      <c r="F398" s="8">
        <v>0.16666666666666666</v>
      </c>
      <c r="G398" s="67" t="s">
        <v>106</v>
      </c>
      <c r="H398" s="68"/>
      <c r="I398" s="35">
        <v>147</v>
      </c>
      <c r="J398" s="9">
        <f t="shared" si="97"/>
        <v>0</v>
      </c>
      <c r="K398" s="39"/>
      <c r="L398" s="39"/>
      <c r="M398" s="39"/>
      <c r="N398" s="39"/>
      <c r="O398" s="39"/>
      <c r="P398" s="39"/>
      <c r="Q398" s="39"/>
      <c r="R398" s="39"/>
      <c r="S398" s="10">
        <f t="shared" si="104"/>
        <v>0</v>
      </c>
      <c r="T398" s="10">
        <v>100000</v>
      </c>
      <c r="U398" s="10">
        <f t="shared" si="106"/>
        <v>0</v>
      </c>
      <c r="V398" s="4"/>
      <c r="W398" s="4"/>
      <c r="X398" s="4"/>
      <c r="Y398" s="4"/>
    </row>
    <row r="399" spans="2:25" ht="37.5">
      <c r="B399" s="58"/>
      <c r="C399" s="60"/>
      <c r="D399" s="52" t="s">
        <v>41</v>
      </c>
      <c r="E399" s="63"/>
      <c r="F399" s="8">
        <v>0.25</v>
      </c>
      <c r="G399" s="67" t="s">
        <v>106</v>
      </c>
      <c r="H399" s="68"/>
      <c r="I399" s="35">
        <v>147</v>
      </c>
      <c r="J399" s="9">
        <f t="shared" si="97"/>
        <v>1.3605442176870748E-2</v>
      </c>
      <c r="K399" s="39"/>
      <c r="L399" s="39"/>
      <c r="M399" s="39"/>
      <c r="N399" s="39"/>
      <c r="O399" s="39"/>
      <c r="P399" s="39"/>
      <c r="Q399" s="39"/>
      <c r="R399" s="39">
        <v>2</v>
      </c>
      <c r="S399" s="10">
        <f t="shared" si="104"/>
        <v>2</v>
      </c>
      <c r="T399" s="10">
        <v>100000</v>
      </c>
      <c r="U399" s="10">
        <f t="shared" si="106"/>
        <v>200000</v>
      </c>
      <c r="V399" s="4"/>
      <c r="Y399" s="4"/>
    </row>
    <row r="400" spans="2:25" ht="37.5">
      <c r="B400" s="58"/>
      <c r="C400" s="61"/>
      <c r="D400" s="53" t="s">
        <v>41</v>
      </c>
      <c r="E400" s="69"/>
      <c r="F400" s="14">
        <v>0.33333333333333331</v>
      </c>
      <c r="G400" s="67" t="s">
        <v>106</v>
      </c>
      <c r="H400" s="68"/>
      <c r="I400" s="37">
        <v>147</v>
      </c>
      <c r="J400" s="15">
        <f t="shared" si="97"/>
        <v>1.3605442176870748E-2</v>
      </c>
      <c r="K400" s="40"/>
      <c r="L400" s="40"/>
      <c r="M400" s="40"/>
      <c r="N400" s="40"/>
      <c r="O400" s="40"/>
      <c r="P400" s="40"/>
      <c r="Q400" s="40"/>
      <c r="R400" s="40">
        <v>2</v>
      </c>
      <c r="S400" s="16">
        <f t="shared" si="104"/>
        <v>2</v>
      </c>
      <c r="T400" s="16">
        <v>100000</v>
      </c>
      <c r="U400" s="16">
        <f t="shared" si="106"/>
        <v>200000</v>
      </c>
      <c r="V400" s="4"/>
      <c r="W400" s="4"/>
      <c r="X400" s="4"/>
      <c r="Y400" s="4"/>
    </row>
    <row r="401" spans="2:25" ht="41.25" customHeight="1">
      <c r="B401" s="58">
        <v>46114</v>
      </c>
      <c r="C401" s="59" t="s">
        <v>14</v>
      </c>
      <c r="D401" s="51" t="s">
        <v>41</v>
      </c>
      <c r="E401" s="62" t="s">
        <v>101</v>
      </c>
      <c r="F401" s="5">
        <v>0.41666666666666669</v>
      </c>
      <c r="G401" s="65" t="s">
        <v>103</v>
      </c>
      <c r="H401" s="66"/>
      <c r="I401" s="34">
        <v>138</v>
      </c>
      <c r="J401" s="6">
        <f t="shared" ref="J401:J424" si="107">IFERROR(S401/I401,"")</f>
        <v>8.6956521739130432E-2</v>
      </c>
      <c r="K401" s="38"/>
      <c r="L401" s="38"/>
      <c r="M401" s="38"/>
      <c r="N401" s="38">
        <v>12</v>
      </c>
      <c r="O401" s="38"/>
      <c r="P401" s="38"/>
      <c r="Q401" s="38"/>
      <c r="R401" s="38"/>
      <c r="S401" s="7">
        <f>SUM(K401:R401)</f>
        <v>12</v>
      </c>
      <c r="T401" s="7">
        <v>100000</v>
      </c>
      <c r="U401" s="7">
        <f>T401*S401</f>
        <v>1200000</v>
      </c>
      <c r="V401" s="4"/>
      <c r="W401" s="4"/>
      <c r="X401" s="4"/>
      <c r="Y401" s="4"/>
    </row>
    <row r="402" spans="2:25" ht="41.25" customHeight="1">
      <c r="B402" s="58"/>
      <c r="C402" s="60"/>
      <c r="D402" s="52" t="s">
        <v>41</v>
      </c>
      <c r="E402" s="63"/>
      <c r="F402" s="8">
        <v>0.5</v>
      </c>
      <c r="G402" s="67" t="s">
        <v>103</v>
      </c>
      <c r="H402" s="68"/>
      <c r="I402" s="35">
        <v>150</v>
      </c>
      <c r="J402" s="9">
        <f t="shared" si="107"/>
        <v>0</v>
      </c>
      <c r="K402" s="39"/>
      <c r="L402" s="39"/>
      <c r="M402" s="39"/>
      <c r="N402" s="39"/>
      <c r="O402" s="39"/>
      <c r="P402" s="39"/>
      <c r="Q402" s="39"/>
      <c r="R402" s="39"/>
      <c r="S402" s="10">
        <f t="shared" ref="S402:S412" si="108">SUM(K402:R402)</f>
        <v>0</v>
      </c>
      <c r="T402" s="10">
        <v>100000</v>
      </c>
      <c r="U402" s="10">
        <f t="shared" ref="U402:U403" si="109">T402*S402</f>
        <v>0</v>
      </c>
      <c r="V402" s="4"/>
      <c r="W402" s="4"/>
      <c r="X402" s="4"/>
      <c r="Y402" s="4"/>
    </row>
    <row r="403" spans="2:25" ht="41.25" customHeight="1">
      <c r="B403" s="58"/>
      <c r="C403" s="60"/>
      <c r="D403" s="52" t="s">
        <v>41</v>
      </c>
      <c r="E403" s="63"/>
      <c r="F403" s="8">
        <v>0.58333333333333337</v>
      </c>
      <c r="G403" s="67" t="s">
        <v>103</v>
      </c>
      <c r="H403" s="68"/>
      <c r="I403" s="35">
        <v>150</v>
      </c>
      <c r="J403" s="9">
        <f t="shared" si="107"/>
        <v>0</v>
      </c>
      <c r="K403" s="39"/>
      <c r="L403" s="39"/>
      <c r="M403" s="39"/>
      <c r="N403" s="39"/>
      <c r="O403" s="39"/>
      <c r="P403" s="39"/>
      <c r="Q403" s="39"/>
      <c r="R403" s="39"/>
      <c r="S403" s="10">
        <f t="shared" si="108"/>
        <v>0</v>
      </c>
      <c r="T403" s="10">
        <v>100000</v>
      </c>
      <c r="U403" s="10">
        <f t="shared" si="109"/>
        <v>0</v>
      </c>
      <c r="V403" s="4"/>
      <c r="W403" s="4"/>
      <c r="X403" s="4"/>
      <c r="Y403" s="4"/>
    </row>
    <row r="404" spans="2:25" ht="41.25" customHeight="1">
      <c r="B404" s="58"/>
      <c r="C404" s="60"/>
      <c r="D404" s="52" t="s">
        <v>41</v>
      </c>
      <c r="E404" s="63"/>
      <c r="F404" s="8">
        <v>0.66666666666666663</v>
      </c>
      <c r="G404" s="67" t="s">
        <v>103</v>
      </c>
      <c r="H404" s="68"/>
      <c r="I404" s="35">
        <v>150</v>
      </c>
      <c r="J404" s="9">
        <f t="shared" si="107"/>
        <v>0</v>
      </c>
      <c r="K404" s="39"/>
      <c r="L404" s="39"/>
      <c r="M404" s="39"/>
      <c r="N404" s="39"/>
      <c r="O404" s="39"/>
      <c r="P404" s="39"/>
      <c r="Q404" s="39"/>
      <c r="R404" s="39"/>
      <c r="S404" s="10">
        <f t="shared" si="108"/>
        <v>0</v>
      </c>
      <c r="T404" s="10">
        <v>100000</v>
      </c>
      <c r="U404" s="10">
        <f>T404*S404</f>
        <v>0</v>
      </c>
      <c r="V404" s="4"/>
      <c r="W404" s="4"/>
      <c r="X404" s="4"/>
      <c r="Y404" s="4"/>
    </row>
    <row r="405" spans="2:25" ht="41.25" customHeight="1">
      <c r="B405" s="58"/>
      <c r="C405" s="60"/>
      <c r="D405" s="52" t="s">
        <v>41</v>
      </c>
      <c r="E405" s="63"/>
      <c r="F405" s="8">
        <v>0.75</v>
      </c>
      <c r="G405" s="67" t="s">
        <v>103</v>
      </c>
      <c r="H405" s="68"/>
      <c r="I405" s="35">
        <v>150</v>
      </c>
      <c r="J405" s="9">
        <f t="shared" si="107"/>
        <v>0</v>
      </c>
      <c r="K405" s="39"/>
      <c r="L405" s="39"/>
      <c r="M405" s="39"/>
      <c r="N405" s="39"/>
      <c r="O405" s="39"/>
      <c r="P405" s="39"/>
      <c r="Q405" s="39"/>
      <c r="R405" s="39"/>
      <c r="S405" s="10">
        <f t="shared" si="108"/>
        <v>0</v>
      </c>
      <c r="T405" s="10">
        <v>100000</v>
      </c>
      <c r="U405" s="10">
        <f t="shared" ref="U405:U412" si="110">T405*S405</f>
        <v>0</v>
      </c>
      <c r="V405" s="4"/>
      <c r="W405" s="4"/>
      <c r="X405" s="11"/>
      <c r="Y405" s="4"/>
    </row>
    <row r="406" spans="2:25" ht="41.25" customHeight="1">
      <c r="B406" s="58"/>
      <c r="C406" s="60"/>
      <c r="D406" s="53" t="s">
        <v>41</v>
      </c>
      <c r="E406" s="64"/>
      <c r="F406" s="12">
        <v>0.83333333333333337</v>
      </c>
      <c r="G406" s="67" t="s">
        <v>103</v>
      </c>
      <c r="H406" s="68"/>
      <c r="I406" s="36">
        <v>142</v>
      </c>
      <c r="J406" s="9">
        <f t="shared" si="107"/>
        <v>0</v>
      </c>
      <c r="K406" s="41"/>
      <c r="L406" s="41"/>
      <c r="M406" s="41"/>
      <c r="N406" s="41"/>
      <c r="O406" s="41"/>
      <c r="P406" s="41"/>
      <c r="Q406" s="41"/>
      <c r="R406" s="41"/>
      <c r="S406" s="13">
        <f t="shared" si="108"/>
        <v>0</v>
      </c>
      <c r="T406" s="13">
        <v>100000</v>
      </c>
      <c r="U406" s="13">
        <f t="shared" si="110"/>
        <v>0</v>
      </c>
      <c r="V406" s="4"/>
      <c r="Y406" s="4"/>
    </row>
    <row r="407" spans="2:25" ht="37.5">
      <c r="B407" s="58"/>
      <c r="C407" s="60"/>
      <c r="D407" s="51" t="s">
        <v>41</v>
      </c>
      <c r="E407" s="62" t="s">
        <v>102</v>
      </c>
      <c r="F407" s="5">
        <v>0.91666666666666663</v>
      </c>
      <c r="G407" s="65" t="s">
        <v>106</v>
      </c>
      <c r="H407" s="66"/>
      <c r="I407" s="34">
        <v>146</v>
      </c>
      <c r="J407" s="6">
        <f t="shared" si="107"/>
        <v>2.0547945205479451E-2</v>
      </c>
      <c r="K407" s="38"/>
      <c r="L407" s="38"/>
      <c r="M407" s="38"/>
      <c r="N407" s="38"/>
      <c r="O407" s="38"/>
      <c r="P407" s="38"/>
      <c r="Q407" s="38"/>
      <c r="R407" s="38">
        <v>3</v>
      </c>
      <c r="S407" s="7">
        <f t="shared" si="108"/>
        <v>3</v>
      </c>
      <c r="T407" s="7">
        <v>100000</v>
      </c>
      <c r="U407" s="7">
        <f t="shared" si="110"/>
        <v>300000</v>
      </c>
      <c r="V407" s="4"/>
      <c r="Y407" s="4"/>
    </row>
    <row r="408" spans="2:25" ht="37.5">
      <c r="B408" s="58"/>
      <c r="C408" s="60"/>
      <c r="D408" s="52" t="s">
        <v>41</v>
      </c>
      <c r="E408" s="63"/>
      <c r="F408" s="8">
        <v>1</v>
      </c>
      <c r="G408" s="67" t="s">
        <v>106</v>
      </c>
      <c r="H408" s="68"/>
      <c r="I408" s="35">
        <v>146</v>
      </c>
      <c r="J408" s="9">
        <f t="shared" si="107"/>
        <v>2.0547945205479451E-2</v>
      </c>
      <c r="K408" s="39"/>
      <c r="L408" s="39"/>
      <c r="M408" s="39"/>
      <c r="N408" s="39"/>
      <c r="O408" s="39"/>
      <c r="P408" s="39"/>
      <c r="Q408" s="39"/>
      <c r="R408" s="39">
        <v>3</v>
      </c>
      <c r="S408" s="10">
        <f t="shared" si="108"/>
        <v>3</v>
      </c>
      <c r="T408" s="10">
        <v>100000</v>
      </c>
      <c r="U408" s="10">
        <f t="shared" si="110"/>
        <v>300000</v>
      </c>
      <c r="V408" s="4"/>
      <c r="Y408" s="4"/>
    </row>
    <row r="409" spans="2:25" ht="37.5">
      <c r="B409" s="58"/>
      <c r="C409" s="60"/>
      <c r="D409" s="52" t="s">
        <v>41</v>
      </c>
      <c r="E409" s="63"/>
      <c r="F409" s="8">
        <v>8.3333333333333329E-2</v>
      </c>
      <c r="G409" s="67" t="s">
        <v>106</v>
      </c>
      <c r="H409" s="68"/>
      <c r="I409" s="35">
        <v>147</v>
      </c>
      <c r="J409" s="9">
        <f t="shared" si="107"/>
        <v>2.0408163265306121E-2</v>
      </c>
      <c r="K409" s="39"/>
      <c r="L409" s="39"/>
      <c r="M409" s="39"/>
      <c r="N409" s="39"/>
      <c r="O409" s="39"/>
      <c r="P409" s="39"/>
      <c r="Q409" s="39"/>
      <c r="R409" s="39">
        <v>3</v>
      </c>
      <c r="S409" s="10">
        <f t="shared" si="108"/>
        <v>3</v>
      </c>
      <c r="T409" s="10">
        <v>100000</v>
      </c>
      <c r="U409" s="10">
        <f t="shared" si="110"/>
        <v>300000</v>
      </c>
      <c r="V409" s="4"/>
      <c r="Y409" s="4"/>
    </row>
    <row r="410" spans="2:25" ht="37.5">
      <c r="B410" s="58"/>
      <c r="C410" s="60"/>
      <c r="D410" s="52" t="s">
        <v>41</v>
      </c>
      <c r="E410" s="63"/>
      <c r="F410" s="8">
        <v>0.16666666666666666</v>
      </c>
      <c r="G410" s="67" t="s">
        <v>106</v>
      </c>
      <c r="H410" s="68"/>
      <c r="I410" s="35">
        <v>147</v>
      </c>
      <c r="J410" s="9">
        <f t="shared" si="107"/>
        <v>2.0408163265306121E-2</v>
      </c>
      <c r="K410" s="39"/>
      <c r="L410" s="39"/>
      <c r="M410" s="39"/>
      <c r="N410" s="39"/>
      <c r="O410" s="39"/>
      <c r="P410" s="39"/>
      <c r="Q410" s="39"/>
      <c r="R410" s="39">
        <v>3</v>
      </c>
      <c r="S410" s="10">
        <f t="shared" si="108"/>
        <v>3</v>
      </c>
      <c r="T410" s="10">
        <v>100000</v>
      </c>
      <c r="U410" s="10">
        <f t="shared" si="110"/>
        <v>300000</v>
      </c>
      <c r="V410" s="4"/>
      <c r="W410" s="4"/>
      <c r="X410" s="4"/>
      <c r="Y410" s="4"/>
    </row>
    <row r="411" spans="2:25" ht="37.5">
      <c r="B411" s="58"/>
      <c r="C411" s="60"/>
      <c r="D411" s="52" t="s">
        <v>41</v>
      </c>
      <c r="E411" s="63"/>
      <c r="F411" s="8">
        <v>0.25</v>
      </c>
      <c r="G411" s="67" t="s">
        <v>106</v>
      </c>
      <c r="H411" s="68"/>
      <c r="I411" s="35">
        <v>147</v>
      </c>
      <c r="J411" s="9">
        <f t="shared" si="107"/>
        <v>1.3605442176870748E-2</v>
      </c>
      <c r="K411" s="39"/>
      <c r="L411" s="39"/>
      <c r="M411" s="39"/>
      <c r="N411" s="39"/>
      <c r="O411" s="39"/>
      <c r="P411" s="39"/>
      <c r="Q411" s="39"/>
      <c r="R411" s="39">
        <v>2</v>
      </c>
      <c r="S411" s="10">
        <f t="shared" si="108"/>
        <v>2</v>
      </c>
      <c r="T411" s="10">
        <v>100000</v>
      </c>
      <c r="U411" s="10">
        <f t="shared" si="110"/>
        <v>200000</v>
      </c>
      <c r="V411" s="4"/>
      <c r="Y411" s="4"/>
    </row>
    <row r="412" spans="2:25" ht="37.5">
      <c r="B412" s="58"/>
      <c r="C412" s="61"/>
      <c r="D412" s="53" t="s">
        <v>41</v>
      </c>
      <c r="E412" s="69"/>
      <c r="F412" s="14">
        <v>0.33333333333333331</v>
      </c>
      <c r="G412" s="67" t="s">
        <v>106</v>
      </c>
      <c r="H412" s="68"/>
      <c r="I412" s="37">
        <v>147</v>
      </c>
      <c r="J412" s="15">
        <f t="shared" si="107"/>
        <v>1.3605442176870748E-2</v>
      </c>
      <c r="K412" s="40"/>
      <c r="L412" s="40"/>
      <c r="M412" s="40"/>
      <c r="N412" s="40"/>
      <c r="O412" s="40"/>
      <c r="P412" s="40"/>
      <c r="Q412" s="40"/>
      <c r="R412" s="40">
        <v>2</v>
      </c>
      <c r="S412" s="16">
        <f t="shared" si="108"/>
        <v>2</v>
      </c>
      <c r="T412" s="16">
        <v>100000</v>
      </c>
      <c r="U412" s="16">
        <f t="shared" si="110"/>
        <v>200000</v>
      </c>
      <c r="V412" s="4"/>
      <c r="W412" s="4"/>
      <c r="X412" s="4"/>
      <c r="Y412" s="4"/>
    </row>
    <row r="413" spans="2:25" ht="37.5" customHeight="1">
      <c r="B413" s="58">
        <v>46115</v>
      </c>
      <c r="C413" s="59" t="s">
        <v>14</v>
      </c>
      <c r="D413" s="51" t="s">
        <v>40</v>
      </c>
      <c r="E413" s="62" t="s">
        <v>101</v>
      </c>
      <c r="F413" s="5">
        <v>0.41666666666666669</v>
      </c>
      <c r="G413" s="65" t="s">
        <v>103</v>
      </c>
      <c r="H413" s="66"/>
      <c r="I413" s="34"/>
      <c r="J413" s="6" t="str">
        <f t="shared" si="107"/>
        <v/>
      </c>
      <c r="K413" s="38"/>
      <c r="L413" s="38"/>
      <c r="M413" s="38"/>
      <c r="N413" s="38"/>
      <c r="O413" s="38"/>
      <c r="P413" s="38"/>
      <c r="Q413" s="38">
        <v>11</v>
      </c>
      <c r="R413" s="38"/>
      <c r="S413" s="7">
        <f>SUM(K413:R413)</f>
        <v>11</v>
      </c>
      <c r="T413" s="7">
        <v>100000</v>
      </c>
      <c r="U413" s="7">
        <f>T413*S413</f>
        <v>1100000</v>
      </c>
      <c r="V413" s="4"/>
      <c r="W413" s="4"/>
      <c r="X413" s="4"/>
      <c r="Y413" s="4"/>
    </row>
    <row r="414" spans="2:25" ht="46.5" customHeight="1">
      <c r="B414" s="58"/>
      <c r="C414" s="60"/>
      <c r="D414" s="52" t="s">
        <v>40</v>
      </c>
      <c r="E414" s="63"/>
      <c r="F414" s="8">
        <v>0.5</v>
      </c>
      <c r="G414" s="67" t="s">
        <v>103</v>
      </c>
      <c r="H414" s="68"/>
      <c r="I414" s="35">
        <v>80</v>
      </c>
      <c r="J414" s="9">
        <f t="shared" si="107"/>
        <v>6.25E-2</v>
      </c>
      <c r="K414" s="39"/>
      <c r="L414" s="39"/>
      <c r="M414" s="39">
        <v>5</v>
      </c>
      <c r="N414" s="39"/>
      <c r="O414" s="39"/>
      <c r="P414" s="39"/>
      <c r="Q414" s="39"/>
      <c r="R414" s="39"/>
      <c r="S414" s="10">
        <f t="shared" ref="S414:S424" si="111">SUM(K414:R414)</f>
        <v>5</v>
      </c>
      <c r="T414" s="10">
        <v>100000</v>
      </c>
      <c r="U414" s="10">
        <f t="shared" ref="U414:U415" si="112">T414*S414</f>
        <v>500000</v>
      </c>
      <c r="V414" s="4"/>
      <c r="W414" s="4"/>
      <c r="X414" s="4"/>
      <c r="Y414" s="4"/>
    </row>
    <row r="415" spans="2:25" ht="36" customHeight="1">
      <c r="B415" s="58"/>
      <c r="C415" s="60"/>
      <c r="D415" s="52" t="s">
        <v>40</v>
      </c>
      <c r="E415" s="63"/>
      <c r="F415" s="8">
        <v>0.58333333333333337</v>
      </c>
      <c r="G415" s="67" t="s">
        <v>103</v>
      </c>
      <c r="H415" s="68"/>
      <c r="I415" s="35">
        <v>160</v>
      </c>
      <c r="J415" s="9">
        <f t="shared" si="107"/>
        <v>2.5000000000000001E-2</v>
      </c>
      <c r="K415" s="39"/>
      <c r="L415" s="39"/>
      <c r="M415" s="39"/>
      <c r="N415" s="39"/>
      <c r="O415" s="39"/>
      <c r="P415" s="39"/>
      <c r="Q415" s="39"/>
      <c r="R415" s="39">
        <v>4</v>
      </c>
      <c r="S415" s="10">
        <f t="shared" si="111"/>
        <v>4</v>
      </c>
      <c r="T415" s="10">
        <v>100000</v>
      </c>
      <c r="U415" s="10">
        <f t="shared" si="112"/>
        <v>400000</v>
      </c>
      <c r="V415" s="4"/>
      <c r="W415" s="4"/>
      <c r="X415" s="4"/>
      <c r="Y415" s="4"/>
    </row>
    <row r="416" spans="2:25" ht="36" customHeight="1">
      <c r="B416" s="58"/>
      <c r="C416" s="60"/>
      <c r="D416" s="52" t="s">
        <v>40</v>
      </c>
      <c r="E416" s="63"/>
      <c r="F416" s="8">
        <v>0.66666666666666663</v>
      </c>
      <c r="G416" s="67" t="s">
        <v>103</v>
      </c>
      <c r="H416" s="68"/>
      <c r="I416" s="35">
        <v>160</v>
      </c>
      <c r="J416" s="9">
        <f t="shared" si="107"/>
        <v>0</v>
      </c>
      <c r="K416" s="39"/>
      <c r="L416" s="39"/>
      <c r="M416" s="39"/>
      <c r="N416" s="39"/>
      <c r="O416" s="39"/>
      <c r="P416" s="39"/>
      <c r="Q416" s="39"/>
      <c r="R416" s="39"/>
      <c r="S416" s="10">
        <f t="shared" si="111"/>
        <v>0</v>
      </c>
      <c r="T416" s="10">
        <v>100000</v>
      </c>
      <c r="U416" s="10">
        <f>T416*S416</f>
        <v>0</v>
      </c>
      <c r="V416" s="4"/>
      <c r="W416" s="4"/>
      <c r="X416" s="4"/>
      <c r="Y416" s="4"/>
    </row>
    <row r="417" spans="2:25" ht="36" customHeight="1">
      <c r="B417" s="58"/>
      <c r="C417" s="60"/>
      <c r="D417" s="52" t="s">
        <v>40</v>
      </c>
      <c r="E417" s="63"/>
      <c r="F417" s="8">
        <v>0.75</v>
      </c>
      <c r="G417" s="67" t="s">
        <v>103</v>
      </c>
      <c r="H417" s="68"/>
      <c r="I417" s="35">
        <v>160</v>
      </c>
      <c r="J417" s="9">
        <f t="shared" si="107"/>
        <v>0</v>
      </c>
      <c r="K417" s="39"/>
      <c r="L417" s="39"/>
      <c r="M417" s="39"/>
      <c r="N417" s="39"/>
      <c r="O417" s="39"/>
      <c r="P417" s="39"/>
      <c r="Q417" s="39"/>
      <c r="R417" s="39"/>
      <c r="S417" s="10">
        <f t="shared" si="111"/>
        <v>0</v>
      </c>
      <c r="T417" s="10">
        <v>100000</v>
      </c>
      <c r="U417" s="10">
        <f t="shared" ref="U417:U424" si="113">T417*S417</f>
        <v>0</v>
      </c>
      <c r="V417" s="4"/>
      <c r="W417" s="4"/>
      <c r="X417" s="11"/>
      <c r="Y417" s="4"/>
    </row>
    <row r="418" spans="2:25" ht="36" customHeight="1">
      <c r="B418" s="58"/>
      <c r="C418" s="60"/>
      <c r="D418" s="53" t="s">
        <v>40</v>
      </c>
      <c r="E418" s="64"/>
      <c r="F418" s="12">
        <v>0.83333333333333337</v>
      </c>
      <c r="G418" s="67" t="s">
        <v>103</v>
      </c>
      <c r="H418" s="68"/>
      <c r="I418" s="36">
        <v>160</v>
      </c>
      <c r="J418" s="9">
        <f t="shared" si="107"/>
        <v>0</v>
      </c>
      <c r="K418" s="41"/>
      <c r="L418" s="41"/>
      <c r="M418" s="41"/>
      <c r="N418" s="41"/>
      <c r="O418" s="41"/>
      <c r="P418" s="41"/>
      <c r="Q418" s="41"/>
      <c r="R418" s="41"/>
      <c r="S418" s="13">
        <f t="shared" si="111"/>
        <v>0</v>
      </c>
      <c r="T418" s="13">
        <v>100000</v>
      </c>
      <c r="U418" s="13">
        <f t="shared" si="113"/>
        <v>0</v>
      </c>
      <c r="V418" s="4"/>
      <c r="Y418" s="4"/>
    </row>
    <row r="419" spans="2:25" ht="56.25">
      <c r="B419" s="58"/>
      <c r="C419" s="60"/>
      <c r="D419" s="51" t="s">
        <v>40</v>
      </c>
      <c r="E419" s="62" t="s">
        <v>102</v>
      </c>
      <c r="F419" s="5">
        <v>0.91666666666666663</v>
      </c>
      <c r="G419" s="65" t="s">
        <v>88</v>
      </c>
      <c r="H419" s="66"/>
      <c r="I419" s="34">
        <v>146</v>
      </c>
      <c r="J419" s="6">
        <f t="shared" si="107"/>
        <v>2.0547945205479451E-2</v>
      </c>
      <c r="K419" s="38"/>
      <c r="L419" s="38"/>
      <c r="M419" s="38">
        <v>3</v>
      </c>
      <c r="N419" s="38"/>
      <c r="O419" s="38"/>
      <c r="P419" s="38"/>
      <c r="Q419" s="38"/>
      <c r="R419" s="38"/>
      <c r="S419" s="7">
        <f t="shared" si="111"/>
        <v>3</v>
      </c>
      <c r="T419" s="7">
        <v>100000</v>
      </c>
      <c r="U419" s="7">
        <f t="shared" si="113"/>
        <v>300000</v>
      </c>
      <c r="V419" s="4"/>
      <c r="Y419" s="4"/>
    </row>
    <row r="420" spans="2:25" ht="56.25">
      <c r="B420" s="58"/>
      <c r="C420" s="60"/>
      <c r="D420" s="52" t="s">
        <v>40</v>
      </c>
      <c r="E420" s="63"/>
      <c r="F420" s="8">
        <v>1</v>
      </c>
      <c r="G420" s="67" t="s">
        <v>88</v>
      </c>
      <c r="H420" s="68"/>
      <c r="I420" s="35">
        <v>147</v>
      </c>
      <c r="J420" s="9">
        <f t="shared" si="107"/>
        <v>2.0408163265306121E-2</v>
      </c>
      <c r="K420" s="39"/>
      <c r="L420" s="39"/>
      <c r="M420" s="39">
        <v>3</v>
      </c>
      <c r="N420" s="39"/>
      <c r="O420" s="39"/>
      <c r="P420" s="39"/>
      <c r="Q420" s="39"/>
      <c r="R420" s="39"/>
      <c r="S420" s="10">
        <f t="shared" si="111"/>
        <v>3</v>
      </c>
      <c r="T420" s="10">
        <v>100000</v>
      </c>
      <c r="U420" s="10">
        <f t="shared" si="113"/>
        <v>300000</v>
      </c>
      <c r="V420" s="4"/>
      <c r="Y420" s="4"/>
    </row>
    <row r="421" spans="2:25" ht="56.25">
      <c r="B421" s="58"/>
      <c r="C421" s="60"/>
      <c r="D421" s="52" t="s">
        <v>40</v>
      </c>
      <c r="E421" s="63"/>
      <c r="F421" s="8">
        <v>8.3333333333333329E-2</v>
      </c>
      <c r="G421" s="67" t="s">
        <v>88</v>
      </c>
      <c r="H421" s="68"/>
      <c r="I421" s="35">
        <v>147</v>
      </c>
      <c r="J421" s="9">
        <f t="shared" si="107"/>
        <v>1.3605442176870748E-2</v>
      </c>
      <c r="K421" s="39"/>
      <c r="L421" s="39"/>
      <c r="M421" s="39"/>
      <c r="N421" s="39"/>
      <c r="O421" s="39"/>
      <c r="P421" s="39"/>
      <c r="Q421" s="39"/>
      <c r="R421" s="39">
        <v>2</v>
      </c>
      <c r="S421" s="10">
        <f t="shared" si="111"/>
        <v>2</v>
      </c>
      <c r="T421" s="10">
        <v>100000</v>
      </c>
      <c r="U421" s="10">
        <f t="shared" si="113"/>
        <v>200000</v>
      </c>
      <c r="V421" s="4"/>
      <c r="Y421" s="4"/>
    </row>
    <row r="422" spans="2:25" ht="56.25">
      <c r="B422" s="58"/>
      <c r="C422" s="60"/>
      <c r="D422" s="52" t="s">
        <v>40</v>
      </c>
      <c r="E422" s="63"/>
      <c r="F422" s="8">
        <v>0.16666666666666666</v>
      </c>
      <c r="G422" s="67" t="s">
        <v>88</v>
      </c>
      <c r="H422" s="68"/>
      <c r="I422" s="35">
        <v>147</v>
      </c>
      <c r="J422" s="9">
        <f t="shared" si="107"/>
        <v>1.3605442176870748E-2</v>
      </c>
      <c r="K422" s="39"/>
      <c r="L422" s="39"/>
      <c r="M422" s="39"/>
      <c r="N422" s="39"/>
      <c r="O422" s="39"/>
      <c r="P422" s="39"/>
      <c r="Q422" s="39"/>
      <c r="R422" s="39">
        <v>2</v>
      </c>
      <c r="S422" s="10">
        <f t="shared" si="111"/>
        <v>2</v>
      </c>
      <c r="T422" s="10">
        <v>100000</v>
      </c>
      <c r="U422" s="10">
        <f t="shared" si="113"/>
        <v>200000</v>
      </c>
      <c r="V422" s="4"/>
      <c r="W422" s="4"/>
      <c r="X422" s="4"/>
      <c r="Y422" s="4"/>
    </row>
    <row r="423" spans="2:25" ht="56.25">
      <c r="B423" s="58"/>
      <c r="C423" s="60"/>
      <c r="D423" s="52" t="s">
        <v>40</v>
      </c>
      <c r="E423" s="63"/>
      <c r="F423" s="8">
        <v>0.25</v>
      </c>
      <c r="G423" s="67" t="s">
        <v>88</v>
      </c>
      <c r="H423" s="68"/>
      <c r="I423" s="35">
        <v>147</v>
      </c>
      <c r="J423" s="9">
        <f t="shared" si="107"/>
        <v>2.0408163265306121E-2</v>
      </c>
      <c r="K423" s="39"/>
      <c r="L423" s="39"/>
      <c r="M423" s="39">
        <v>3</v>
      </c>
      <c r="N423" s="39"/>
      <c r="O423" s="39"/>
      <c r="P423" s="39"/>
      <c r="Q423" s="39"/>
      <c r="R423" s="39"/>
      <c r="S423" s="10">
        <f t="shared" si="111"/>
        <v>3</v>
      </c>
      <c r="T423" s="10">
        <v>100000</v>
      </c>
      <c r="U423" s="10">
        <f t="shared" si="113"/>
        <v>300000</v>
      </c>
      <c r="V423" s="4"/>
      <c r="Y423" s="4"/>
    </row>
    <row r="424" spans="2:25" ht="56.25">
      <c r="B424" s="58"/>
      <c r="C424" s="61"/>
      <c r="D424" s="53" t="s">
        <v>40</v>
      </c>
      <c r="E424" s="69"/>
      <c r="F424" s="14">
        <v>0.33333333333333331</v>
      </c>
      <c r="G424" s="67" t="s">
        <v>88</v>
      </c>
      <c r="H424" s="68"/>
      <c r="I424" s="37">
        <v>147</v>
      </c>
      <c r="J424" s="15">
        <f t="shared" si="107"/>
        <v>2.0408163265306121E-2</v>
      </c>
      <c r="K424" s="40"/>
      <c r="L424" s="40"/>
      <c r="M424" s="40">
        <v>3</v>
      </c>
      <c r="N424" s="40"/>
      <c r="O424" s="40"/>
      <c r="P424" s="40"/>
      <c r="Q424" s="40"/>
      <c r="R424" s="40"/>
      <c r="S424" s="16">
        <f t="shared" si="111"/>
        <v>3</v>
      </c>
      <c r="T424" s="16">
        <v>100000</v>
      </c>
      <c r="U424" s="16">
        <f t="shared" si="113"/>
        <v>300000</v>
      </c>
      <c r="V424" s="4"/>
      <c r="W424" s="4"/>
      <c r="X424" s="4"/>
      <c r="Y424" s="4"/>
    </row>
    <row r="425" spans="2:25" ht="39" customHeight="1">
      <c r="B425" s="58">
        <v>46116</v>
      </c>
      <c r="C425" s="59" t="s">
        <v>14</v>
      </c>
      <c r="D425" s="51" t="s">
        <v>40</v>
      </c>
      <c r="E425" s="62" t="s">
        <v>101</v>
      </c>
      <c r="F425" s="5">
        <v>0.41666666666666669</v>
      </c>
      <c r="G425" s="65" t="s">
        <v>109</v>
      </c>
      <c r="H425" s="66"/>
      <c r="I425" s="34">
        <v>154</v>
      </c>
      <c r="J425" s="6">
        <f t="shared" ref="J425:J460" si="114">IFERROR(S425/I425,"")</f>
        <v>3.2467532467532464E-2</v>
      </c>
      <c r="K425" s="38"/>
      <c r="L425" s="38"/>
      <c r="M425" s="38"/>
      <c r="N425" s="38"/>
      <c r="O425" s="38"/>
      <c r="P425" s="38"/>
      <c r="Q425" s="38"/>
      <c r="R425" s="38">
        <v>5</v>
      </c>
      <c r="S425" s="7">
        <f>SUM(K425:R425)</f>
        <v>5</v>
      </c>
      <c r="T425" s="7">
        <v>100000</v>
      </c>
      <c r="U425" s="7">
        <f>T425*S425</f>
        <v>500000</v>
      </c>
      <c r="V425" s="4"/>
      <c r="W425" s="4"/>
      <c r="X425" s="4"/>
      <c r="Y425" s="4"/>
    </row>
    <row r="426" spans="2:25" ht="39" customHeight="1">
      <c r="B426" s="58"/>
      <c r="C426" s="60"/>
      <c r="D426" s="52" t="s">
        <v>40</v>
      </c>
      <c r="E426" s="63"/>
      <c r="F426" s="8">
        <v>0.5</v>
      </c>
      <c r="G426" s="67" t="s">
        <v>109</v>
      </c>
      <c r="H426" s="68"/>
      <c r="I426" s="35">
        <v>154</v>
      </c>
      <c r="J426" s="9">
        <f t="shared" si="114"/>
        <v>1.948051948051948E-2</v>
      </c>
      <c r="K426" s="39"/>
      <c r="L426" s="39"/>
      <c r="M426" s="39">
        <v>3</v>
      </c>
      <c r="N426" s="39"/>
      <c r="O426" s="39"/>
      <c r="P426" s="39"/>
      <c r="Q426" s="39"/>
      <c r="R426" s="39"/>
      <c r="S426" s="10">
        <f t="shared" ref="S426:S436" si="115">SUM(K426:R426)</f>
        <v>3</v>
      </c>
      <c r="T426" s="10">
        <v>100000</v>
      </c>
      <c r="U426" s="10">
        <f t="shared" ref="U426:U427" si="116">T426*S426</f>
        <v>300000</v>
      </c>
      <c r="V426" s="4"/>
      <c r="W426" s="4"/>
      <c r="X426" s="4"/>
      <c r="Y426" s="4"/>
    </row>
    <row r="427" spans="2:25" ht="39" customHeight="1">
      <c r="B427" s="58"/>
      <c r="C427" s="60"/>
      <c r="D427" s="52" t="s">
        <v>40</v>
      </c>
      <c r="E427" s="63"/>
      <c r="F427" s="8">
        <v>0.58333333333333337</v>
      </c>
      <c r="G427" s="67" t="s">
        <v>109</v>
      </c>
      <c r="H427" s="68"/>
      <c r="I427" s="35">
        <v>120</v>
      </c>
      <c r="J427" s="9">
        <f t="shared" si="114"/>
        <v>0.1</v>
      </c>
      <c r="K427" s="39"/>
      <c r="L427" s="39"/>
      <c r="M427" s="39"/>
      <c r="N427" s="39"/>
      <c r="O427" s="39"/>
      <c r="P427" s="39"/>
      <c r="Q427" s="39"/>
      <c r="R427" s="39">
        <v>12</v>
      </c>
      <c r="S427" s="10">
        <f t="shared" si="115"/>
        <v>12</v>
      </c>
      <c r="T427" s="10">
        <v>100000</v>
      </c>
      <c r="U427" s="10">
        <f t="shared" si="116"/>
        <v>1200000</v>
      </c>
      <c r="V427" s="4"/>
      <c r="W427" s="4"/>
      <c r="X427" s="4"/>
      <c r="Y427" s="4"/>
    </row>
    <row r="428" spans="2:25" ht="39" customHeight="1">
      <c r="B428" s="58"/>
      <c r="C428" s="60"/>
      <c r="D428" s="52" t="s">
        <v>40</v>
      </c>
      <c r="E428" s="63"/>
      <c r="F428" s="8">
        <v>0.66666666666666663</v>
      </c>
      <c r="G428" s="67" t="s">
        <v>109</v>
      </c>
      <c r="H428" s="68"/>
      <c r="I428" s="35">
        <v>160</v>
      </c>
      <c r="J428" s="9">
        <f t="shared" si="114"/>
        <v>0</v>
      </c>
      <c r="K428" s="39"/>
      <c r="L428" s="39"/>
      <c r="M428" s="39"/>
      <c r="N428" s="39"/>
      <c r="O428" s="39"/>
      <c r="P428" s="39"/>
      <c r="Q428" s="39"/>
      <c r="R428" s="39"/>
      <c r="S428" s="10">
        <f t="shared" si="115"/>
        <v>0</v>
      </c>
      <c r="T428" s="10">
        <v>100000</v>
      </c>
      <c r="U428" s="10">
        <f>T428*S428</f>
        <v>0</v>
      </c>
      <c r="V428" s="4"/>
      <c r="W428" s="4"/>
      <c r="X428" s="4"/>
      <c r="Y428" s="4"/>
    </row>
    <row r="429" spans="2:25" ht="39" customHeight="1">
      <c r="B429" s="58"/>
      <c r="C429" s="60"/>
      <c r="D429" s="52" t="s">
        <v>40</v>
      </c>
      <c r="E429" s="63"/>
      <c r="F429" s="8">
        <v>0.75</v>
      </c>
      <c r="G429" s="67" t="s">
        <v>109</v>
      </c>
      <c r="H429" s="68"/>
      <c r="I429" s="35">
        <v>160</v>
      </c>
      <c r="J429" s="9">
        <f t="shared" si="114"/>
        <v>0</v>
      </c>
      <c r="K429" s="39"/>
      <c r="L429" s="39"/>
      <c r="M429" s="39"/>
      <c r="N429" s="39"/>
      <c r="O429" s="39"/>
      <c r="P429" s="39"/>
      <c r="Q429" s="39"/>
      <c r="R429" s="39"/>
      <c r="S429" s="10">
        <f t="shared" si="115"/>
        <v>0</v>
      </c>
      <c r="T429" s="10">
        <v>100000</v>
      </c>
      <c r="U429" s="10">
        <f t="shared" ref="U429:U436" si="117">T429*S429</f>
        <v>0</v>
      </c>
      <c r="V429" s="4"/>
      <c r="W429" s="4"/>
      <c r="X429" s="11"/>
      <c r="Y429" s="4"/>
    </row>
    <row r="430" spans="2:25" ht="39" customHeight="1">
      <c r="B430" s="58"/>
      <c r="C430" s="60"/>
      <c r="D430" s="53" t="s">
        <v>40</v>
      </c>
      <c r="E430" s="64"/>
      <c r="F430" s="12">
        <v>0.83333333333333337</v>
      </c>
      <c r="G430" s="67" t="s">
        <v>109</v>
      </c>
      <c r="H430" s="68"/>
      <c r="I430" s="36">
        <v>152</v>
      </c>
      <c r="J430" s="9">
        <f t="shared" si="114"/>
        <v>0</v>
      </c>
      <c r="K430" s="41"/>
      <c r="L430" s="41"/>
      <c r="M430" s="41"/>
      <c r="N430" s="41"/>
      <c r="O430" s="41"/>
      <c r="P430" s="41"/>
      <c r="Q430" s="41"/>
      <c r="R430" s="41"/>
      <c r="S430" s="13">
        <f t="shared" si="115"/>
        <v>0</v>
      </c>
      <c r="T430" s="13">
        <v>100000</v>
      </c>
      <c r="U430" s="13">
        <f t="shared" si="117"/>
        <v>0</v>
      </c>
      <c r="V430" s="4"/>
      <c r="Y430" s="4"/>
    </row>
    <row r="431" spans="2:25" ht="56.25">
      <c r="B431" s="58"/>
      <c r="C431" s="60"/>
      <c r="D431" s="51" t="s">
        <v>40</v>
      </c>
      <c r="E431" s="62" t="s">
        <v>102</v>
      </c>
      <c r="F431" s="5">
        <v>0.91666666666666663</v>
      </c>
      <c r="G431" s="65" t="s">
        <v>87</v>
      </c>
      <c r="H431" s="66"/>
      <c r="I431" s="34">
        <v>150</v>
      </c>
      <c r="J431" s="6">
        <f t="shared" si="114"/>
        <v>0</v>
      </c>
      <c r="K431" s="38"/>
      <c r="L431" s="38"/>
      <c r="M431" s="38"/>
      <c r="N431" s="38"/>
      <c r="O431" s="38"/>
      <c r="P431" s="38"/>
      <c r="Q431" s="38"/>
      <c r="R431" s="38"/>
      <c r="S431" s="7">
        <f t="shared" si="115"/>
        <v>0</v>
      </c>
      <c r="T431" s="7">
        <v>100000</v>
      </c>
      <c r="U431" s="7">
        <f t="shared" si="117"/>
        <v>0</v>
      </c>
      <c r="V431" s="4"/>
      <c r="Y431" s="4"/>
    </row>
    <row r="432" spans="2:25" ht="56.25">
      <c r="B432" s="58"/>
      <c r="C432" s="60"/>
      <c r="D432" s="52" t="s">
        <v>40</v>
      </c>
      <c r="E432" s="63"/>
      <c r="F432" s="8">
        <v>1</v>
      </c>
      <c r="G432" s="67" t="s">
        <v>87</v>
      </c>
      <c r="H432" s="68"/>
      <c r="I432" s="35">
        <v>150</v>
      </c>
      <c r="J432" s="9">
        <f t="shared" si="114"/>
        <v>0</v>
      </c>
      <c r="K432" s="39"/>
      <c r="L432" s="39"/>
      <c r="M432" s="39"/>
      <c r="N432" s="39"/>
      <c r="O432" s="39"/>
      <c r="P432" s="39"/>
      <c r="Q432" s="39"/>
      <c r="R432" s="39"/>
      <c r="S432" s="10">
        <f t="shared" si="115"/>
        <v>0</v>
      </c>
      <c r="T432" s="10">
        <v>100000</v>
      </c>
      <c r="U432" s="10">
        <f t="shared" si="117"/>
        <v>0</v>
      </c>
      <c r="V432" s="4"/>
      <c r="Y432" s="4"/>
    </row>
    <row r="433" spans="2:25" ht="56.25">
      <c r="B433" s="58"/>
      <c r="C433" s="60"/>
      <c r="D433" s="52" t="s">
        <v>40</v>
      </c>
      <c r="E433" s="63"/>
      <c r="F433" s="8">
        <v>8.3333333333333329E-2</v>
      </c>
      <c r="G433" s="67" t="s">
        <v>87</v>
      </c>
      <c r="H433" s="68"/>
      <c r="I433" s="35">
        <v>50</v>
      </c>
      <c r="J433" s="9">
        <f t="shared" si="114"/>
        <v>0</v>
      </c>
      <c r="K433" s="39"/>
      <c r="L433" s="39"/>
      <c r="M433" s="39"/>
      <c r="N433" s="39"/>
      <c r="O433" s="39"/>
      <c r="P433" s="39"/>
      <c r="Q433" s="39"/>
      <c r="R433" s="39"/>
      <c r="S433" s="10">
        <f t="shared" si="115"/>
        <v>0</v>
      </c>
      <c r="T433" s="10">
        <v>100000</v>
      </c>
      <c r="U433" s="10">
        <f t="shared" si="117"/>
        <v>0</v>
      </c>
      <c r="V433" s="4"/>
      <c r="Y433" s="4"/>
    </row>
    <row r="434" spans="2:25" ht="56.25">
      <c r="B434" s="58"/>
      <c r="C434" s="60"/>
      <c r="D434" s="52" t="s">
        <v>40</v>
      </c>
      <c r="E434" s="63"/>
      <c r="F434" s="8">
        <v>0.16666666666666666</v>
      </c>
      <c r="G434" s="67" t="s">
        <v>87</v>
      </c>
      <c r="H434" s="68"/>
      <c r="I434" s="35">
        <v>50</v>
      </c>
      <c r="J434" s="9">
        <f t="shared" si="114"/>
        <v>0.2</v>
      </c>
      <c r="K434" s="39"/>
      <c r="L434" s="39"/>
      <c r="M434" s="39">
        <v>10</v>
      </c>
      <c r="N434" s="39"/>
      <c r="O434" s="39"/>
      <c r="P434" s="39"/>
      <c r="Q434" s="39"/>
      <c r="R434" s="39"/>
      <c r="S434" s="10">
        <f t="shared" si="115"/>
        <v>10</v>
      </c>
      <c r="T434" s="10">
        <v>100000</v>
      </c>
      <c r="U434" s="10">
        <f t="shared" si="117"/>
        <v>1000000</v>
      </c>
      <c r="V434" s="4"/>
      <c r="W434" s="4"/>
      <c r="X434" s="4"/>
      <c r="Y434" s="4"/>
    </row>
    <row r="435" spans="2:25" ht="56.25">
      <c r="B435" s="58"/>
      <c r="C435" s="60"/>
      <c r="D435" s="52" t="s">
        <v>40</v>
      </c>
      <c r="E435" s="63"/>
      <c r="F435" s="8">
        <v>0.25</v>
      </c>
      <c r="G435" s="67" t="s">
        <v>87</v>
      </c>
      <c r="H435" s="68"/>
      <c r="I435" s="35">
        <v>140</v>
      </c>
      <c r="J435" s="9">
        <f t="shared" si="114"/>
        <v>4.2857142857142858E-2</v>
      </c>
      <c r="K435" s="39"/>
      <c r="L435" s="39"/>
      <c r="M435" s="39"/>
      <c r="N435" s="39"/>
      <c r="O435" s="39"/>
      <c r="P435" s="39"/>
      <c r="Q435" s="39"/>
      <c r="R435" s="39">
        <v>6</v>
      </c>
      <c r="S435" s="10">
        <f t="shared" si="115"/>
        <v>6</v>
      </c>
      <c r="T435" s="10">
        <v>100000</v>
      </c>
      <c r="U435" s="10">
        <f t="shared" si="117"/>
        <v>600000</v>
      </c>
      <c r="V435" s="4"/>
      <c r="Y435" s="4"/>
    </row>
    <row r="436" spans="2:25" ht="56.25">
      <c r="B436" s="58"/>
      <c r="C436" s="61"/>
      <c r="D436" s="53" t="s">
        <v>40</v>
      </c>
      <c r="E436" s="69"/>
      <c r="F436" s="14">
        <v>0.33333333333333331</v>
      </c>
      <c r="G436" s="67" t="s">
        <v>87</v>
      </c>
      <c r="H436" s="68"/>
      <c r="I436" s="37">
        <v>100</v>
      </c>
      <c r="J436" s="15">
        <f t="shared" si="114"/>
        <v>0.06</v>
      </c>
      <c r="K436" s="40"/>
      <c r="L436" s="40"/>
      <c r="M436" s="40">
        <v>6</v>
      </c>
      <c r="N436" s="40"/>
      <c r="O436" s="40"/>
      <c r="P436" s="40"/>
      <c r="Q436" s="40"/>
      <c r="R436" s="40"/>
      <c r="S436" s="16">
        <f t="shared" si="115"/>
        <v>6</v>
      </c>
      <c r="T436" s="16">
        <v>100000</v>
      </c>
      <c r="U436" s="16">
        <f t="shared" si="117"/>
        <v>600000</v>
      </c>
      <c r="V436" s="4"/>
      <c r="W436" s="4"/>
      <c r="X436" s="4"/>
      <c r="Y436" s="4"/>
    </row>
    <row r="437" spans="2:25" ht="18.75" customHeight="1">
      <c r="B437" s="58">
        <v>46117</v>
      </c>
      <c r="C437" s="59" t="s">
        <v>14</v>
      </c>
      <c r="D437" s="51"/>
      <c r="E437" s="62" t="s">
        <v>101</v>
      </c>
      <c r="F437" s="5">
        <v>0.41666666666666669</v>
      </c>
      <c r="G437" s="65"/>
      <c r="H437" s="66"/>
      <c r="I437" s="34"/>
      <c r="J437" s="6" t="str">
        <f t="shared" si="114"/>
        <v/>
      </c>
      <c r="K437" s="38"/>
      <c r="L437" s="38"/>
      <c r="M437" s="38"/>
      <c r="N437" s="38"/>
      <c r="O437" s="38"/>
      <c r="P437" s="38"/>
      <c r="Q437" s="38"/>
      <c r="R437" s="38"/>
      <c r="S437" s="7">
        <f>SUM(K437:R437)</f>
        <v>0</v>
      </c>
      <c r="T437" s="7">
        <v>100000</v>
      </c>
      <c r="U437" s="7">
        <f>T437*S437</f>
        <v>0</v>
      </c>
      <c r="V437" s="4"/>
      <c r="W437" s="4"/>
      <c r="X437" s="4"/>
      <c r="Y437" s="4"/>
    </row>
    <row r="438" spans="2:25" ht="18.75" customHeight="1">
      <c r="B438" s="58"/>
      <c r="C438" s="60"/>
      <c r="D438" s="52"/>
      <c r="E438" s="63"/>
      <c r="F438" s="8">
        <v>0.5</v>
      </c>
      <c r="G438" s="67"/>
      <c r="H438" s="68"/>
      <c r="I438" s="35"/>
      <c r="J438" s="9" t="str">
        <f t="shared" si="114"/>
        <v/>
      </c>
      <c r="K438" s="39"/>
      <c r="L438" s="39"/>
      <c r="M438" s="39"/>
      <c r="N438" s="39"/>
      <c r="O438" s="39"/>
      <c r="P438" s="39"/>
      <c r="Q438" s="39"/>
      <c r="R438" s="39"/>
      <c r="S438" s="10">
        <f t="shared" ref="S438:S448" si="118">SUM(K438:R438)</f>
        <v>0</v>
      </c>
      <c r="T438" s="10">
        <v>100000</v>
      </c>
      <c r="U438" s="10">
        <f t="shared" ref="U438:U439" si="119">T438*S438</f>
        <v>0</v>
      </c>
      <c r="V438" s="4"/>
      <c r="W438" s="4"/>
      <c r="X438" s="4"/>
      <c r="Y438" s="4"/>
    </row>
    <row r="439" spans="2:25" ht="18.75" customHeight="1">
      <c r="B439" s="58"/>
      <c r="C439" s="60"/>
      <c r="D439" s="52"/>
      <c r="E439" s="63"/>
      <c r="F439" s="8">
        <v>0.58333333333333337</v>
      </c>
      <c r="G439" s="67"/>
      <c r="H439" s="68"/>
      <c r="I439" s="35"/>
      <c r="J439" s="9" t="str">
        <f t="shared" si="114"/>
        <v/>
      </c>
      <c r="K439" s="39"/>
      <c r="L439" s="39"/>
      <c r="M439" s="39"/>
      <c r="N439" s="39"/>
      <c r="O439" s="39"/>
      <c r="P439" s="39"/>
      <c r="Q439" s="39"/>
      <c r="R439" s="39"/>
      <c r="S439" s="10">
        <f t="shared" si="118"/>
        <v>0</v>
      </c>
      <c r="T439" s="10">
        <v>100000</v>
      </c>
      <c r="U439" s="10">
        <f t="shared" si="119"/>
        <v>0</v>
      </c>
      <c r="V439" s="4"/>
      <c r="W439" s="4"/>
      <c r="X439" s="4"/>
      <c r="Y439" s="4"/>
    </row>
    <row r="440" spans="2:25" ht="18.75" customHeight="1">
      <c r="B440" s="58"/>
      <c r="C440" s="60"/>
      <c r="D440" s="52"/>
      <c r="E440" s="63"/>
      <c r="F440" s="8">
        <v>0.66666666666666663</v>
      </c>
      <c r="G440" s="67"/>
      <c r="H440" s="68"/>
      <c r="I440" s="35"/>
      <c r="J440" s="9" t="str">
        <f t="shared" si="114"/>
        <v/>
      </c>
      <c r="K440" s="39"/>
      <c r="L440" s="39"/>
      <c r="M440" s="39"/>
      <c r="N440" s="39"/>
      <c r="O440" s="39"/>
      <c r="P440" s="39"/>
      <c r="Q440" s="39"/>
      <c r="R440" s="39"/>
      <c r="S440" s="10">
        <f t="shared" si="118"/>
        <v>0</v>
      </c>
      <c r="T440" s="10">
        <v>100000</v>
      </c>
      <c r="U440" s="10">
        <f>T440*S440</f>
        <v>0</v>
      </c>
      <c r="V440" s="4"/>
      <c r="W440" s="4"/>
      <c r="X440" s="4"/>
      <c r="Y440" s="4"/>
    </row>
    <row r="441" spans="2:25" ht="18.75" customHeight="1">
      <c r="B441" s="58"/>
      <c r="C441" s="60"/>
      <c r="D441" s="52"/>
      <c r="E441" s="63"/>
      <c r="F441" s="8">
        <v>0.75</v>
      </c>
      <c r="G441" s="67"/>
      <c r="H441" s="68"/>
      <c r="I441" s="35"/>
      <c r="J441" s="9" t="str">
        <f t="shared" si="114"/>
        <v/>
      </c>
      <c r="K441" s="39"/>
      <c r="L441" s="39"/>
      <c r="M441" s="39"/>
      <c r="N441" s="39"/>
      <c r="O441" s="39"/>
      <c r="P441" s="39"/>
      <c r="Q441" s="39"/>
      <c r="R441" s="39"/>
      <c r="S441" s="10">
        <f t="shared" si="118"/>
        <v>0</v>
      </c>
      <c r="T441" s="10">
        <v>100000</v>
      </c>
      <c r="U441" s="10">
        <f t="shared" ref="U441:U448" si="120">T441*S441</f>
        <v>0</v>
      </c>
      <c r="V441" s="4"/>
      <c r="W441" s="4"/>
      <c r="X441" s="11"/>
      <c r="Y441" s="4"/>
    </row>
    <row r="442" spans="2:25" ht="18.75" customHeight="1">
      <c r="B442" s="58"/>
      <c r="C442" s="60"/>
      <c r="D442" s="53"/>
      <c r="E442" s="64"/>
      <c r="F442" s="12">
        <v>0.83333333333333337</v>
      </c>
      <c r="G442" s="67"/>
      <c r="H442" s="68"/>
      <c r="I442" s="36"/>
      <c r="J442" s="9" t="str">
        <f t="shared" si="114"/>
        <v/>
      </c>
      <c r="K442" s="41"/>
      <c r="L442" s="41"/>
      <c r="M442" s="41"/>
      <c r="N442" s="41"/>
      <c r="O442" s="41"/>
      <c r="P442" s="41"/>
      <c r="Q442" s="41"/>
      <c r="R442" s="41"/>
      <c r="S442" s="13">
        <f t="shared" si="118"/>
        <v>0</v>
      </c>
      <c r="T442" s="13">
        <v>100000</v>
      </c>
      <c r="U442" s="13">
        <f t="shared" si="120"/>
        <v>0</v>
      </c>
      <c r="V442" s="4"/>
      <c r="Y442" s="4"/>
    </row>
    <row r="443" spans="2:25" ht="18.75">
      <c r="B443" s="58"/>
      <c r="C443" s="60"/>
      <c r="D443" s="51"/>
      <c r="E443" s="62" t="s">
        <v>102</v>
      </c>
      <c r="F443" s="5">
        <v>0.91666666666666663</v>
      </c>
      <c r="G443" s="65"/>
      <c r="H443" s="66"/>
      <c r="I443" s="34"/>
      <c r="J443" s="6" t="str">
        <f t="shared" si="114"/>
        <v/>
      </c>
      <c r="K443" s="38"/>
      <c r="L443" s="38"/>
      <c r="M443" s="38"/>
      <c r="N443" s="38"/>
      <c r="O443" s="38"/>
      <c r="P443" s="38"/>
      <c r="Q443" s="38"/>
      <c r="R443" s="38"/>
      <c r="S443" s="7">
        <f t="shared" si="118"/>
        <v>0</v>
      </c>
      <c r="T443" s="7">
        <v>100000</v>
      </c>
      <c r="U443" s="7">
        <f t="shared" si="120"/>
        <v>0</v>
      </c>
      <c r="V443" s="4"/>
      <c r="Y443" s="4"/>
    </row>
    <row r="444" spans="2:25" ht="18.75">
      <c r="B444" s="58"/>
      <c r="C444" s="60"/>
      <c r="D444" s="52"/>
      <c r="E444" s="63"/>
      <c r="F444" s="8">
        <v>1</v>
      </c>
      <c r="G444" s="67"/>
      <c r="H444" s="68"/>
      <c r="I444" s="35"/>
      <c r="J444" s="9" t="str">
        <f t="shared" si="114"/>
        <v/>
      </c>
      <c r="K444" s="39"/>
      <c r="L444" s="39"/>
      <c r="M444" s="39"/>
      <c r="N444" s="39"/>
      <c r="O444" s="39"/>
      <c r="P444" s="39"/>
      <c r="Q444" s="39"/>
      <c r="R444" s="39"/>
      <c r="S444" s="10">
        <f t="shared" si="118"/>
        <v>0</v>
      </c>
      <c r="T444" s="10">
        <v>100000</v>
      </c>
      <c r="U444" s="10">
        <f t="shared" si="120"/>
        <v>0</v>
      </c>
      <c r="V444" s="4"/>
      <c r="Y444" s="4"/>
    </row>
    <row r="445" spans="2:25" ht="18.75">
      <c r="B445" s="58"/>
      <c r="C445" s="60"/>
      <c r="D445" s="52"/>
      <c r="E445" s="63"/>
      <c r="F445" s="8">
        <v>8.3333333333333329E-2</v>
      </c>
      <c r="G445" s="67"/>
      <c r="H445" s="68"/>
      <c r="I445" s="35"/>
      <c r="J445" s="9" t="str">
        <f t="shared" si="114"/>
        <v/>
      </c>
      <c r="K445" s="39"/>
      <c r="L445" s="39"/>
      <c r="M445" s="39"/>
      <c r="N445" s="39"/>
      <c r="O445" s="39"/>
      <c r="P445" s="39"/>
      <c r="Q445" s="39"/>
      <c r="R445" s="39"/>
      <c r="S445" s="10">
        <f t="shared" si="118"/>
        <v>0</v>
      </c>
      <c r="T445" s="10">
        <v>100000</v>
      </c>
      <c r="U445" s="10">
        <f t="shared" si="120"/>
        <v>0</v>
      </c>
      <c r="V445" s="4"/>
      <c r="Y445" s="4"/>
    </row>
    <row r="446" spans="2:25" ht="18.75">
      <c r="B446" s="58"/>
      <c r="C446" s="60"/>
      <c r="D446" s="52"/>
      <c r="E446" s="63"/>
      <c r="F446" s="8">
        <v>0.16666666666666666</v>
      </c>
      <c r="G446" s="67"/>
      <c r="H446" s="68"/>
      <c r="I446" s="35"/>
      <c r="J446" s="9" t="str">
        <f t="shared" si="114"/>
        <v/>
      </c>
      <c r="K446" s="39"/>
      <c r="L446" s="39"/>
      <c r="M446" s="39"/>
      <c r="N446" s="39"/>
      <c r="O446" s="39"/>
      <c r="P446" s="39"/>
      <c r="Q446" s="39"/>
      <c r="R446" s="39"/>
      <c r="S446" s="10">
        <f t="shared" si="118"/>
        <v>0</v>
      </c>
      <c r="T446" s="10">
        <v>100000</v>
      </c>
      <c r="U446" s="10">
        <f t="shared" si="120"/>
        <v>0</v>
      </c>
      <c r="V446" s="4"/>
      <c r="W446" s="4"/>
      <c r="X446" s="4"/>
      <c r="Y446" s="4"/>
    </row>
    <row r="447" spans="2:25" ht="18.75">
      <c r="B447" s="58"/>
      <c r="C447" s="60"/>
      <c r="D447" s="52"/>
      <c r="E447" s="63"/>
      <c r="F447" s="8">
        <v>0.25</v>
      </c>
      <c r="G447" s="67"/>
      <c r="H447" s="68"/>
      <c r="I447" s="35"/>
      <c r="J447" s="9" t="str">
        <f t="shared" si="114"/>
        <v/>
      </c>
      <c r="K447" s="39"/>
      <c r="L447" s="39"/>
      <c r="M447" s="39"/>
      <c r="N447" s="39"/>
      <c r="O447" s="39"/>
      <c r="P447" s="39"/>
      <c r="Q447" s="39"/>
      <c r="R447" s="39"/>
      <c r="S447" s="10">
        <f t="shared" si="118"/>
        <v>0</v>
      </c>
      <c r="T447" s="10">
        <v>100000</v>
      </c>
      <c r="U447" s="10">
        <f t="shared" si="120"/>
        <v>0</v>
      </c>
      <c r="V447" s="4"/>
      <c r="Y447" s="4"/>
    </row>
    <row r="448" spans="2:25" ht="18.75">
      <c r="B448" s="58"/>
      <c r="C448" s="61"/>
      <c r="D448" s="53"/>
      <c r="E448" s="69"/>
      <c r="F448" s="14">
        <v>0.33333333333333331</v>
      </c>
      <c r="G448" s="67"/>
      <c r="H448" s="68"/>
      <c r="I448" s="37"/>
      <c r="J448" s="15" t="str">
        <f t="shared" si="114"/>
        <v/>
      </c>
      <c r="K448" s="40"/>
      <c r="L448" s="40"/>
      <c r="M448" s="40"/>
      <c r="N448" s="40"/>
      <c r="O448" s="40"/>
      <c r="P448" s="40"/>
      <c r="Q448" s="40"/>
      <c r="R448" s="40"/>
      <c r="S448" s="16">
        <f t="shared" si="118"/>
        <v>0</v>
      </c>
      <c r="T448" s="16">
        <v>100000</v>
      </c>
      <c r="U448" s="16">
        <f t="shared" si="120"/>
        <v>0</v>
      </c>
      <c r="V448" s="4"/>
      <c r="W448" s="4"/>
      <c r="X448" s="4"/>
      <c r="Y448" s="4"/>
    </row>
    <row r="449" spans="2:25" ht="39" customHeight="1">
      <c r="B449" s="58">
        <v>46118</v>
      </c>
      <c r="C449" s="59" t="s">
        <v>14</v>
      </c>
      <c r="D449" s="51" t="s">
        <v>40</v>
      </c>
      <c r="E449" s="62" t="s">
        <v>101</v>
      </c>
      <c r="F449" s="5">
        <v>0.41666666666666669</v>
      </c>
      <c r="G449" s="65" t="s">
        <v>109</v>
      </c>
      <c r="H449" s="66"/>
      <c r="I449" s="34"/>
      <c r="J449" s="6" t="str">
        <f t="shared" si="114"/>
        <v/>
      </c>
      <c r="K449" s="38"/>
      <c r="L449" s="38"/>
      <c r="M449" s="38"/>
      <c r="N449" s="38"/>
      <c r="O449" s="38"/>
      <c r="P449" s="38"/>
      <c r="Q449" s="38"/>
      <c r="R449" s="38"/>
      <c r="S449" s="7">
        <f>SUM(K449:R449)</f>
        <v>0</v>
      </c>
      <c r="T449" s="7">
        <v>100000</v>
      </c>
      <c r="U449" s="7">
        <f>T449*S449</f>
        <v>0</v>
      </c>
      <c r="V449" s="4"/>
      <c r="W449" s="4"/>
      <c r="X449" s="4"/>
      <c r="Y449" s="4"/>
    </row>
    <row r="450" spans="2:25" ht="39" customHeight="1">
      <c r="B450" s="58"/>
      <c r="C450" s="60"/>
      <c r="D450" s="52" t="s">
        <v>40</v>
      </c>
      <c r="E450" s="63"/>
      <c r="F450" s="8">
        <v>0.5</v>
      </c>
      <c r="G450" s="67" t="s">
        <v>109</v>
      </c>
      <c r="H450" s="68"/>
      <c r="I450" s="35"/>
      <c r="J450" s="9" t="str">
        <f t="shared" si="114"/>
        <v/>
      </c>
      <c r="K450" s="39"/>
      <c r="L450" s="39"/>
      <c r="M450" s="39"/>
      <c r="N450" s="39"/>
      <c r="O450" s="39"/>
      <c r="P450" s="39"/>
      <c r="Q450" s="39"/>
      <c r="R450" s="39"/>
      <c r="S450" s="10">
        <f t="shared" ref="S450:S460" si="121">SUM(K450:R450)</f>
        <v>0</v>
      </c>
      <c r="T450" s="10">
        <v>100000</v>
      </c>
      <c r="U450" s="10">
        <f t="shared" ref="U450:U451" si="122">T450*S450</f>
        <v>0</v>
      </c>
      <c r="V450" s="4"/>
      <c r="W450" s="4"/>
      <c r="X450" s="4"/>
      <c r="Y450" s="4"/>
    </row>
    <row r="451" spans="2:25" ht="39" customHeight="1">
      <c r="B451" s="58"/>
      <c r="C451" s="60"/>
      <c r="D451" s="52" t="s">
        <v>40</v>
      </c>
      <c r="E451" s="63"/>
      <c r="F451" s="8">
        <v>0.58333333333333337</v>
      </c>
      <c r="G451" s="67" t="s">
        <v>109</v>
      </c>
      <c r="H451" s="68"/>
      <c r="I451" s="35"/>
      <c r="J451" s="9" t="str">
        <f t="shared" si="114"/>
        <v/>
      </c>
      <c r="K451" s="39"/>
      <c r="L451" s="39"/>
      <c r="M451" s="39"/>
      <c r="N451" s="39"/>
      <c r="O451" s="39"/>
      <c r="P451" s="39"/>
      <c r="Q451" s="39"/>
      <c r="R451" s="39"/>
      <c r="S451" s="10">
        <f t="shared" si="121"/>
        <v>0</v>
      </c>
      <c r="T451" s="10">
        <v>100000</v>
      </c>
      <c r="U451" s="10">
        <f t="shared" si="122"/>
        <v>0</v>
      </c>
      <c r="V451" s="4"/>
      <c r="W451" s="4"/>
      <c r="X451" s="4"/>
      <c r="Y451" s="4"/>
    </row>
    <row r="452" spans="2:25" ht="39" customHeight="1">
      <c r="B452" s="58"/>
      <c r="C452" s="60"/>
      <c r="D452" s="52" t="s">
        <v>40</v>
      </c>
      <c r="E452" s="63"/>
      <c r="F452" s="8">
        <v>0.66666666666666663</v>
      </c>
      <c r="G452" s="67" t="s">
        <v>109</v>
      </c>
      <c r="H452" s="68"/>
      <c r="I452" s="35">
        <v>50</v>
      </c>
      <c r="J452" s="9">
        <f t="shared" si="114"/>
        <v>0.28000000000000003</v>
      </c>
      <c r="K452" s="39"/>
      <c r="L452" s="39"/>
      <c r="M452" s="39">
        <v>4</v>
      </c>
      <c r="N452" s="39"/>
      <c r="O452" s="39"/>
      <c r="P452" s="39"/>
      <c r="Q452" s="39">
        <v>10</v>
      </c>
      <c r="R452" s="39"/>
      <c r="S452" s="10">
        <f t="shared" si="121"/>
        <v>14</v>
      </c>
      <c r="T452" s="10">
        <v>100000</v>
      </c>
      <c r="U452" s="10">
        <f>T452*S452</f>
        <v>1400000</v>
      </c>
      <c r="V452" s="4"/>
      <c r="W452" s="4"/>
      <c r="X452" s="4"/>
      <c r="Y452" s="4"/>
    </row>
    <row r="453" spans="2:25" ht="39" customHeight="1">
      <c r="B453" s="58"/>
      <c r="C453" s="60"/>
      <c r="D453" s="52" t="s">
        <v>40</v>
      </c>
      <c r="E453" s="63"/>
      <c r="F453" s="8">
        <v>0.75</v>
      </c>
      <c r="G453" s="67" t="s">
        <v>109</v>
      </c>
      <c r="H453" s="68"/>
      <c r="I453" s="35">
        <v>160</v>
      </c>
      <c r="J453" s="9">
        <f t="shared" si="114"/>
        <v>0</v>
      </c>
      <c r="K453" s="39"/>
      <c r="L453" s="39"/>
      <c r="M453" s="39"/>
      <c r="N453" s="39"/>
      <c r="O453" s="39"/>
      <c r="P453" s="39"/>
      <c r="Q453" s="39"/>
      <c r="R453" s="39"/>
      <c r="S453" s="10">
        <f t="shared" si="121"/>
        <v>0</v>
      </c>
      <c r="T453" s="10">
        <v>100000</v>
      </c>
      <c r="U453" s="10">
        <f t="shared" ref="U453:U460" si="123">T453*S453</f>
        <v>0</v>
      </c>
      <c r="V453" s="4"/>
      <c r="W453" s="4"/>
      <c r="X453" s="11"/>
      <c r="Y453" s="4"/>
    </row>
    <row r="454" spans="2:25" ht="39" customHeight="1">
      <c r="B454" s="58"/>
      <c r="C454" s="60"/>
      <c r="D454" s="53" t="s">
        <v>40</v>
      </c>
      <c r="E454" s="64"/>
      <c r="F454" s="12">
        <v>0.83333333333333337</v>
      </c>
      <c r="G454" s="67" t="s">
        <v>109</v>
      </c>
      <c r="H454" s="68"/>
      <c r="I454" s="36">
        <v>150</v>
      </c>
      <c r="J454" s="9">
        <f t="shared" si="114"/>
        <v>0</v>
      </c>
      <c r="K454" s="41"/>
      <c r="L454" s="41"/>
      <c r="M454" s="41"/>
      <c r="N454" s="41"/>
      <c r="O454" s="41"/>
      <c r="P454" s="41"/>
      <c r="Q454" s="41"/>
      <c r="R454" s="41"/>
      <c r="S454" s="13">
        <f t="shared" si="121"/>
        <v>0</v>
      </c>
      <c r="T454" s="13">
        <v>100000</v>
      </c>
      <c r="U454" s="13">
        <f t="shared" si="123"/>
        <v>0</v>
      </c>
      <c r="V454" s="4"/>
      <c r="Y454" s="4"/>
    </row>
    <row r="455" spans="2:25" ht="18.75">
      <c r="B455" s="58"/>
      <c r="C455" s="60"/>
      <c r="D455" s="51" t="s">
        <v>56</v>
      </c>
      <c r="E455" s="62" t="s">
        <v>102</v>
      </c>
      <c r="F455" s="5">
        <v>0.91666666666666663</v>
      </c>
      <c r="G455" s="65" t="s">
        <v>88</v>
      </c>
      <c r="H455" s="66"/>
      <c r="I455" s="34"/>
      <c r="J455" s="6" t="str">
        <f t="shared" si="114"/>
        <v/>
      </c>
      <c r="K455" s="38"/>
      <c r="L455" s="38"/>
      <c r="M455" s="38"/>
      <c r="N455" s="38"/>
      <c r="O455" s="38"/>
      <c r="P455" s="38"/>
      <c r="Q455" s="38"/>
      <c r="R455" s="38"/>
      <c r="S455" s="7">
        <f t="shared" si="121"/>
        <v>0</v>
      </c>
      <c r="T455" s="7">
        <v>100000</v>
      </c>
      <c r="U455" s="7">
        <f t="shared" si="123"/>
        <v>0</v>
      </c>
      <c r="V455" s="4"/>
      <c r="Y455" s="4"/>
    </row>
    <row r="456" spans="2:25" ht="18.75">
      <c r="B456" s="58"/>
      <c r="C456" s="60"/>
      <c r="D456" s="52" t="s">
        <v>56</v>
      </c>
      <c r="E456" s="63"/>
      <c r="F456" s="8">
        <v>1</v>
      </c>
      <c r="G456" s="67" t="s">
        <v>88</v>
      </c>
      <c r="H456" s="68"/>
      <c r="I456" s="35"/>
      <c r="J456" s="9" t="str">
        <f t="shared" si="114"/>
        <v/>
      </c>
      <c r="K456" s="39"/>
      <c r="L456" s="39"/>
      <c r="M456" s="39"/>
      <c r="N456" s="39"/>
      <c r="O456" s="39"/>
      <c r="P456" s="39"/>
      <c r="Q456" s="39"/>
      <c r="R456" s="39"/>
      <c r="S456" s="10">
        <f t="shared" si="121"/>
        <v>0</v>
      </c>
      <c r="T456" s="10">
        <v>100000</v>
      </c>
      <c r="U456" s="10">
        <f t="shared" si="123"/>
        <v>0</v>
      </c>
      <c r="V456" s="4"/>
      <c r="Y456" s="4"/>
    </row>
    <row r="457" spans="2:25" ht="18.75">
      <c r="B457" s="58"/>
      <c r="C457" s="60"/>
      <c r="D457" s="52" t="s">
        <v>56</v>
      </c>
      <c r="E457" s="63"/>
      <c r="F457" s="8">
        <v>8.3333333333333329E-2</v>
      </c>
      <c r="G457" s="67" t="s">
        <v>88</v>
      </c>
      <c r="H457" s="68"/>
      <c r="I457" s="35">
        <v>20</v>
      </c>
      <c r="J457" s="9">
        <f t="shared" si="114"/>
        <v>0.5</v>
      </c>
      <c r="K457" s="39"/>
      <c r="L457" s="39"/>
      <c r="M457" s="39"/>
      <c r="N457" s="39"/>
      <c r="O457" s="39"/>
      <c r="P457" s="39"/>
      <c r="Q457" s="39">
        <v>10</v>
      </c>
      <c r="R457" s="39"/>
      <c r="S457" s="10">
        <f t="shared" si="121"/>
        <v>10</v>
      </c>
      <c r="T457" s="10">
        <v>100000</v>
      </c>
      <c r="U457" s="10">
        <f t="shared" si="123"/>
        <v>1000000</v>
      </c>
      <c r="V457" s="4"/>
      <c r="Y457" s="4"/>
    </row>
    <row r="458" spans="2:25" ht="18.75">
      <c r="B458" s="58"/>
      <c r="C458" s="60"/>
      <c r="D458" s="52" t="s">
        <v>56</v>
      </c>
      <c r="E458" s="63"/>
      <c r="F458" s="8">
        <v>0.16666666666666666</v>
      </c>
      <c r="G458" s="67" t="s">
        <v>88</v>
      </c>
      <c r="H458" s="68"/>
      <c r="I458" s="35">
        <v>48</v>
      </c>
      <c r="J458" s="9">
        <f t="shared" si="114"/>
        <v>4.1666666666666664E-2</v>
      </c>
      <c r="K458" s="39"/>
      <c r="L458" s="39"/>
      <c r="M458" s="39">
        <v>2</v>
      </c>
      <c r="N458" s="39"/>
      <c r="O458" s="39"/>
      <c r="P458" s="39"/>
      <c r="Q458" s="39"/>
      <c r="R458" s="39"/>
      <c r="S458" s="10">
        <f t="shared" si="121"/>
        <v>2</v>
      </c>
      <c r="T458" s="10">
        <v>100000</v>
      </c>
      <c r="U458" s="10">
        <f t="shared" si="123"/>
        <v>200000</v>
      </c>
      <c r="V458" s="4"/>
      <c r="W458" s="4"/>
      <c r="X458" s="4"/>
      <c r="Y458" s="4"/>
    </row>
    <row r="459" spans="2:25" ht="18.75">
      <c r="B459" s="58"/>
      <c r="C459" s="60"/>
      <c r="D459" s="52" t="s">
        <v>56</v>
      </c>
      <c r="E459" s="63"/>
      <c r="F459" s="8">
        <v>0.25</v>
      </c>
      <c r="G459" s="67" t="s">
        <v>88</v>
      </c>
      <c r="H459" s="68"/>
      <c r="I459" s="35">
        <v>35</v>
      </c>
      <c r="J459" s="9">
        <f t="shared" si="114"/>
        <v>5.7142857142857141E-2</v>
      </c>
      <c r="K459" s="39"/>
      <c r="L459" s="39"/>
      <c r="M459" s="39">
        <v>2</v>
      </c>
      <c r="N459" s="39"/>
      <c r="O459" s="39"/>
      <c r="P459" s="39"/>
      <c r="Q459" s="39"/>
      <c r="R459" s="39"/>
      <c r="S459" s="10">
        <f t="shared" si="121"/>
        <v>2</v>
      </c>
      <c r="T459" s="10">
        <v>100000</v>
      </c>
      <c r="U459" s="10">
        <f t="shared" si="123"/>
        <v>200000</v>
      </c>
      <c r="V459" s="4"/>
      <c r="Y459" s="4"/>
    </row>
    <row r="460" spans="2:25" ht="18.75">
      <c r="B460" s="58"/>
      <c r="C460" s="61"/>
      <c r="D460" s="53" t="s">
        <v>56</v>
      </c>
      <c r="E460" s="69"/>
      <c r="F460" s="14">
        <v>0.33333333333333331</v>
      </c>
      <c r="G460" s="67" t="s">
        <v>88</v>
      </c>
      <c r="H460" s="68"/>
      <c r="I460" s="37">
        <v>47</v>
      </c>
      <c r="J460" s="15">
        <f t="shared" si="114"/>
        <v>0</v>
      </c>
      <c r="K460" s="40"/>
      <c r="L460" s="40"/>
      <c r="M460" s="40"/>
      <c r="N460" s="40"/>
      <c r="O460" s="40"/>
      <c r="P460" s="40"/>
      <c r="Q460" s="40"/>
      <c r="R460" s="40"/>
      <c r="S460" s="16">
        <f t="shared" si="121"/>
        <v>0</v>
      </c>
      <c r="T460" s="16">
        <v>100000</v>
      </c>
      <c r="U460" s="16">
        <f t="shared" si="123"/>
        <v>0</v>
      </c>
      <c r="V460" s="4"/>
      <c r="W460" s="4"/>
      <c r="X460" s="4"/>
      <c r="Y460" s="4"/>
    </row>
    <row r="461" spans="2:25" ht="18.75" customHeight="1">
      <c r="B461" s="58">
        <v>46119</v>
      </c>
      <c r="C461" s="59" t="s">
        <v>14</v>
      </c>
      <c r="D461" s="51" t="s">
        <v>56</v>
      </c>
      <c r="E461" s="62" t="s">
        <v>101</v>
      </c>
      <c r="F461" s="5">
        <v>0.41666666666666669</v>
      </c>
      <c r="G461" s="65" t="s">
        <v>74</v>
      </c>
      <c r="H461" s="66"/>
      <c r="I461" s="34">
        <v>40</v>
      </c>
      <c r="J461" s="6">
        <f t="shared" ref="J461:J484" si="124">IFERROR(S461/I461,"")</f>
        <v>0.25</v>
      </c>
      <c r="K461" s="38"/>
      <c r="L461" s="38"/>
      <c r="M461" s="38"/>
      <c r="N461" s="38"/>
      <c r="O461" s="38"/>
      <c r="P461" s="38"/>
      <c r="Q461" s="38">
        <v>7</v>
      </c>
      <c r="R461" s="38">
        <v>3</v>
      </c>
      <c r="S461" s="7">
        <f>SUM(K461:R461)</f>
        <v>10</v>
      </c>
      <c r="T461" s="7">
        <v>100000</v>
      </c>
      <c r="U461" s="7">
        <f>T461*S461</f>
        <v>1000000</v>
      </c>
      <c r="V461" s="4"/>
      <c r="W461" s="4"/>
      <c r="X461" s="4"/>
      <c r="Y461" s="4"/>
    </row>
    <row r="462" spans="2:25" ht="18.75" customHeight="1">
      <c r="B462" s="58"/>
      <c r="C462" s="60"/>
      <c r="D462" s="52" t="s">
        <v>56</v>
      </c>
      <c r="E462" s="63"/>
      <c r="F462" s="8">
        <v>0.5</v>
      </c>
      <c r="G462" s="67" t="s">
        <v>74</v>
      </c>
      <c r="H462" s="68"/>
      <c r="I462" s="35">
        <v>60</v>
      </c>
      <c r="J462" s="9">
        <f t="shared" si="124"/>
        <v>0</v>
      </c>
      <c r="K462" s="39"/>
      <c r="L462" s="39"/>
      <c r="M462" s="39"/>
      <c r="N462" s="39"/>
      <c r="O462" s="39"/>
      <c r="P462" s="39"/>
      <c r="Q462" s="39"/>
      <c r="R462" s="39"/>
      <c r="S462" s="10">
        <f t="shared" ref="S462:S472" si="125">SUM(K462:R462)</f>
        <v>0</v>
      </c>
      <c r="T462" s="10">
        <v>100000</v>
      </c>
      <c r="U462" s="10">
        <f t="shared" ref="U462:U463" si="126">T462*S462</f>
        <v>0</v>
      </c>
      <c r="V462" s="4"/>
      <c r="W462" s="4"/>
      <c r="X462" s="4"/>
      <c r="Y462" s="4"/>
    </row>
    <row r="463" spans="2:25" ht="18.75" customHeight="1">
      <c r="B463" s="58"/>
      <c r="C463" s="60"/>
      <c r="D463" s="52" t="s">
        <v>56</v>
      </c>
      <c r="E463" s="63"/>
      <c r="F463" s="8">
        <v>0.58333333333333337</v>
      </c>
      <c r="G463" s="67" t="s">
        <v>74</v>
      </c>
      <c r="H463" s="68"/>
      <c r="I463" s="35">
        <v>60</v>
      </c>
      <c r="J463" s="9">
        <f t="shared" si="124"/>
        <v>0</v>
      </c>
      <c r="K463" s="39"/>
      <c r="L463" s="39"/>
      <c r="M463" s="39"/>
      <c r="N463" s="39"/>
      <c r="O463" s="39"/>
      <c r="P463" s="39"/>
      <c r="Q463" s="39"/>
      <c r="R463" s="39"/>
      <c r="S463" s="10">
        <f t="shared" si="125"/>
        <v>0</v>
      </c>
      <c r="T463" s="10">
        <v>100000</v>
      </c>
      <c r="U463" s="10">
        <f t="shared" si="126"/>
        <v>0</v>
      </c>
      <c r="V463" s="4"/>
      <c r="W463" s="4"/>
      <c r="X463" s="4"/>
      <c r="Y463" s="4"/>
    </row>
    <row r="464" spans="2:25" ht="18.75" customHeight="1">
      <c r="B464" s="58"/>
      <c r="C464" s="60"/>
      <c r="D464" s="52" t="s">
        <v>56</v>
      </c>
      <c r="E464" s="63"/>
      <c r="F464" s="8">
        <v>0.66666666666666663</v>
      </c>
      <c r="G464" s="67" t="s">
        <v>74</v>
      </c>
      <c r="H464" s="68"/>
      <c r="I464" s="35">
        <v>60</v>
      </c>
      <c r="J464" s="9">
        <f t="shared" si="124"/>
        <v>0</v>
      </c>
      <c r="K464" s="39"/>
      <c r="L464" s="39"/>
      <c r="M464" s="39"/>
      <c r="N464" s="39"/>
      <c r="O464" s="39"/>
      <c r="P464" s="39"/>
      <c r="Q464" s="39"/>
      <c r="R464" s="39"/>
      <c r="S464" s="10">
        <f t="shared" si="125"/>
        <v>0</v>
      </c>
      <c r="T464" s="10">
        <v>100000</v>
      </c>
      <c r="U464" s="10">
        <f>T464*S464</f>
        <v>0</v>
      </c>
      <c r="V464" s="4"/>
      <c r="W464" s="4"/>
      <c r="X464" s="4"/>
      <c r="Y464" s="4"/>
    </row>
    <row r="465" spans="2:25" ht="18.75" customHeight="1">
      <c r="B465" s="58"/>
      <c r="C465" s="60"/>
      <c r="D465" s="52" t="s">
        <v>56</v>
      </c>
      <c r="E465" s="63"/>
      <c r="F465" s="8">
        <v>0.75</v>
      </c>
      <c r="G465" s="67" t="s">
        <v>74</v>
      </c>
      <c r="H465" s="68"/>
      <c r="I465" s="35">
        <v>60</v>
      </c>
      <c r="J465" s="9">
        <f t="shared" si="124"/>
        <v>0</v>
      </c>
      <c r="K465" s="39"/>
      <c r="L465" s="39"/>
      <c r="M465" s="39"/>
      <c r="N465" s="39"/>
      <c r="O465" s="39"/>
      <c r="P465" s="39"/>
      <c r="Q465" s="39"/>
      <c r="R465" s="39"/>
      <c r="S465" s="10">
        <f t="shared" si="125"/>
        <v>0</v>
      </c>
      <c r="T465" s="10">
        <v>100000</v>
      </c>
      <c r="U465" s="10">
        <f t="shared" ref="U465:U472" si="127">T465*S465</f>
        <v>0</v>
      </c>
      <c r="V465" s="4"/>
      <c r="W465" s="4"/>
      <c r="X465" s="11"/>
      <c r="Y465" s="4"/>
    </row>
    <row r="466" spans="2:25" ht="18.75" customHeight="1">
      <c r="B466" s="58"/>
      <c r="C466" s="60"/>
      <c r="D466" s="53" t="s">
        <v>56</v>
      </c>
      <c r="E466" s="64"/>
      <c r="F466" s="12">
        <v>0.83333333333333337</v>
      </c>
      <c r="G466" s="67" t="s">
        <v>74</v>
      </c>
      <c r="H466" s="68"/>
      <c r="I466" s="36">
        <v>30</v>
      </c>
      <c r="J466" s="9">
        <f t="shared" si="124"/>
        <v>0</v>
      </c>
      <c r="K466" s="41"/>
      <c r="L466" s="41"/>
      <c r="M466" s="41"/>
      <c r="N466" s="41"/>
      <c r="O466" s="41"/>
      <c r="P466" s="41"/>
      <c r="Q466" s="41"/>
      <c r="R466" s="41"/>
      <c r="S466" s="13">
        <f t="shared" si="125"/>
        <v>0</v>
      </c>
      <c r="T466" s="13">
        <v>100000</v>
      </c>
      <c r="U466" s="13">
        <f t="shared" si="127"/>
        <v>0</v>
      </c>
      <c r="V466" s="4"/>
      <c r="Y466" s="4"/>
    </row>
    <row r="467" spans="2:25" ht="18.75">
      <c r="B467" s="58"/>
      <c r="C467" s="60"/>
      <c r="D467" s="51" t="s">
        <v>55</v>
      </c>
      <c r="E467" s="62" t="s">
        <v>102</v>
      </c>
      <c r="F467" s="5">
        <v>0.91666666666666663</v>
      </c>
      <c r="G467" s="65" t="s">
        <v>88</v>
      </c>
      <c r="H467" s="66"/>
      <c r="I467" s="34">
        <v>10</v>
      </c>
      <c r="J467" s="6">
        <f t="shared" si="124"/>
        <v>1</v>
      </c>
      <c r="K467" s="38"/>
      <c r="L467" s="38"/>
      <c r="M467" s="38"/>
      <c r="N467" s="38"/>
      <c r="O467" s="38"/>
      <c r="P467" s="38"/>
      <c r="Q467" s="38">
        <v>10</v>
      </c>
      <c r="R467" s="38"/>
      <c r="S467" s="7">
        <f t="shared" si="125"/>
        <v>10</v>
      </c>
      <c r="T467" s="7">
        <v>100000</v>
      </c>
      <c r="U467" s="7">
        <f t="shared" si="127"/>
        <v>1000000</v>
      </c>
      <c r="V467" s="4"/>
      <c r="Y467" s="4"/>
    </row>
    <row r="468" spans="2:25" ht="18.75">
      <c r="B468" s="58"/>
      <c r="C468" s="60"/>
      <c r="D468" s="52" t="s">
        <v>55</v>
      </c>
      <c r="E468" s="63"/>
      <c r="F468" s="8">
        <v>1</v>
      </c>
      <c r="G468" s="67" t="s">
        <v>88</v>
      </c>
      <c r="H468" s="68"/>
      <c r="I468" s="35">
        <v>40</v>
      </c>
      <c r="J468" s="9">
        <f t="shared" si="124"/>
        <v>7.4999999999999997E-2</v>
      </c>
      <c r="K468" s="39"/>
      <c r="L468" s="39"/>
      <c r="M468" s="39"/>
      <c r="N468" s="39"/>
      <c r="O468" s="39"/>
      <c r="P468" s="39"/>
      <c r="Q468" s="39"/>
      <c r="R468" s="39">
        <v>3</v>
      </c>
      <c r="S468" s="10">
        <f t="shared" si="125"/>
        <v>3</v>
      </c>
      <c r="T468" s="10">
        <v>100000</v>
      </c>
      <c r="U468" s="10">
        <f t="shared" si="127"/>
        <v>300000</v>
      </c>
      <c r="V468" s="4"/>
      <c r="Y468" s="4"/>
    </row>
    <row r="469" spans="2:25" ht="18.75">
      <c r="B469" s="58"/>
      <c r="C469" s="60"/>
      <c r="D469" s="52" t="s">
        <v>55</v>
      </c>
      <c r="E469" s="63"/>
      <c r="F469" s="8">
        <v>8.3333333333333329E-2</v>
      </c>
      <c r="G469" s="67" t="s">
        <v>88</v>
      </c>
      <c r="H469" s="68"/>
      <c r="I469" s="35">
        <v>25</v>
      </c>
      <c r="J469" s="9">
        <f t="shared" si="124"/>
        <v>0.2</v>
      </c>
      <c r="K469" s="39"/>
      <c r="L469" s="39"/>
      <c r="M469" s="39"/>
      <c r="N469" s="39"/>
      <c r="O469" s="39"/>
      <c r="P469" s="39"/>
      <c r="Q469" s="39"/>
      <c r="R469" s="39">
        <v>5</v>
      </c>
      <c r="S469" s="10">
        <f t="shared" si="125"/>
        <v>5</v>
      </c>
      <c r="T469" s="10">
        <v>100000</v>
      </c>
      <c r="U469" s="10">
        <f t="shared" si="127"/>
        <v>500000</v>
      </c>
      <c r="V469" s="4"/>
      <c r="Y469" s="4"/>
    </row>
    <row r="470" spans="2:25" ht="18.75">
      <c r="B470" s="58"/>
      <c r="C470" s="60"/>
      <c r="D470" s="52" t="s">
        <v>55</v>
      </c>
      <c r="E470" s="63"/>
      <c r="F470" s="8">
        <v>0.16666666666666666</v>
      </c>
      <c r="G470" s="67" t="s">
        <v>88</v>
      </c>
      <c r="H470" s="68"/>
      <c r="I470" s="35">
        <v>40</v>
      </c>
      <c r="J470" s="9">
        <f t="shared" si="124"/>
        <v>2.5000000000000001E-2</v>
      </c>
      <c r="K470" s="39"/>
      <c r="L470" s="39"/>
      <c r="M470" s="39"/>
      <c r="N470" s="39"/>
      <c r="O470" s="39"/>
      <c r="P470" s="39"/>
      <c r="Q470" s="39"/>
      <c r="R470" s="39">
        <v>1</v>
      </c>
      <c r="S470" s="10">
        <f t="shared" si="125"/>
        <v>1</v>
      </c>
      <c r="T470" s="10">
        <v>100000</v>
      </c>
      <c r="U470" s="10">
        <f t="shared" si="127"/>
        <v>100000</v>
      </c>
      <c r="V470" s="4"/>
      <c r="W470" s="4"/>
      <c r="X470" s="4"/>
      <c r="Y470" s="4"/>
    </row>
    <row r="471" spans="2:25" ht="18.75">
      <c r="B471" s="58"/>
      <c r="C471" s="60"/>
      <c r="D471" s="52" t="s">
        <v>55</v>
      </c>
      <c r="E471" s="63"/>
      <c r="F471" s="8">
        <v>0.25</v>
      </c>
      <c r="G471" s="67" t="s">
        <v>88</v>
      </c>
      <c r="H471" s="68"/>
      <c r="I471" s="35">
        <v>25</v>
      </c>
      <c r="J471" s="9">
        <f t="shared" si="124"/>
        <v>0.2</v>
      </c>
      <c r="K471" s="39"/>
      <c r="L471" s="39"/>
      <c r="M471" s="39"/>
      <c r="N471" s="39"/>
      <c r="O471" s="39"/>
      <c r="P471" s="39"/>
      <c r="Q471" s="39"/>
      <c r="R471" s="39">
        <v>5</v>
      </c>
      <c r="S471" s="10">
        <f t="shared" si="125"/>
        <v>5</v>
      </c>
      <c r="T471" s="10">
        <v>100000</v>
      </c>
      <c r="U471" s="10">
        <f t="shared" si="127"/>
        <v>500000</v>
      </c>
      <c r="V471" s="4"/>
      <c r="Y471" s="4"/>
    </row>
    <row r="472" spans="2:25" ht="18.75">
      <c r="B472" s="58"/>
      <c r="C472" s="61"/>
      <c r="D472" s="53" t="s">
        <v>55</v>
      </c>
      <c r="E472" s="69"/>
      <c r="F472" s="14">
        <v>0.33333333333333331</v>
      </c>
      <c r="G472" s="67" t="s">
        <v>88</v>
      </c>
      <c r="H472" s="68"/>
      <c r="I472" s="37">
        <v>40</v>
      </c>
      <c r="J472" s="15">
        <f t="shared" si="124"/>
        <v>0.05</v>
      </c>
      <c r="K472" s="40"/>
      <c r="L472" s="40"/>
      <c r="M472" s="40"/>
      <c r="N472" s="40"/>
      <c r="O472" s="40"/>
      <c r="P472" s="40"/>
      <c r="Q472" s="40"/>
      <c r="R472" s="40">
        <v>2</v>
      </c>
      <c r="S472" s="16">
        <f t="shared" si="125"/>
        <v>2</v>
      </c>
      <c r="T472" s="16">
        <v>100000</v>
      </c>
      <c r="U472" s="16">
        <f t="shared" si="127"/>
        <v>200000</v>
      </c>
      <c r="V472" s="4"/>
      <c r="W472" s="4"/>
      <c r="X472" s="4"/>
      <c r="Y472" s="4"/>
    </row>
    <row r="473" spans="2:25" ht="18.75" customHeight="1">
      <c r="B473" s="58">
        <v>46120</v>
      </c>
      <c r="C473" s="59" t="s">
        <v>14</v>
      </c>
      <c r="D473" s="51" t="s">
        <v>55</v>
      </c>
      <c r="E473" s="62" t="s">
        <v>101</v>
      </c>
      <c r="F473" s="5">
        <v>0.41666666666666669</v>
      </c>
      <c r="G473" s="65" t="s">
        <v>74</v>
      </c>
      <c r="H473" s="66"/>
      <c r="I473" s="34">
        <v>50</v>
      </c>
      <c r="J473" s="6">
        <f t="shared" si="124"/>
        <v>0.1</v>
      </c>
      <c r="K473" s="38"/>
      <c r="L473" s="38"/>
      <c r="M473" s="38">
        <v>5</v>
      </c>
      <c r="N473" s="38"/>
      <c r="O473" s="38"/>
      <c r="P473" s="38"/>
      <c r="Q473" s="38"/>
      <c r="R473" s="38"/>
      <c r="S473" s="7">
        <f>SUM(K473:R473)</f>
        <v>5</v>
      </c>
      <c r="T473" s="7">
        <v>100000</v>
      </c>
      <c r="U473" s="7">
        <f>T473*S473</f>
        <v>500000</v>
      </c>
      <c r="V473" s="4"/>
      <c r="W473" s="4"/>
      <c r="X473" s="4"/>
      <c r="Y473" s="4"/>
    </row>
    <row r="474" spans="2:25" ht="18.75" customHeight="1">
      <c r="B474" s="58"/>
      <c r="C474" s="60"/>
      <c r="D474" s="52" t="s">
        <v>55</v>
      </c>
      <c r="E474" s="63"/>
      <c r="F474" s="8">
        <v>0.5</v>
      </c>
      <c r="G474" s="67" t="s">
        <v>74</v>
      </c>
      <c r="H474" s="68"/>
      <c r="I474" s="35">
        <v>57</v>
      </c>
      <c r="J474" s="9">
        <f t="shared" si="124"/>
        <v>3.5087719298245612E-2</v>
      </c>
      <c r="K474" s="39"/>
      <c r="L474" s="39"/>
      <c r="M474" s="39"/>
      <c r="N474" s="39">
        <v>2</v>
      </c>
      <c r="O474" s="39"/>
      <c r="P474" s="39"/>
      <c r="Q474" s="39"/>
      <c r="R474" s="39"/>
      <c r="S474" s="10">
        <f t="shared" ref="S474:S484" si="128">SUM(K474:R474)</f>
        <v>2</v>
      </c>
      <c r="T474" s="10">
        <v>100000</v>
      </c>
      <c r="U474" s="10">
        <f t="shared" ref="U474:U475" si="129">T474*S474</f>
        <v>200000</v>
      </c>
      <c r="V474" s="4"/>
      <c r="W474" s="4"/>
      <c r="X474" s="4"/>
      <c r="Y474" s="4"/>
    </row>
    <row r="475" spans="2:25" ht="18.75" customHeight="1">
      <c r="B475" s="58"/>
      <c r="C475" s="60"/>
      <c r="D475" s="52" t="s">
        <v>55</v>
      </c>
      <c r="E475" s="63"/>
      <c r="F475" s="8">
        <v>0.58333333333333337</v>
      </c>
      <c r="G475" s="67" t="s">
        <v>74</v>
      </c>
      <c r="H475" s="68"/>
      <c r="I475" s="35">
        <v>44</v>
      </c>
      <c r="J475" s="9">
        <f t="shared" si="124"/>
        <v>0</v>
      </c>
      <c r="K475" s="39"/>
      <c r="L475" s="39"/>
      <c r="M475" s="39"/>
      <c r="N475" s="39"/>
      <c r="O475" s="39"/>
      <c r="P475" s="39"/>
      <c r="Q475" s="39"/>
      <c r="R475" s="39"/>
      <c r="S475" s="10">
        <f t="shared" si="128"/>
        <v>0</v>
      </c>
      <c r="T475" s="10">
        <v>100000</v>
      </c>
      <c r="U475" s="10">
        <f t="shared" si="129"/>
        <v>0</v>
      </c>
      <c r="V475" s="4"/>
      <c r="W475" s="4"/>
      <c r="X475" s="4"/>
      <c r="Y475" s="4"/>
    </row>
    <row r="476" spans="2:25" ht="18.75" customHeight="1">
      <c r="B476" s="58"/>
      <c r="C476" s="60"/>
      <c r="D476" s="52" t="s">
        <v>55</v>
      </c>
      <c r="E476" s="63"/>
      <c r="F476" s="8">
        <v>0.66666666666666663</v>
      </c>
      <c r="G476" s="67" t="s">
        <v>74</v>
      </c>
      <c r="H476" s="68"/>
      <c r="I476" s="35">
        <v>57</v>
      </c>
      <c r="J476" s="9">
        <f t="shared" si="124"/>
        <v>0</v>
      </c>
      <c r="K476" s="39"/>
      <c r="L476" s="39"/>
      <c r="M476" s="39"/>
      <c r="N476" s="39"/>
      <c r="O476" s="39"/>
      <c r="P476" s="39"/>
      <c r="Q476" s="39"/>
      <c r="R476" s="39"/>
      <c r="S476" s="10">
        <f t="shared" si="128"/>
        <v>0</v>
      </c>
      <c r="T476" s="10">
        <v>100000</v>
      </c>
      <c r="U476" s="10">
        <f>T476*S476</f>
        <v>0</v>
      </c>
      <c r="V476" s="4"/>
      <c r="W476" s="4"/>
      <c r="X476" s="4"/>
      <c r="Y476" s="4"/>
    </row>
    <row r="477" spans="2:25" ht="18.75" customHeight="1">
      <c r="B477" s="58"/>
      <c r="C477" s="60"/>
      <c r="D477" s="52" t="s">
        <v>55</v>
      </c>
      <c r="E477" s="63"/>
      <c r="F477" s="8">
        <v>0.75</v>
      </c>
      <c r="G477" s="67" t="s">
        <v>74</v>
      </c>
      <c r="H477" s="68"/>
      <c r="I477" s="35">
        <v>57</v>
      </c>
      <c r="J477" s="9">
        <f t="shared" si="124"/>
        <v>0</v>
      </c>
      <c r="K477" s="39"/>
      <c r="L477" s="39"/>
      <c r="M477" s="39"/>
      <c r="N477" s="39"/>
      <c r="O477" s="39"/>
      <c r="P477" s="39"/>
      <c r="Q477" s="39"/>
      <c r="R477" s="39"/>
      <c r="S477" s="10">
        <f t="shared" si="128"/>
        <v>0</v>
      </c>
      <c r="T477" s="10">
        <v>100000</v>
      </c>
      <c r="U477" s="10">
        <f t="shared" ref="U477:U484" si="130">T477*S477</f>
        <v>0</v>
      </c>
      <c r="V477" s="4"/>
      <c r="W477" s="4"/>
      <c r="X477" s="11"/>
      <c r="Y477" s="4"/>
    </row>
    <row r="478" spans="2:25" ht="18.75" customHeight="1">
      <c r="B478" s="58"/>
      <c r="C478" s="60"/>
      <c r="D478" s="53" t="s">
        <v>55</v>
      </c>
      <c r="E478" s="64"/>
      <c r="F478" s="12">
        <v>0.83333333333333337</v>
      </c>
      <c r="G478" s="67" t="s">
        <v>74</v>
      </c>
      <c r="H478" s="68"/>
      <c r="I478" s="36">
        <v>55</v>
      </c>
      <c r="J478" s="9">
        <f t="shared" si="124"/>
        <v>0</v>
      </c>
      <c r="K478" s="41"/>
      <c r="L478" s="41"/>
      <c r="M478" s="41"/>
      <c r="N478" s="41"/>
      <c r="O478" s="41"/>
      <c r="P478" s="41"/>
      <c r="Q478" s="41"/>
      <c r="R478" s="41"/>
      <c r="S478" s="13">
        <f t="shared" si="128"/>
        <v>0</v>
      </c>
      <c r="T478" s="13">
        <v>100000</v>
      </c>
      <c r="U478" s="13">
        <f t="shared" si="130"/>
        <v>0</v>
      </c>
      <c r="V478" s="4"/>
      <c r="Y478" s="4"/>
    </row>
    <row r="479" spans="2:25" ht="18.75">
      <c r="B479" s="58"/>
      <c r="C479" s="60"/>
      <c r="D479" s="51" t="s">
        <v>55</v>
      </c>
      <c r="E479" s="62" t="s">
        <v>102</v>
      </c>
      <c r="F479" s="5">
        <v>0.91666666666666663</v>
      </c>
      <c r="G479" s="65" t="s">
        <v>84</v>
      </c>
      <c r="H479" s="66"/>
      <c r="I479" s="34">
        <v>25</v>
      </c>
      <c r="J479" s="6">
        <f t="shared" si="124"/>
        <v>0</v>
      </c>
      <c r="K479" s="38"/>
      <c r="L479" s="38"/>
      <c r="M479" s="38"/>
      <c r="N479" s="38"/>
      <c r="O479" s="38"/>
      <c r="P479" s="38"/>
      <c r="Q479" s="38"/>
      <c r="R479" s="38"/>
      <c r="S479" s="7">
        <f t="shared" si="128"/>
        <v>0</v>
      </c>
      <c r="T479" s="7">
        <v>100000</v>
      </c>
      <c r="U479" s="7">
        <f t="shared" si="130"/>
        <v>0</v>
      </c>
      <c r="V479" s="4"/>
      <c r="Y479" s="4"/>
    </row>
    <row r="480" spans="2:25" ht="18.75">
      <c r="B480" s="58"/>
      <c r="C480" s="60"/>
      <c r="D480" s="52" t="s">
        <v>55</v>
      </c>
      <c r="E480" s="63"/>
      <c r="F480" s="8">
        <v>1</v>
      </c>
      <c r="G480" s="67" t="s">
        <v>84</v>
      </c>
      <c r="H480" s="68"/>
      <c r="I480" s="35"/>
      <c r="J480" s="9" t="str">
        <f t="shared" si="124"/>
        <v/>
      </c>
      <c r="K480" s="39"/>
      <c r="L480" s="39"/>
      <c r="M480" s="39"/>
      <c r="N480" s="39"/>
      <c r="O480" s="39"/>
      <c r="P480" s="39"/>
      <c r="Q480" s="39"/>
      <c r="R480" s="39"/>
      <c r="S480" s="10">
        <f t="shared" si="128"/>
        <v>0</v>
      </c>
      <c r="T480" s="10">
        <v>100000</v>
      </c>
      <c r="U480" s="10">
        <f t="shared" si="130"/>
        <v>0</v>
      </c>
      <c r="V480" s="4"/>
      <c r="Y480" s="4"/>
    </row>
    <row r="481" spans="2:25" ht="37.5">
      <c r="B481" s="58"/>
      <c r="C481" s="60"/>
      <c r="D481" s="52" t="s">
        <v>52</v>
      </c>
      <c r="E481" s="63"/>
      <c r="F481" s="8">
        <v>8.3333333333333329E-2</v>
      </c>
      <c r="G481" s="67" t="s">
        <v>84</v>
      </c>
      <c r="H481" s="68"/>
      <c r="I481" s="35">
        <v>30</v>
      </c>
      <c r="J481" s="9">
        <f t="shared" si="124"/>
        <v>0.33333333333333331</v>
      </c>
      <c r="K481" s="39"/>
      <c r="L481" s="39"/>
      <c r="M481" s="39"/>
      <c r="N481" s="39"/>
      <c r="O481" s="39"/>
      <c r="P481" s="39"/>
      <c r="Q481" s="39">
        <v>10</v>
      </c>
      <c r="R481" s="39"/>
      <c r="S481" s="10">
        <f t="shared" si="128"/>
        <v>10</v>
      </c>
      <c r="T481" s="10">
        <v>100000</v>
      </c>
      <c r="U481" s="10">
        <f t="shared" si="130"/>
        <v>1000000</v>
      </c>
      <c r="V481" s="4"/>
      <c r="Y481" s="4"/>
    </row>
    <row r="482" spans="2:25" ht="37.5">
      <c r="B482" s="58"/>
      <c r="C482" s="60"/>
      <c r="D482" s="52" t="s">
        <v>52</v>
      </c>
      <c r="E482" s="63"/>
      <c r="F482" s="8">
        <v>0.16666666666666666</v>
      </c>
      <c r="G482" s="67" t="s">
        <v>84</v>
      </c>
      <c r="H482" s="68"/>
      <c r="I482" s="35">
        <v>56</v>
      </c>
      <c r="J482" s="9">
        <f t="shared" si="124"/>
        <v>5.3571428571428568E-2</v>
      </c>
      <c r="K482" s="39"/>
      <c r="L482" s="39"/>
      <c r="M482" s="39"/>
      <c r="N482" s="39"/>
      <c r="O482" s="39"/>
      <c r="P482" s="39"/>
      <c r="Q482" s="39"/>
      <c r="R482" s="39">
        <v>3</v>
      </c>
      <c r="S482" s="10">
        <f t="shared" si="128"/>
        <v>3</v>
      </c>
      <c r="T482" s="10">
        <v>100000</v>
      </c>
      <c r="U482" s="10">
        <f t="shared" si="130"/>
        <v>300000</v>
      </c>
      <c r="V482" s="4"/>
      <c r="W482" s="4"/>
      <c r="X482" s="4"/>
      <c r="Y482" s="4"/>
    </row>
    <row r="483" spans="2:25" ht="37.5">
      <c r="B483" s="58"/>
      <c r="C483" s="60"/>
      <c r="D483" s="52" t="s">
        <v>52</v>
      </c>
      <c r="E483" s="63"/>
      <c r="F483" s="8">
        <v>0.25</v>
      </c>
      <c r="G483" s="67" t="s">
        <v>84</v>
      </c>
      <c r="H483" s="68"/>
      <c r="I483" s="35">
        <v>57</v>
      </c>
      <c r="J483" s="9">
        <f t="shared" si="124"/>
        <v>5.2631578947368418E-2</v>
      </c>
      <c r="K483" s="39"/>
      <c r="L483" s="39"/>
      <c r="M483" s="39"/>
      <c r="N483" s="39"/>
      <c r="O483" s="39"/>
      <c r="P483" s="39"/>
      <c r="Q483" s="39"/>
      <c r="R483" s="39">
        <v>3</v>
      </c>
      <c r="S483" s="10">
        <f t="shared" si="128"/>
        <v>3</v>
      </c>
      <c r="T483" s="10">
        <v>100000</v>
      </c>
      <c r="U483" s="10">
        <f t="shared" si="130"/>
        <v>300000</v>
      </c>
      <c r="V483" s="4"/>
      <c r="Y483" s="4"/>
    </row>
    <row r="484" spans="2:25" ht="37.5">
      <c r="B484" s="58"/>
      <c r="C484" s="61"/>
      <c r="D484" s="53" t="s">
        <v>52</v>
      </c>
      <c r="E484" s="69"/>
      <c r="F484" s="14">
        <v>0.33333333333333331</v>
      </c>
      <c r="G484" s="67" t="s">
        <v>84</v>
      </c>
      <c r="H484" s="68"/>
      <c r="I484" s="37">
        <v>50</v>
      </c>
      <c r="J484" s="15">
        <f t="shared" si="124"/>
        <v>0.08</v>
      </c>
      <c r="K484" s="40"/>
      <c r="L484" s="40"/>
      <c r="M484" s="40"/>
      <c r="N484" s="40"/>
      <c r="O484" s="40"/>
      <c r="P484" s="40"/>
      <c r="Q484" s="40"/>
      <c r="R484" s="40">
        <v>4</v>
      </c>
      <c r="S484" s="16">
        <f t="shared" si="128"/>
        <v>4</v>
      </c>
      <c r="T484" s="16">
        <v>100000</v>
      </c>
      <c r="U484" s="16">
        <f t="shared" si="130"/>
        <v>400000</v>
      </c>
      <c r="V484" s="4"/>
      <c r="W484" s="4"/>
      <c r="X484" s="4"/>
      <c r="Y484" s="4"/>
    </row>
    <row r="485" spans="2:25" ht="18.75" customHeight="1">
      <c r="B485" s="58">
        <v>46121</v>
      </c>
      <c r="C485" s="59" t="s">
        <v>14</v>
      </c>
      <c r="D485" s="51"/>
      <c r="E485" s="62" t="s">
        <v>101</v>
      </c>
      <c r="F485" s="5">
        <v>0.41666666666666669</v>
      </c>
      <c r="G485" s="65"/>
      <c r="H485" s="66"/>
      <c r="I485" s="34"/>
      <c r="J485" s="6" t="str">
        <f t="shared" ref="J485:J508" si="131">IFERROR(S485/I485,"")</f>
        <v/>
      </c>
      <c r="K485" s="38"/>
      <c r="L485" s="38"/>
      <c r="M485" s="38"/>
      <c r="N485" s="38"/>
      <c r="O485" s="38"/>
      <c r="P485" s="38"/>
      <c r="Q485" s="38"/>
      <c r="R485" s="38"/>
      <c r="S485" s="7">
        <f>SUM(K485:R485)</f>
        <v>0</v>
      </c>
      <c r="T485" s="7">
        <v>100000</v>
      </c>
      <c r="U485" s="7">
        <f>T485*S485</f>
        <v>0</v>
      </c>
      <c r="V485" s="4"/>
      <c r="W485" s="4"/>
      <c r="X485" s="4"/>
      <c r="Y485" s="4"/>
    </row>
    <row r="486" spans="2:25" ht="18.75" customHeight="1">
      <c r="B486" s="58"/>
      <c r="C486" s="60"/>
      <c r="D486" s="52"/>
      <c r="E486" s="63"/>
      <c r="F486" s="8">
        <v>0.5</v>
      </c>
      <c r="G486" s="67"/>
      <c r="H486" s="68"/>
      <c r="I486" s="35"/>
      <c r="J486" s="9" t="str">
        <f t="shared" si="131"/>
        <v/>
      </c>
      <c r="K486" s="39"/>
      <c r="L486" s="39"/>
      <c r="M486" s="39"/>
      <c r="N486" s="39"/>
      <c r="O486" s="39"/>
      <c r="P486" s="39"/>
      <c r="Q486" s="39"/>
      <c r="R486" s="39"/>
      <c r="S486" s="10">
        <f t="shared" ref="S486:S496" si="132">SUM(K486:R486)</f>
        <v>0</v>
      </c>
      <c r="T486" s="10">
        <v>100000</v>
      </c>
      <c r="U486" s="10">
        <f t="shared" ref="U486:U487" si="133">T486*S486</f>
        <v>0</v>
      </c>
      <c r="V486" s="4"/>
      <c r="W486" s="4"/>
      <c r="X486" s="4"/>
      <c r="Y486" s="4"/>
    </row>
    <row r="487" spans="2:25" ht="18.75" customHeight="1">
      <c r="B487" s="58"/>
      <c r="C487" s="60"/>
      <c r="D487" s="52"/>
      <c r="E487" s="63"/>
      <c r="F487" s="8">
        <v>0.58333333333333337</v>
      </c>
      <c r="G487" s="67"/>
      <c r="H487" s="68"/>
      <c r="I487" s="35"/>
      <c r="J487" s="9" t="str">
        <f t="shared" si="131"/>
        <v/>
      </c>
      <c r="K487" s="39"/>
      <c r="L487" s="39"/>
      <c r="M487" s="39"/>
      <c r="N487" s="39"/>
      <c r="O487" s="39"/>
      <c r="P487" s="39"/>
      <c r="Q487" s="39"/>
      <c r="R487" s="39"/>
      <c r="S487" s="10">
        <f t="shared" si="132"/>
        <v>0</v>
      </c>
      <c r="T487" s="10">
        <v>100000</v>
      </c>
      <c r="U487" s="10">
        <f t="shared" si="133"/>
        <v>0</v>
      </c>
      <c r="V487" s="4"/>
      <c r="W487" s="4"/>
      <c r="X487" s="4"/>
      <c r="Y487" s="4"/>
    </row>
    <row r="488" spans="2:25" ht="18.75" customHeight="1">
      <c r="B488" s="58"/>
      <c r="C488" s="60"/>
      <c r="D488" s="52"/>
      <c r="E488" s="63"/>
      <c r="F488" s="8">
        <v>0.66666666666666663</v>
      </c>
      <c r="G488" s="67"/>
      <c r="H488" s="68"/>
      <c r="I488" s="35"/>
      <c r="J488" s="9" t="str">
        <f t="shared" si="131"/>
        <v/>
      </c>
      <c r="K488" s="39"/>
      <c r="L488" s="39"/>
      <c r="M488" s="39"/>
      <c r="N488" s="39"/>
      <c r="O488" s="39"/>
      <c r="P488" s="39"/>
      <c r="Q488" s="39"/>
      <c r="R488" s="39"/>
      <c r="S488" s="10">
        <f t="shared" si="132"/>
        <v>0</v>
      </c>
      <c r="T488" s="10">
        <v>100000</v>
      </c>
      <c r="U488" s="10">
        <f>T488*S488</f>
        <v>0</v>
      </c>
      <c r="V488" s="4"/>
      <c r="W488" s="4"/>
      <c r="X488" s="4"/>
      <c r="Y488" s="4"/>
    </row>
    <row r="489" spans="2:25" ht="18.75" customHeight="1">
      <c r="B489" s="58"/>
      <c r="C489" s="60"/>
      <c r="D489" s="52"/>
      <c r="E489" s="63"/>
      <c r="F489" s="8">
        <v>0.75</v>
      </c>
      <c r="G489" s="67"/>
      <c r="H489" s="68"/>
      <c r="I489" s="35"/>
      <c r="J489" s="9" t="str">
        <f t="shared" si="131"/>
        <v/>
      </c>
      <c r="K489" s="39"/>
      <c r="L489" s="39"/>
      <c r="M489" s="39"/>
      <c r="N489" s="39"/>
      <c r="O489" s="39"/>
      <c r="P489" s="39"/>
      <c r="Q489" s="39"/>
      <c r="R489" s="39"/>
      <c r="S489" s="10">
        <f t="shared" si="132"/>
        <v>0</v>
      </c>
      <c r="T489" s="10">
        <v>100000</v>
      </c>
      <c r="U489" s="10">
        <f t="shared" ref="U489:U496" si="134">T489*S489</f>
        <v>0</v>
      </c>
      <c r="V489" s="4"/>
      <c r="W489" s="4"/>
      <c r="X489" s="11"/>
      <c r="Y489" s="4"/>
    </row>
    <row r="490" spans="2:25" ht="18.75" customHeight="1">
      <c r="B490" s="58"/>
      <c r="C490" s="60"/>
      <c r="D490" s="53"/>
      <c r="E490" s="64"/>
      <c r="F490" s="12">
        <v>0.83333333333333337</v>
      </c>
      <c r="G490" s="67"/>
      <c r="H490" s="68"/>
      <c r="I490" s="36"/>
      <c r="J490" s="9" t="str">
        <f t="shared" si="131"/>
        <v/>
      </c>
      <c r="K490" s="41"/>
      <c r="L490" s="41"/>
      <c r="M490" s="41"/>
      <c r="N490" s="41"/>
      <c r="O490" s="41"/>
      <c r="P490" s="41"/>
      <c r="Q490" s="41"/>
      <c r="R490" s="41"/>
      <c r="S490" s="13">
        <f t="shared" si="132"/>
        <v>0</v>
      </c>
      <c r="T490" s="13">
        <v>100000</v>
      </c>
      <c r="U490" s="13">
        <f t="shared" si="134"/>
        <v>0</v>
      </c>
      <c r="V490" s="4"/>
      <c r="Y490" s="4"/>
    </row>
    <row r="491" spans="2:25" ht="18.75">
      <c r="B491" s="58"/>
      <c r="C491" s="60"/>
      <c r="D491" s="51"/>
      <c r="E491" s="62" t="s">
        <v>102</v>
      </c>
      <c r="F491" s="5">
        <v>0.91666666666666663</v>
      </c>
      <c r="G491" s="65"/>
      <c r="H491" s="66"/>
      <c r="I491" s="34"/>
      <c r="J491" s="6" t="str">
        <f t="shared" si="131"/>
        <v/>
      </c>
      <c r="K491" s="38"/>
      <c r="L491" s="38"/>
      <c r="M491" s="38"/>
      <c r="N491" s="38"/>
      <c r="O491" s="38"/>
      <c r="P491" s="38"/>
      <c r="Q491" s="38"/>
      <c r="R491" s="38"/>
      <c r="S491" s="7">
        <f t="shared" si="132"/>
        <v>0</v>
      </c>
      <c r="T491" s="7">
        <v>100000</v>
      </c>
      <c r="U491" s="7">
        <f t="shared" si="134"/>
        <v>0</v>
      </c>
      <c r="V491" s="4"/>
      <c r="Y491" s="4"/>
    </row>
    <row r="492" spans="2:25" ht="18.75">
      <c r="B492" s="58"/>
      <c r="C492" s="60"/>
      <c r="D492" s="52"/>
      <c r="E492" s="63"/>
      <c r="F492" s="8">
        <v>1</v>
      </c>
      <c r="G492" s="67"/>
      <c r="H492" s="68"/>
      <c r="I492" s="35"/>
      <c r="J492" s="9" t="str">
        <f t="shared" si="131"/>
        <v/>
      </c>
      <c r="K492" s="39"/>
      <c r="L492" s="39"/>
      <c r="M492" s="39"/>
      <c r="N492" s="39"/>
      <c r="O492" s="39"/>
      <c r="P492" s="39"/>
      <c r="Q492" s="39"/>
      <c r="R492" s="39"/>
      <c r="S492" s="10">
        <f t="shared" si="132"/>
        <v>0</v>
      </c>
      <c r="T492" s="10">
        <v>100000</v>
      </c>
      <c r="U492" s="10">
        <f t="shared" si="134"/>
        <v>0</v>
      </c>
      <c r="V492" s="4"/>
      <c r="Y492" s="4"/>
    </row>
    <row r="493" spans="2:25" ht="18.75">
      <c r="B493" s="58"/>
      <c r="C493" s="60"/>
      <c r="D493" s="52"/>
      <c r="E493" s="63"/>
      <c r="F493" s="8">
        <v>8.3333333333333329E-2</v>
      </c>
      <c r="G493" s="67"/>
      <c r="H493" s="68"/>
      <c r="I493" s="35"/>
      <c r="J493" s="9" t="str">
        <f t="shared" si="131"/>
        <v/>
      </c>
      <c r="K493" s="39"/>
      <c r="L493" s="39"/>
      <c r="M493" s="39"/>
      <c r="N493" s="39"/>
      <c r="O493" s="39"/>
      <c r="P493" s="39"/>
      <c r="Q493" s="39"/>
      <c r="R493" s="39"/>
      <c r="S493" s="10">
        <f t="shared" si="132"/>
        <v>0</v>
      </c>
      <c r="T493" s="10">
        <v>100000</v>
      </c>
      <c r="U493" s="10">
        <f t="shared" si="134"/>
        <v>0</v>
      </c>
      <c r="V493" s="4"/>
      <c r="Y493" s="4"/>
    </row>
    <row r="494" spans="2:25" ht="18.75">
      <c r="B494" s="58"/>
      <c r="C494" s="60"/>
      <c r="D494" s="52"/>
      <c r="E494" s="63"/>
      <c r="F494" s="8">
        <v>0.16666666666666666</v>
      </c>
      <c r="G494" s="67"/>
      <c r="H494" s="68"/>
      <c r="I494" s="35"/>
      <c r="J494" s="9" t="str">
        <f t="shared" si="131"/>
        <v/>
      </c>
      <c r="K494" s="39"/>
      <c r="L494" s="39"/>
      <c r="M494" s="39"/>
      <c r="N494" s="39"/>
      <c r="O494" s="39"/>
      <c r="P494" s="39"/>
      <c r="Q494" s="39"/>
      <c r="R494" s="39"/>
      <c r="S494" s="10">
        <f t="shared" si="132"/>
        <v>0</v>
      </c>
      <c r="T494" s="10">
        <v>100000</v>
      </c>
      <c r="U494" s="10">
        <f t="shared" si="134"/>
        <v>0</v>
      </c>
      <c r="V494" s="4"/>
      <c r="W494" s="4"/>
      <c r="X494" s="4"/>
      <c r="Y494" s="4"/>
    </row>
    <row r="495" spans="2:25" ht="18.75">
      <c r="B495" s="58"/>
      <c r="C495" s="60"/>
      <c r="D495" s="52"/>
      <c r="E495" s="63"/>
      <c r="F495" s="8">
        <v>0.25</v>
      </c>
      <c r="G495" s="67"/>
      <c r="H495" s="68"/>
      <c r="I495" s="35"/>
      <c r="J495" s="9" t="str">
        <f t="shared" si="131"/>
        <v/>
      </c>
      <c r="K495" s="39"/>
      <c r="L495" s="39"/>
      <c r="M495" s="39"/>
      <c r="N495" s="39"/>
      <c r="O495" s="39"/>
      <c r="P495" s="39"/>
      <c r="Q495" s="39"/>
      <c r="R495" s="39"/>
      <c r="S495" s="10">
        <f t="shared" si="132"/>
        <v>0</v>
      </c>
      <c r="T495" s="10">
        <v>100000</v>
      </c>
      <c r="U495" s="10">
        <f t="shared" si="134"/>
        <v>0</v>
      </c>
      <c r="V495" s="4"/>
      <c r="Y495" s="4"/>
    </row>
    <row r="496" spans="2:25" ht="18.75">
      <c r="B496" s="58"/>
      <c r="C496" s="61"/>
      <c r="D496" s="53"/>
      <c r="E496" s="69"/>
      <c r="F496" s="14">
        <v>0.33333333333333331</v>
      </c>
      <c r="G496" s="67"/>
      <c r="H496" s="68"/>
      <c r="I496" s="37"/>
      <c r="J496" s="15" t="str">
        <f t="shared" si="131"/>
        <v/>
      </c>
      <c r="K496" s="40"/>
      <c r="L496" s="40"/>
      <c r="M496" s="40"/>
      <c r="N496" s="40"/>
      <c r="O496" s="40"/>
      <c r="P496" s="40"/>
      <c r="Q496" s="40"/>
      <c r="R496" s="40"/>
      <c r="S496" s="16">
        <f t="shared" si="132"/>
        <v>0</v>
      </c>
      <c r="T496" s="16">
        <v>100000</v>
      </c>
      <c r="U496" s="16">
        <f t="shared" si="134"/>
        <v>0</v>
      </c>
      <c r="V496" s="4"/>
      <c r="W496" s="4"/>
      <c r="X496" s="4"/>
      <c r="Y496" s="4"/>
    </row>
    <row r="497" spans="2:25" ht="18.75" customHeight="1">
      <c r="B497" s="58">
        <v>46122</v>
      </c>
      <c r="C497" s="59" t="s">
        <v>14</v>
      </c>
      <c r="D497" s="51"/>
      <c r="E497" s="62" t="s">
        <v>101</v>
      </c>
      <c r="F497" s="5">
        <v>0.41666666666666669</v>
      </c>
      <c r="G497" s="65"/>
      <c r="H497" s="66"/>
      <c r="I497" s="34"/>
      <c r="J497" s="6" t="str">
        <f t="shared" si="131"/>
        <v/>
      </c>
      <c r="K497" s="38"/>
      <c r="L497" s="38"/>
      <c r="M497" s="38"/>
      <c r="N497" s="38"/>
      <c r="O497" s="38"/>
      <c r="P497" s="38"/>
      <c r="Q497" s="38"/>
      <c r="R497" s="38"/>
      <c r="S497" s="7">
        <f>SUM(K497:R497)</f>
        <v>0</v>
      </c>
      <c r="T497" s="7">
        <v>100000</v>
      </c>
      <c r="U497" s="7">
        <f>T497*S497</f>
        <v>0</v>
      </c>
      <c r="V497" s="4"/>
      <c r="W497" s="4"/>
      <c r="X497" s="4"/>
      <c r="Y497" s="4"/>
    </row>
    <row r="498" spans="2:25" ht="18.75" customHeight="1">
      <c r="B498" s="58"/>
      <c r="C498" s="60"/>
      <c r="D498" s="52"/>
      <c r="E498" s="63"/>
      <c r="F498" s="8">
        <v>0.5</v>
      </c>
      <c r="G498" s="67"/>
      <c r="H498" s="68"/>
      <c r="I498" s="35"/>
      <c r="J498" s="9" t="str">
        <f t="shared" si="131"/>
        <v/>
      </c>
      <c r="K498" s="39"/>
      <c r="L498" s="39"/>
      <c r="M498" s="39"/>
      <c r="N498" s="39"/>
      <c r="O498" s="39"/>
      <c r="P498" s="39"/>
      <c r="Q498" s="39"/>
      <c r="R498" s="39"/>
      <c r="S498" s="10">
        <f t="shared" ref="S498:S508" si="135">SUM(K498:R498)</f>
        <v>0</v>
      </c>
      <c r="T498" s="10">
        <v>100000</v>
      </c>
      <c r="U498" s="10">
        <f t="shared" ref="U498:U499" si="136">T498*S498</f>
        <v>0</v>
      </c>
      <c r="V498" s="4"/>
      <c r="W498" s="4"/>
      <c r="X498" s="4"/>
      <c r="Y498" s="4"/>
    </row>
    <row r="499" spans="2:25" ht="18.75" customHeight="1">
      <c r="B499" s="58"/>
      <c r="C499" s="60"/>
      <c r="D499" s="52"/>
      <c r="E499" s="63"/>
      <c r="F499" s="8">
        <v>0.58333333333333337</v>
      </c>
      <c r="G499" s="67"/>
      <c r="H499" s="68"/>
      <c r="I499" s="35"/>
      <c r="J499" s="9" t="str">
        <f t="shared" si="131"/>
        <v/>
      </c>
      <c r="K499" s="39"/>
      <c r="L499" s="39"/>
      <c r="M499" s="39"/>
      <c r="N499" s="39"/>
      <c r="O499" s="39"/>
      <c r="P499" s="39"/>
      <c r="Q499" s="39"/>
      <c r="R499" s="39"/>
      <c r="S499" s="10">
        <f t="shared" si="135"/>
        <v>0</v>
      </c>
      <c r="T499" s="10">
        <v>100000</v>
      </c>
      <c r="U499" s="10">
        <f t="shared" si="136"/>
        <v>0</v>
      </c>
      <c r="V499" s="4"/>
      <c r="W499" s="4"/>
      <c r="X499" s="4"/>
      <c r="Y499" s="4"/>
    </row>
    <row r="500" spans="2:25" ht="18.75" customHeight="1">
      <c r="B500" s="58"/>
      <c r="C500" s="60"/>
      <c r="D500" s="52"/>
      <c r="E500" s="63"/>
      <c r="F500" s="8">
        <v>0.66666666666666663</v>
      </c>
      <c r="G500" s="67"/>
      <c r="H500" s="68"/>
      <c r="I500" s="35"/>
      <c r="J500" s="9" t="str">
        <f t="shared" si="131"/>
        <v/>
      </c>
      <c r="K500" s="39"/>
      <c r="L500" s="39"/>
      <c r="M500" s="39"/>
      <c r="N500" s="39"/>
      <c r="O500" s="39"/>
      <c r="P500" s="39"/>
      <c r="Q500" s="39"/>
      <c r="R500" s="39"/>
      <c r="S500" s="10">
        <f t="shared" si="135"/>
        <v>0</v>
      </c>
      <c r="T500" s="10">
        <v>100000</v>
      </c>
      <c r="U500" s="10">
        <f>T500*S500</f>
        <v>0</v>
      </c>
      <c r="V500" s="4"/>
      <c r="W500" s="4"/>
      <c r="X500" s="4"/>
      <c r="Y500" s="4"/>
    </row>
    <row r="501" spans="2:25" ht="18.75" customHeight="1">
      <c r="B501" s="58"/>
      <c r="C501" s="60"/>
      <c r="D501" s="52"/>
      <c r="E501" s="63"/>
      <c r="F501" s="8">
        <v>0.75</v>
      </c>
      <c r="G501" s="67"/>
      <c r="H501" s="68"/>
      <c r="I501" s="35"/>
      <c r="J501" s="9" t="str">
        <f t="shared" si="131"/>
        <v/>
      </c>
      <c r="K501" s="39"/>
      <c r="L501" s="39"/>
      <c r="M501" s="39"/>
      <c r="N501" s="39"/>
      <c r="O501" s="39"/>
      <c r="P501" s="39"/>
      <c r="Q501" s="39"/>
      <c r="R501" s="39"/>
      <c r="S501" s="10">
        <f t="shared" si="135"/>
        <v>0</v>
      </c>
      <c r="T501" s="10">
        <v>100000</v>
      </c>
      <c r="U501" s="10">
        <f t="shared" ref="U501:U508" si="137">T501*S501</f>
        <v>0</v>
      </c>
      <c r="V501" s="4"/>
      <c r="W501" s="4"/>
      <c r="X501" s="11"/>
      <c r="Y501" s="4"/>
    </row>
    <row r="502" spans="2:25" ht="18.75" customHeight="1">
      <c r="B502" s="58"/>
      <c r="C502" s="60"/>
      <c r="D502" s="53"/>
      <c r="E502" s="64"/>
      <c r="F502" s="12">
        <v>0.83333333333333337</v>
      </c>
      <c r="G502" s="67"/>
      <c r="H502" s="68"/>
      <c r="I502" s="36"/>
      <c r="J502" s="9" t="str">
        <f t="shared" si="131"/>
        <v/>
      </c>
      <c r="K502" s="41"/>
      <c r="L502" s="41"/>
      <c r="M502" s="41"/>
      <c r="N502" s="41"/>
      <c r="O502" s="41"/>
      <c r="P502" s="41"/>
      <c r="Q502" s="41"/>
      <c r="R502" s="41"/>
      <c r="S502" s="13">
        <f t="shared" si="135"/>
        <v>0</v>
      </c>
      <c r="T502" s="13">
        <v>100000</v>
      </c>
      <c r="U502" s="13">
        <f t="shared" si="137"/>
        <v>0</v>
      </c>
      <c r="V502" s="4"/>
      <c r="Y502" s="4"/>
    </row>
    <row r="503" spans="2:25" ht="18.75">
      <c r="B503" s="58"/>
      <c r="C503" s="60"/>
      <c r="D503" s="51"/>
      <c r="E503" s="62" t="s">
        <v>102</v>
      </c>
      <c r="F503" s="5">
        <v>0.91666666666666663</v>
      </c>
      <c r="G503" s="65"/>
      <c r="H503" s="66"/>
      <c r="I503" s="34"/>
      <c r="J503" s="6" t="str">
        <f t="shared" si="131"/>
        <v/>
      </c>
      <c r="K503" s="38"/>
      <c r="L503" s="38"/>
      <c r="M503" s="38"/>
      <c r="N503" s="38"/>
      <c r="O503" s="38"/>
      <c r="P503" s="38"/>
      <c r="Q503" s="38"/>
      <c r="R503" s="38"/>
      <c r="S503" s="7">
        <f t="shared" si="135"/>
        <v>0</v>
      </c>
      <c r="T503" s="7">
        <v>100000</v>
      </c>
      <c r="U503" s="7">
        <f t="shared" si="137"/>
        <v>0</v>
      </c>
      <c r="V503" s="4"/>
      <c r="Y503" s="4"/>
    </row>
    <row r="504" spans="2:25" ht="18.75">
      <c r="B504" s="58"/>
      <c r="C504" s="60"/>
      <c r="D504" s="52"/>
      <c r="E504" s="63"/>
      <c r="F504" s="8">
        <v>1</v>
      </c>
      <c r="G504" s="67"/>
      <c r="H504" s="68"/>
      <c r="I504" s="35"/>
      <c r="J504" s="9" t="str">
        <f t="shared" si="131"/>
        <v/>
      </c>
      <c r="K504" s="39"/>
      <c r="L504" s="39"/>
      <c r="M504" s="39"/>
      <c r="N504" s="39"/>
      <c r="O504" s="39"/>
      <c r="P504" s="39"/>
      <c r="Q504" s="39"/>
      <c r="R504" s="39"/>
      <c r="S504" s="10">
        <f t="shared" si="135"/>
        <v>0</v>
      </c>
      <c r="T504" s="10">
        <v>100000</v>
      </c>
      <c r="U504" s="10">
        <f t="shared" si="137"/>
        <v>0</v>
      </c>
      <c r="V504" s="4"/>
      <c r="Y504" s="4"/>
    </row>
    <row r="505" spans="2:25" ht="18.75">
      <c r="B505" s="58"/>
      <c r="C505" s="60"/>
      <c r="D505" s="52"/>
      <c r="E505" s="63"/>
      <c r="F505" s="8">
        <v>8.3333333333333329E-2</v>
      </c>
      <c r="G505" s="67"/>
      <c r="H505" s="68"/>
      <c r="I505" s="35"/>
      <c r="J505" s="9" t="str">
        <f t="shared" si="131"/>
        <v/>
      </c>
      <c r="K505" s="39"/>
      <c r="L505" s="39"/>
      <c r="M505" s="39"/>
      <c r="N505" s="39"/>
      <c r="O505" s="39"/>
      <c r="P505" s="39"/>
      <c r="Q505" s="39"/>
      <c r="R505" s="39"/>
      <c r="S505" s="10">
        <f t="shared" si="135"/>
        <v>0</v>
      </c>
      <c r="T505" s="10">
        <v>100000</v>
      </c>
      <c r="U505" s="10">
        <f t="shared" si="137"/>
        <v>0</v>
      </c>
      <c r="V505" s="4"/>
      <c r="Y505" s="4"/>
    </row>
    <row r="506" spans="2:25" ht="18.75">
      <c r="B506" s="58"/>
      <c r="C506" s="60"/>
      <c r="D506" s="52"/>
      <c r="E506" s="63"/>
      <c r="F506" s="8">
        <v>0.16666666666666666</v>
      </c>
      <c r="G506" s="67"/>
      <c r="H506" s="68"/>
      <c r="I506" s="35"/>
      <c r="J506" s="9" t="str">
        <f t="shared" si="131"/>
        <v/>
      </c>
      <c r="K506" s="39"/>
      <c r="L506" s="39"/>
      <c r="M506" s="39"/>
      <c r="N506" s="39"/>
      <c r="O506" s="39"/>
      <c r="P506" s="39"/>
      <c r="Q506" s="39"/>
      <c r="R506" s="39"/>
      <c r="S506" s="10">
        <f t="shared" si="135"/>
        <v>0</v>
      </c>
      <c r="T506" s="10">
        <v>100000</v>
      </c>
      <c r="U506" s="10">
        <f t="shared" si="137"/>
        <v>0</v>
      </c>
      <c r="V506" s="4"/>
      <c r="W506" s="4"/>
      <c r="X506" s="4"/>
      <c r="Y506" s="4"/>
    </row>
    <row r="507" spans="2:25" ht="18.75">
      <c r="B507" s="58"/>
      <c r="C507" s="60"/>
      <c r="D507" s="52"/>
      <c r="E507" s="63"/>
      <c r="F507" s="8">
        <v>0.25</v>
      </c>
      <c r="G507" s="67"/>
      <c r="H507" s="68"/>
      <c r="I507" s="35"/>
      <c r="J507" s="9" t="str">
        <f t="shared" si="131"/>
        <v/>
      </c>
      <c r="K507" s="39"/>
      <c r="L507" s="39"/>
      <c r="M507" s="39"/>
      <c r="N507" s="39"/>
      <c r="O507" s="39"/>
      <c r="P507" s="39"/>
      <c r="Q507" s="39"/>
      <c r="R507" s="39"/>
      <c r="S507" s="10">
        <f t="shared" si="135"/>
        <v>0</v>
      </c>
      <c r="T507" s="10">
        <v>100000</v>
      </c>
      <c r="U507" s="10">
        <f t="shared" si="137"/>
        <v>0</v>
      </c>
      <c r="V507" s="4"/>
      <c r="Y507" s="4"/>
    </row>
    <row r="508" spans="2:25" ht="18.75">
      <c r="B508" s="58"/>
      <c r="C508" s="61"/>
      <c r="D508" s="53"/>
      <c r="E508" s="69"/>
      <c r="F508" s="14">
        <v>0.33333333333333331</v>
      </c>
      <c r="G508" s="67"/>
      <c r="H508" s="68"/>
      <c r="I508" s="37"/>
      <c r="J508" s="15" t="str">
        <f t="shared" si="131"/>
        <v/>
      </c>
      <c r="K508" s="40"/>
      <c r="L508" s="40"/>
      <c r="M508" s="40"/>
      <c r="N508" s="40"/>
      <c r="O508" s="40"/>
      <c r="P508" s="40"/>
      <c r="Q508" s="40"/>
      <c r="R508" s="40"/>
      <c r="S508" s="16">
        <f t="shared" si="135"/>
        <v>0</v>
      </c>
      <c r="T508" s="16">
        <v>100000</v>
      </c>
      <c r="U508" s="16">
        <f t="shared" si="137"/>
        <v>0</v>
      </c>
      <c r="V508" s="4"/>
      <c r="W508" s="4"/>
      <c r="X508" s="4"/>
      <c r="Y508" s="4"/>
    </row>
  </sheetData>
  <mergeCells count="674">
    <mergeCell ref="B497:B508"/>
    <mergeCell ref="C497:C508"/>
    <mergeCell ref="E497:E502"/>
    <mergeCell ref="G497:H497"/>
    <mergeCell ref="G498:H498"/>
    <mergeCell ref="G499:H499"/>
    <mergeCell ref="G500:H500"/>
    <mergeCell ref="G501:H501"/>
    <mergeCell ref="G502:H502"/>
    <mergeCell ref="E503:E508"/>
    <mergeCell ref="G503:H503"/>
    <mergeCell ref="G504:H504"/>
    <mergeCell ref="G505:H505"/>
    <mergeCell ref="G506:H506"/>
    <mergeCell ref="G507:H507"/>
    <mergeCell ref="G508:H508"/>
    <mergeCell ref="B485:B496"/>
    <mergeCell ref="C485:C496"/>
    <mergeCell ref="E485:E490"/>
    <mergeCell ref="G485:H485"/>
    <mergeCell ref="G486:H486"/>
    <mergeCell ref="G487:H487"/>
    <mergeCell ref="G488:H488"/>
    <mergeCell ref="G489:H489"/>
    <mergeCell ref="G490:H490"/>
    <mergeCell ref="E491:E496"/>
    <mergeCell ref="G491:H491"/>
    <mergeCell ref="G492:H492"/>
    <mergeCell ref="G493:H493"/>
    <mergeCell ref="G494:H494"/>
    <mergeCell ref="G495:H495"/>
    <mergeCell ref="G496:H496"/>
    <mergeCell ref="B473:B484"/>
    <mergeCell ref="C473:C484"/>
    <mergeCell ref="E473:E478"/>
    <mergeCell ref="G473:H473"/>
    <mergeCell ref="G474:H474"/>
    <mergeCell ref="G475:H475"/>
    <mergeCell ref="G476:H476"/>
    <mergeCell ref="G477:H477"/>
    <mergeCell ref="G478:H478"/>
    <mergeCell ref="E479:E484"/>
    <mergeCell ref="G479:H479"/>
    <mergeCell ref="G480:H480"/>
    <mergeCell ref="G481:H481"/>
    <mergeCell ref="G482:H482"/>
    <mergeCell ref="G483:H483"/>
    <mergeCell ref="G484:H484"/>
    <mergeCell ref="B461:B472"/>
    <mergeCell ref="C461:C472"/>
    <mergeCell ref="E461:E466"/>
    <mergeCell ref="G461:H461"/>
    <mergeCell ref="G462:H462"/>
    <mergeCell ref="G463:H463"/>
    <mergeCell ref="G464:H464"/>
    <mergeCell ref="G465:H465"/>
    <mergeCell ref="G466:H466"/>
    <mergeCell ref="E467:E472"/>
    <mergeCell ref="G467:H467"/>
    <mergeCell ref="G468:H468"/>
    <mergeCell ref="G469:H469"/>
    <mergeCell ref="G470:H470"/>
    <mergeCell ref="G471:H471"/>
    <mergeCell ref="G472:H472"/>
    <mergeCell ref="B353:B364"/>
    <mergeCell ref="C353:C364"/>
    <mergeCell ref="E353:E358"/>
    <mergeCell ref="G353:H353"/>
    <mergeCell ref="G354:H354"/>
    <mergeCell ref="G355:H355"/>
    <mergeCell ref="G356:H356"/>
    <mergeCell ref="G357:H357"/>
    <mergeCell ref="G358:H358"/>
    <mergeCell ref="E359:E364"/>
    <mergeCell ref="G359:H359"/>
    <mergeCell ref="G360:H360"/>
    <mergeCell ref="G361:H361"/>
    <mergeCell ref="G362:H362"/>
    <mergeCell ref="G363:H363"/>
    <mergeCell ref="G364:H364"/>
    <mergeCell ref="B341:B352"/>
    <mergeCell ref="C341:C352"/>
    <mergeCell ref="E341:E346"/>
    <mergeCell ref="G341:H341"/>
    <mergeCell ref="G342:H342"/>
    <mergeCell ref="G343:H343"/>
    <mergeCell ref="G344:H344"/>
    <mergeCell ref="G345:H345"/>
    <mergeCell ref="G346:H346"/>
    <mergeCell ref="E347:E352"/>
    <mergeCell ref="G347:H347"/>
    <mergeCell ref="G348:H348"/>
    <mergeCell ref="G349:H349"/>
    <mergeCell ref="G350:H350"/>
    <mergeCell ref="G351:H351"/>
    <mergeCell ref="G352:H352"/>
    <mergeCell ref="B329:B340"/>
    <mergeCell ref="C329:C340"/>
    <mergeCell ref="E329:E334"/>
    <mergeCell ref="G329:H329"/>
    <mergeCell ref="G330:H330"/>
    <mergeCell ref="G331:H331"/>
    <mergeCell ref="G332:H332"/>
    <mergeCell ref="G333:H333"/>
    <mergeCell ref="G334:H334"/>
    <mergeCell ref="E335:E340"/>
    <mergeCell ref="G335:H335"/>
    <mergeCell ref="G336:H336"/>
    <mergeCell ref="G337:H337"/>
    <mergeCell ref="G338:H338"/>
    <mergeCell ref="G339:H339"/>
    <mergeCell ref="G340:H340"/>
    <mergeCell ref="B317:B328"/>
    <mergeCell ref="C317:C328"/>
    <mergeCell ref="E317:E322"/>
    <mergeCell ref="G317:H317"/>
    <mergeCell ref="G318:H318"/>
    <mergeCell ref="G319:H319"/>
    <mergeCell ref="G320:H320"/>
    <mergeCell ref="G321:H321"/>
    <mergeCell ref="G322:H322"/>
    <mergeCell ref="E323:E328"/>
    <mergeCell ref="G323:H323"/>
    <mergeCell ref="G324:H324"/>
    <mergeCell ref="G325:H325"/>
    <mergeCell ref="G326:H326"/>
    <mergeCell ref="G327:H327"/>
    <mergeCell ref="G328:H328"/>
    <mergeCell ref="B305:B316"/>
    <mergeCell ref="C305:C316"/>
    <mergeCell ref="E305:E310"/>
    <mergeCell ref="G305:H305"/>
    <mergeCell ref="G306:H306"/>
    <mergeCell ref="G307:H307"/>
    <mergeCell ref="G308:H308"/>
    <mergeCell ref="G309:H309"/>
    <mergeCell ref="G310:H310"/>
    <mergeCell ref="E311:E316"/>
    <mergeCell ref="G311:H311"/>
    <mergeCell ref="G312:H312"/>
    <mergeCell ref="G313:H313"/>
    <mergeCell ref="G314:H314"/>
    <mergeCell ref="G315:H315"/>
    <mergeCell ref="G316:H316"/>
    <mergeCell ref="B269:B280"/>
    <mergeCell ref="C269:C280"/>
    <mergeCell ref="E269:E274"/>
    <mergeCell ref="G269:H269"/>
    <mergeCell ref="G270:H270"/>
    <mergeCell ref="G271:H271"/>
    <mergeCell ref="G272:H272"/>
    <mergeCell ref="G273:H273"/>
    <mergeCell ref="G274:H274"/>
    <mergeCell ref="E275:E280"/>
    <mergeCell ref="G275:H275"/>
    <mergeCell ref="G276:H276"/>
    <mergeCell ref="G277:H277"/>
    <mergeCell ref="G278:H278"/>
    <mergeCell ref="G279:H279"/>
    <mergeCell ref="G280:H280"/>
    <mergeCell ref="B257:B268"/>
    <mergeCell ref="C257:C268"/>
    <mergeCell ref="E257:E262"/>
    <mergeCell ref="G257:H257"/>
    <mergeCell ref="G258:H258"/>
    <mergeCell ref="G259:H259"/>
    <mergeCell ref="G260:H260"/>
    <mergeCell ref="G261:H261"/>
    <mergeCell ref="G262:H262"/>
    <mergeCell ref="E263:E268"/>
    <mergeCell ref="G263:H263"/>
    <mergeCell ref="G264:H264"/>
    <mergeCell ref="G265:H265"/>
    <mergeCell ref="G266:H266"/>
    <mergeCell ref="G267:H267"/>
    <mergeCell ref="G268:H268"/>
    <mergeCell ref="B245:B256"/>
    <mergeCell ref="C245:C256"/>
    <mergeCell ref="E245:E250"/>
    <mergeCell ref="G245:H245"/>
    <mergeCell ref="G246:H246"/>
    <mergeCell ref="G247:H247"/>
    <mergeCell ref="G248:H248"/>
    <mergeCell ref="G249:H249"/>
    <mergeCell ref="G250:H250"/>
    <mergeCell ref="E251:E256"/>
    <mergeCell ref="G251:H251"/>
    <mergeCell ref="G252:H252"/>
    <mergeCell ref="G253:H253"/>
    <mergeCell ref="G254:H254"/>
    <mergeCell ref="G255:H255"/>
    <mergeCell ref="G256:H256"/>
    <mergeCell ref="B233:B244"/>
    <mergeCell ref="C233:C244"/>
    <mergeCell ref="E233:E238"/>
    <mergeCell ref="G233:H233"/>
    <mergeCell ref="G234:H234"/>
    <mergeCell ref="G235:H235"/>
    <mergeCell ref="G236:H236"/>
    <mergeCell ref="G237:H237"/>
    <mergeCell ref="G238:H238"/>
    <mergeCell ref="E239:E244"/>
    <mergeCell ref="G239:H239"/>
    <mergeCell ref="G240:H240"/>
    <mergeCell ref="G241:H241"/>
    <mergeCell ref="G242:H242"/>
    <mergeCell ref="G243:H243"/>
    <mergeCell ref="G244:H244"/>
    <mergeCell ref="B221:B232"/>
    <mergeCell ref="C221:C232"/>
    <mergeCell ref="E221:E226"/>
    <mergeCell ref="G221:H221"/>
    <mergeCell ref="G222:H222"/>
    <mergeCell ref="G223:H223"/>
    <mergeCell ref="G224:H224"/>
    <mergeCell ref="G225:H225"/>
    <mergeCell ref="G226:H226"/>
    <mergeCell ref="E227:E232"/>
    <mergeCell ref="G227:H227"/>
    <mergeCell ref="G228:H228"/>
    <mergeCell ref="G229:H229"/>
    <mergeCell ref="G230:H230"/>
    <mergeCell ref="G231:H231"/>
    <mergeCell ref="G232:H232"/>
    <mergeCell ref="B209:B220"/>
    <mergeCell ref="C209:C220"/>
    <mergeCell ref="E209:E214"/>
    <mergeCell ref="G209:H209"/>
    <mergeCell ref="G210:H210"/>
    <mergeCell ref="G211:H211"/>
    <mergeCell ref="G212:H212"/>
    <mergeCell ref="G213:H213"/>
    <mergeCell ref="G214:H214"/>
    <mergeCell ref="E215:E220"/>
    <mergeCell ref="G215:H215"/>
    <mergeCell ref="G216:H216"/>
    <mergeCell ref="G217:H217"/>
    <mergeCell ref="G218:H218"/>
    <mergeCell ref="G219:H219"/>
    <mergeCell ref="G220:H220"/>
    <mergeCell ref="B197:B208"/>
    <mergeCell ref="C197:C208"/>
    <mergeCell ref="E197:E202"/>
    <mergeCell ref="G197:H197"/>
    <mergeCell ref="G198:H198"/>
    <mergeCell ref="G199:H199"/>
    <mergeCell ref="G200:H200"/>
    <mergeCell ref="G201:H201"/>
    <mergeCell ref="G202:H202"/>
    <mergeCell ref="E203:E208"/>
    <mergeCell ref="G203:H203"/>
    <mergeCell ref="G204:H204"/>
    <mergeCell ref="G205:H205"/>
    <mergeCell ref="G206:H206"/>
    <mergeCell ref="G207:H207"/>
    <mergeCell ref="G208:H208"/>
    <mergeCell ref="B185:B196"/>
    <mergeCell ref="C185:C196"/>
    <mergeCell ref="E185:E190"/>
    <mergeCell ref="G185:H185"/>
    <mergeCell ref="G186:H186"/>
    <mergeCell ref="G187:H187"/>
    <mergeCell ref="G188:H188"/>
    <mergeCell ref="G189:H189"/>
    <mergeCell ref="G190:H190"/>
    <mergeCell ref="E191:E196"/>
    <mergeCell ref="G191:H191"/>
    <mergeCell ref="G192:H192"/>
    <mergeCell ref="G193:H193"/>
    <mergeCell ref="G194:H194"/>
    <mergeCell ref="G195:H195"/>
    <mergeCell ref="G196:H196"/>
    <mergeCell ref="B2:U2"/>
    <mergeCell ref="S14:U14"/>
    <mergeCell ref="B8:U8"/>
    <mergeCell ref="B4:U4"/>
    <mergeCell ref="E113:E118"/>
    <mergeCell ref="C113:C124"/>
    <mergeCell ref="C101:C112"/>
    <mergeCell ref="E119:E124"/>
    <mergeCell ref="E125:E130"/>
    <mergeCell ref="B65:B76"/>
    <mergeCell ref="B53:B64"/>
    <mergeCell ref="E53:E58"/>
    <mergeCell ref="E59:E64"/>
    <mergeCell ref="B125:B136"/>
    <mergeCell ref="B113:B124"/>
    <mergeCell ref="B101:B112"/>
    <mergeCell ref="B89:B100"/>
    <mergeCell ref="B77:B88"/>
    <mergeCell ref="C125:C136"/>
    <mergeCell ref="E65:E70"/>
    <mergeCell ref="E71:E76"/>
    <mergeCell ref="E77:E82"/>
    <mergeCell ref="C77:C88"/>
    <mergeCell ref="C65:C76"/>
    <mergeCell ref="E83:E88"/>
    <mergeCell ref="E89:E94"/>
    <mergeCell ref="E95:E100"/>
    <mergeCell ref="C89:C100"/>
    <mergeCell ref="E101:E106"/>
    <mergeCell ref="E107:E112"/>
    <mergeCell ref="E131:E136"/>
    <mergeCell ref="C53:C64"/>
    <mergeCell ref="F15:F16"/>
    <mergeCell ref="E41:E46"/>
    <mergeCell ref="C41:C52"/>
    <mergeCell ref="E47:E52"/>
    <mergeCell ref="K15:S15"/>
    <mergeCell ref="T15:U15"/>
    <mergeCell ref="I15:J15"/>
    <mergeCell ref="E17:E22"/>
    <mergeCell ref="D15:D16"/>
    <mergeCell ref="G29:H29"/>
    <mergeCell ref="B17:B28"/>
    <mergeCell ref="C17:C28"/>
    <mergeCell ref="E23:E28"/>
    <mergeCell ref="B15:B16"/>
    <mergeCell ref="C15:C16"/>
    <mergeCell ref="E15:E16"/>
    <mergeCell ref="B29:B40"/>
    <mergeCell ref="C29:C40"/>
    <mergeCell ref="E29:E34"/>
    <mergeCell ref="E35:E40"/>
    <mergeCell ref="G35:H35"/>
    <mergeCell ref="G36:H36"/>
    <mergeCell ref="G37:H37"/>
    <mergeCell ref="G38:H38"/>
    <mergeCell ref="G39:H39"/>
    <mergeCell ref="B41:B52"/>
    <mergeCell ref="G30:H30"/>
    <mergeCell ref="G31:H31"/>
    <mergeCell ref="G32:H32"/>
    <mergeCell ref="G33:H33"/>
    <mergeCell ref="G34:H34"/>
    <mergeCell ref="G15:H16"/>
    <mergeCell ref="G17:H17"/>
    <mergeCell ref="G18:H18"/>
    <mergeCell ref="G19:H19"/>
    <mergeCell ref="G20:H20"/>
    <mergeCell ref="G21:H21"/>
    <mergeCell ref="G22:H22"/>
    <mergeCell ref="G23:H23"/>
    <mergeCell ref="G24:H24"/>
    <mergeCell ref="G25:H25"/>
    <mergeCell ref="G26:H26"/>
    <mergeCell ref="G27:H27"/>
    <mergeCell ref="G28:H28"/>
    <mergeCell ref="G40:H40"/>
    <mergeCell ref="G41:H41"/>
    <mergeCell ref="G42:H42"/>
    <mergeCell ref="G43:H43"/>
    <mergeCell ref="G44:H44"/>
    <mergeCell ref="G50:H50"/>
    <mergeCell ref="G51:H51"/>
    <mergeCell ref="G52:H52"/>
    <mergeCell ref="G53:H53"/>
    <mergeCell ref="G54:H54"/>
    <mergeCell ref="G45:H45"/>
    <mergeCell ref="G46:H46"/>
    <mergeCell ref="G47:H47"/>
    <mergeCell ref="G48:H48"/>
    <mergeCell ref="G49:H49"/>
    <mergeCell ref="G60:H60"/>
    <mergeCell ref="G61:H61"/>
    <mergeCell ref="G62:H62"/>
    <mergeCell ref="G63:H63"/>
    <mergeCell ref="G64:H64"/>
    <mergeCell ref="G55:H55"/>
    <mergeCell ref="G56:H56"/>
    <mergeCell ref="G57:H57"/>
    <mergeCell ref="G58:H58"/>
    <mergeCell ref="G59:H59"/>
    <mergeCell ref="G70:H70"/>
    <mergeCell ref="G71:H71"/>
    <mergeCell ref="G72:H72"/>
    <mergeCell ref="G73:H73"/>
    <mergeCell ref="G74:H74"/>
    <mergeCell ref="G65:H65"/>
    <mergeCell ref="G66:H66"/>
    <mergeCell ref="G67:H67"/>
    <mergeCell ref="G68:H68"/>
    <mergeCell ref="G69:H69"/>
    <mergeCell ref="G80:H80"/>
    <mergeCell ref="G81:H81"/>
    <mergeCell ref="G82:H82"/>
    <mergeCell ref="G83:H83"/>
    <mergeCell ref="G84:H84"/>
    <mergeCell ref="G75:H75"/>
    <mergeCell ref="G76:H76"/>
    <mergeCell ref="G77:H77"/>
    <mergeCell ref="G78:H78"/>
    <mergeCell ref="G79:H79"/>
    <mergeCell ref="G90:H90"/>
    <mergeCell ref="G91:H91"/>
    <mergeCell ref="G92:H92"/>
    <mergeCell ref="G93:H93"/>
    <mergeCell ref="G94:H94"/>
    <mergeCell ref="G85:H85"/>
    <mergeCell ref="G86:H86"/>
    <mergeCell ref="G87:H87"/>
    <mergeCell ref="G88:H88"/>
    <mergeCell ref="G89:H89"/>
    <mergeCell ref="G100:H100"/>
    <mergeCell ref="G101:H101"/>
    <mergeCell ref="G102:H102"/>
    <mergeCell ref="G103:H103"/>
    <mergeCell ref="G104:H104"/>
    <mergeCell ref="G95:H95"/>
    <mergeCell ref="G96:H96"/>
    <mergeCell ref="G97:H97"/>
    <mergeCell ref="G98:H98"/>
    <mergeCell ref="G99:H99"/>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35:H135"/>
    <mergeCell ref="G136:H136"/>
    <mergeCell ref="M6:U6"/>
    <mergeCell ref="M7:U7"/>
    <mergeCell ref="D6:J6"/>
    <mergeCell ref="D7:K7"/>
    <mergeCell ref="B13:U13"/>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47:H147"/>
    <mergeCell ref="G148:H148"/>
    <mergeCell ref="B137:B148"/>
    <mergeCell ref="C137:C148"/>
    <mergeCell ref="E137:E142"/>
    <mergeCell ref="G137:H137"/>
    <mergeCell ref="G138:H138"/>
    <mergeCell ref="G139:H139"/>
    <mergeCell ref="G140:H140"/>
    <mergeCell ref="G141:H141"/>
    <mergeCell ref="G142:H142"/>
    <mergeCell ref="E143:E148"/>
    <mergeCell ref="G143:H143"/>
    <mergeCell ref="G144:H144"/>
    <mergeCell ref="G145:H145"/>
    <mergeCell ref="G146:H146"/>
    <mergeCell ref="B149:B160"/>
    <mergeCell ref="C149:C160"/>
    <mergeCell ref="E149:E154"/>
    <mergeCell ref="G149:H149"/>
    <mergeCell ref="G150:H150"/>
    <mergeCell ref="G151:H151"/>
    <mergeCell ref="G152:H152"/>
    <mergeCell ref="G153:H153"/>
    <mergeCell ref="G154:H154"/>
    <mergeCell ref="E155:E160"/>
    <mergeCell ref="G155:H155"/>
    <mergeCell ref="G156:H156"/>
    <mergeCell ref="G157:H157"/>
    <mergeCell ref="G158:H158"/>
    <mergeCell ref="G159:H159"/>
    <mergeCell ref="G160:H160"/>
    <mergeCell ref="B161:B172"/>
    <mergeCell ref="C161:C172"/>
    <mergeCell ref="E161:E166"/>
    <mergeCell ref="G161:H161"/>
    <mergeCell ref="G162:H162"/>
    <mergeCell ref="G163:H163"/>
    <mergeCell ref="G164:H164"/>
    <mergeCell ref="G165:H165"/>
    <mergeCell ref="G166:H166"/>
    <mergeCell ref="E167:E172"/>
    <mergeCell ref="G167:H167"/>
    <mergeCell ref="G168:H168"/>
    <mergeCell ref="G169:H169"/>
    <mergeCell ref="G170:H170"/>
    <mergeCell ref="G171:H171"/>
    <mergeCell ref="G172:H172"/>
    <mergeCell ref="B173:B184"/>
    <mergeCell ref="C173:C184"/>
    <mergeCell ref="E173:E178"/>
    <mergeCell ref="G173:H173"/>
    <mergeCell ref="G174:H174"/>
    <mergeCell ref="G175:H175"/>
    <mergeCell ref="G176:H176"/>
    <mergeCell ref="G177:H177"/>
    <mergeCell ref="G178:H178"/>
    <mergeCell ref="E179:E184"/>
    <mergeCell ref="G179:H179"/>
    <mergeCell ref="G180:H180"/>
    <mergeCell ref="G181:H181"/>
    <mergeCell ref="G182:H182"/>
    <mergeCell ref="G183:H183"/>
    <mergeCell ref="G184:H184"/>
    <mergeCell ref="B281:B292"/>
    <mergeCell ref="C281:C292"/>
    <mergeCell ref="E281:E286"/>
    <mergeCell ref="G281:H281"/>
    <mergeCell ref="G282:H282"/>
    <mergeCell ref="G283:H283"/>
    <mergeCell ref="G284:H284"/>
    <mergeCell ref="G285:H285"/>
    <mergeCell ref="G286:H286"/>
    <mergeCell ref="E287:E292"/>
    <mergeCell ref="G287:H287"/>
    <mergeCell ref="G288:H288"/>
    <mergeCell ref="G289:H289"/>
    <mergeCell ref="G290:H290"/>
    <mergeCell ref="G291:H291"/>
    <mergeCell ref="G292:H292"/>
    <mergeCell ref="B293:B304"/>
    <mergeCell ref="C293:C304"/>
    <mergeCell ref="E293:E298"/>
    <mergeCell ref="G293:H293"/>
    <mergeCell ref="G294:H294"/>
    <mergeCell ref="G295:H295"/>
    <mergeCell ref="G296:H296"/>
    <mergeCell ref="G297:H297"/>
    <mergeCell ref="G298:H298"/>
    <mergeCell ref="E299:E304"/>
    <mergeCell ref="G299:H299"/>
    <mergeCell ref="G300:H300"/>
    <mergeCell ref="G301:H301"/>
    <mergeCell ref="G302:H302"/>
    <mergeCell ref="G303:H303"/>
    <mergeCell ref="G304:H304"/>
    <mergeCell ref="B365:B376"/>
    <mergeCell ref="C365:C376"/>
    <mergeCell ref="E365:E370"/>
    <mergeCell ref="G365:H365"/>
    <mergeCell ref="G366:H366"/>
    <mergeCell ref="G367:H367"/>
    <mergeCell ref="G368:H368"/>
    <mergeCell ref="G369:H369"/>
    <mergeCell ref="G370:H370"/>
    <mergeCell ref="E371:E376"/>
    <mergeCell ref="G371:H371"/>
    <mergeCell ref="G372:H372"/>
    <mergeCell ref="G373:H373"/>
    <mergeCell ref="G374:H374"/>
    <mergeCell ref="G375:H375"/>
    <mergeCell ref="G376:H376"/>
    <mergeCell ref="B377:B388"/>
    <mergeCell ref="C377:C388"/>
    <mergeCell ref="E377:E382"/>
    <mergeCell ref="G377:H377"/>
    <mergeCell ref="G378:H378"/>
    <mergeCell ref="G379:H379"/>
    <mergeCell ref="G380:H380"/>
    <mergeCell ref="G381:H381"/>
    <mergeCell ref="G382:H382"/>
    <mergeCell ref="E383:E388"/>
    <mergeCell ref="G383:H383"/>
    <mergeCell ref="G384:H384"/>
    <mergeCell ref="G385:H385"/>
    <mergeCell ref="G386:H386"/>
    <mergeCell ref="G387:H387"/>
    <mergeCell ref="G388:H388"/>
    <mergeCell ref="B389:B400"/>
    <mergeCell ref="C389:C400"/>
    <mergeCell ref="E389:E394"/>
    <mergeCell ref="G389:H389"/>
    <mergeCell ref="G390:H390"/>
    <mergeCell ref="G391:H391"/>
    <mergeCell ref="G392:H392"/>
    <mergeCell ref="G393:H393"/>
    <mergeCell ref="G394:H394"/>
    <mergeCell ref="E395:E400"/>
    <mergeCell ref="G395:H395"/>
    <mergeCell ref="G396:H396"/>
    <mergeCell ref="G397:H397"/>
    <mergeCell ref="G398:H398"/>
    <mergeCell ref="G399:H399"/>
    <mergeCell ref="G400:H400"/>
    <mergeCell ref="B401:B412"/>
    <mergeCell ref="C401:C412"/>
    <mergeCell ref="E401:E406"/>
    <mergeCell ref="G401:H401"/>
    <mergeCell ref="G402:H402"/>
    <mergeCell ref="G403:H403"/>
    <mergeCell ref="G404:H404"/>
    <mergeCell ref="G405:H405"/>
    <mergeCell ref="G406:H406"/>
    <mergeCell ref="E407:E412"/>
    <mergeCell ref="G407:H407"/>
    <mergeCell ref="G408:H408"/>
    <mergeCell ref="G409:H409"/>
    <mergeCell ref="G410:H410"/>
    <mergeCell ref="G411:H411"/>
    <mergeCell ref="G412:H412"/>
    <mergeCell ref="B413:B424"/>
    <mergeCell ref="C413:C424"/>
    <mergeCell ref="E413:E418"/>
    <mergeCell ref="G413:H413"/>
    <mergeCell ref="G414:H414"/>
    <mergeCell ref="G415:H415"/>
    <mergeCell ref="G416:H416"/>
    <mergeCell ref="G417:H417"/>
    <mergeCell ref="G418:H418"/>
    <mergeCell ref="E419:E424"/>
    <mergeCell ref="G419:H419"/>
    <mergeCell ref="G420:H420"/>
    <mergeCell ref="G421:H421"/>
    <mergeCell ref="G422:H422"/>
    <mergeCell ref="G423:H423"/>
    <mergeCell ref="G424:H424"/>
    <mergeCell ref="B425:B436"/>
    <mergeCell ref="C425:C436"/>
    <mergeCell ref="E425:E430"/>
    <mergeCell ref="G425:H425"/>
    <mergeCell ref="G426:H426"/>
    <mergeCell ref="G427:H427"/>
    <mergeCell ref="G428:H428"/>
    <mergeCell ref="G429:H429"/>
    <mergeCell ref="G430:H430"/>
    <mergeCell ref="E431:E436"/>
    <mergeCell ref="G431:H431"/>
    <mergeCell ref="G432:H432"/>
    <mergeCell ref="G433:H433"/>
    <mergeCell ref="G434:H434"/>
    <mergeCell ref="G435:H435"/>
    <mergeCell ref="G436:H436"/>
    <mergeCell ref="B437:B448"/>
    <mergeCell ref="C437:C448"/>
    <mergeCell ref="E437:E442"/>
    <mergeCell ref="G437:H437"/>
    <mergeCell ref="G438:H438"/>
    <mergeCell ref="G439:H439"/>
    <mergeCell ref="G440:H440"/>
    <mergeCell ref="G441:H441"/>
    <mergeCell ref="G442:H442"/>
    <mergeCell ref="E443:E448"/>
    <mergeCell ref="G443:H443"/>
    <mergeCell ref="G444:H444"/>
    <mergeCell ref="G445:H445"/>
    <mergeCell ref="G446:H446"/>
    <mergeCell ref="G447:H447"/>
    <mergeCell ref="G448:H448"/>
    <mergeCell ref="B449:B460"/>
    <mergeCell ref="C449:C460"/>
    <mergeCell ref="E449:E454"/>
    <mergeCell ref="G449:H449"/>
    <mergeCell ref="G450:H450"/>
    <mergeCell ref="G451:H451"/>
    <mergeCell ref="G452:H452"/>
    <mergeCell ref="G453:H453"/>
    <mergeCell ref="G454:H454"/>
    <mergeCell ref="E455:E460"/>
    <mergeCell ref="G455:H455"/>
    <mergeCell ref="G456:H456"/>
    <mergeCell ref="G457:H457"/>
    <mergeCell ref="G458:H458"/>
    <mergeCell ref="G459:H459"/>
    <mergeCell ref="G460:H460"/>
  </mergeCells>
  <phoneticPr fontId="1" type="noConversion"/>
  <dataValidations count="6">
    <dataValidation type="list" allowBlank="1" showInputMessage="1" showErrorMessage="1" sqref="E17 E23 E29 E41 E53 E65 E77 E89 E101 E113 E125 E137 E35 E47 E59 E71 E83 E95 E107 E119 E131 E143 E149 E155 E161 E167 E173 E179 E185 E191 E197 E203 E209 E215 E221 E227 E233 E239 E245 E251 E257 E263 E269 E275 E281 E287 E293 E299 E305 E311 E317 E323 E329 E335 E341 E347 E353 E359 E365 E371 E377 E383 E389 E395 E401 E407 E413 E419 E425 E431 E437 E443 E449 E455 E461 E467 E473 E479 E485 E491 E497 E503" xr:uid="{7280530E-5B8D-4438-B3BD-789763083C72}">
      <formula1>$X$22:$X$23</formula1>
    </dataValidation>
    <dataValidation type="list" allowBlank="1" showInputMessage="1" showErrorMessage="1" sqref="C29 C125 C17 C101 C53 C77 C65 C89 C113 C41 C137 C149 C161 C173 C185 C197 C209 C221 C233 C245 C257 C269 C281 C293 C305 C317 C329 C341 C353 C365 C377 C389 C401 C413 C425 C437 C449 C461 C473 C485 C497" xr:uid="{F1EE940D-722D-49C3-AED8-65AAA48A203D}">
      <formula1>$X$17:$X$21</formula1>
    </dataValidation>
    <dataValidation type="list" allowBlank="1" showInputMessage="1" showErrorMessage="1" sqref="C6" xr:uid="{6C6BE52D-388A-44ED-8B9B-93682A7F6DD3}">
      <formula1>$X$2:$X$7</formula1>
    </dataValidation>
    <dataValidation type="list" allowBlank="1" showInputMessage="1" showErrorMessage="1" sqref="G17:G34 G41:G46 G53:G58 G65:G70 G149:G154 G89:G94 G77:G82 G101:G106 G125:G130 G113:G118 G137:G142 G161:G166 G173:G178 G185:G190 G197:G202 G209:G214 G221:G226 G233:G238 G245:G250 G257:G262 G269:G274 G281:G286 G293:G298 G305:G310 G317:G322 G329:G334 G341:G346 G353:G358 G365:G370 G377:G382 G389:G394 G401:G406 G413:G418 G425:G430 G437:G442 G449:G454 G461:G466 G497:G502 G485:G490 G473:G478" xr:uid="{2F19E784-04BF-4E24-BE04-CB9AC5210FA1}">
      <formula1>$C$11:$S$11</formula1>
    </dataValidation>
    <dataValidation type="list" allowBlank="1" showInputMessage="1" showErrorMessage="1" sqref="D17:D508" xr:uid="{AB6E02A6-3DF0-4EDE-8381-A768F6272CD3}">
      <formula1>$Z$21:$Z$61</formula1>
    </dataValidation>
    <dataValidation type="list" allowBlank="1" showInputMessage="1" showErrorMessage="1" sqref="G35:H40 G47:H52 G59:H64 G71:H76 G155:H160 G95:H100 G83:H88 G119:H124 G131:H136 G107:H112 G143:H148 G167:H172 G179:H184 G215:H220 G191:H196 G203:H208 G239:H244 G227:H232 G251:H256 G275:H280 G263:H268 G287:H292 G299:H304 G311:H316 G323:H328 G335:H340 G347:H352 G359:H364 G371:H376 G383:H388 G395:H400 G407:H412 G419:H424 G431:H436 G443:H448 G455:H460 G467:H472 G479:H484 G491:H496 G503:H508" xr:uid="{C28E6288-565C-4B22-9955-C46161504448}">
      <formula1>$C$12:$S$12</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25EB3-9678-42C3-8315-9CCE4CF12B97}">
  <dimension ref="B1:AU496"/>
  <sheetViews>
    <sheetView zoomScale="62" zoomScaleNormal="62" workbookViewId="0">
      <pane ySplit="16" topLeftCell="A476" activePane="bottomLeft" state="frozenSplit"/>
      <selection pane="bottomLeft" activeCell="F482" sqref="F482"/>
    </sheetView>
  </sheetViews>
  <sheetFormatPr defaultColWidth="8.7109375" defaultRowHeight="13.5"/>
  <cols>
    <col min="1" max="1" width="4.140625" style="1" customWidth="1"/>
    <col min="2" max="2" width="16.42578125" style="1" bestFit="1" customWidth="1"/>
    <col min="3" max="3" width="17.42578125" style="1" bestFit="1" customWidth="1"/>
    <col min="4" max="4" width="17.42578125" style="1" customWidth="1"/>
    <col min="5" max="5" width="14.5703125" style="2" customWidth="1"/>
    <col min="6" max="19" width="14.5703125" style="1" customWidth="1"/>
    <col min="20" max="20" width="14.7109375" style="1" hidden="1" customWidth="1"/>
    <col min="21" max="21" width="23.5703125" style="1" customWidth="1"/>
    <col min="22" max="22" width="67.42578125" style="1" customWidth="1"/>
    <col min="23" max="23" width="8.7109375" style="1"/>
    <col min="24" max="24" width="17.42578125" style="1" customWidth="1"/>
    <col min="25" max="25" width="8.7109375" style="1" customWidth="1"/>
    <col min="26" max="26" width="21.85546875" style="1" bestFit="1" customWidth="1"/>
    <col min="27" max="47" width="14.5703125" style="1" customWidth="1"/>
    <col min="48" max="16384" width="8.7109375" style="1"/>
  </cols>
  <sheetData>
    <row r="1" spans="2:47" ht="6" customHeight="1"/>
    <row r="2" spans="2:47" ht="35.25">
      <c r="B2" s="91" t="s">
        <v>31</v>
      </c>
      <c r="C2" s="91"/>
      <c r="D2" s="91"/>
      <c r="E2" s="91"/>
      <c r="F2" s="91"/>
      <c r="G2" s="91"/>
      <c r="H2" s="91"/>
      <c r="I2" s="91"/>
      <c r="J2" s="91"/>
      <c r="K2" s="91"/>
      <c r="L2" s="91"/>
      <c r="M2" s="91"/>
      <c r="N2" s="91"/>
      <c r="O2" s="91"/>
      <c r="P2" s="91"/>
      <c r="Q2" s="91"/>
      <c r="R2" s="91"/>
      <c r="S2" s="91"/>
      <c r="T2" s="91"/>
      <c r="U2" s="91"/>
      <c r="V2" s="24"/>
      <c r="W2" s="24"/>
      <c r="X2" s="1" t="s">
        <v>13</v>
      </c>
    </row>
    <row r="3" spans="2:47" ht="15.95" customHeight="1">
      <c r="B3" s="18"/>
      <c r="C3" s="18"/>
      <c r="D3" s="18"/>
      <c r="E3" s="18"/>
      <c r="F3" s="18"/>
      <c r="G3" s="18"/>
      <c r="H3" s="18"/>
      <c r="I3" s="18"/>
      <c r="J3" s="18"/>
      <c r="K3" s="18"/>
      <c r="L3" s="18"/>
      <c r="M3" s="18"/>
      <c r="N3" s="18"/>
      <c r="O3" s="18"/>
      <c r="P3" s="18"/>
      <c r="Q3" s="18"/>
      <c r="R3" s="18"/>
      <c r="S3" s="18"/>
      <c r="T3" s="18"/>
      <c r="U3" s="18"/>
      <c r="V3" s="24"/>
      <c r="W3" s="24"/>
      <c r="X3" s="1" t="s">
        <v>36</v>
      </c>
      <c r="Y3" s="24"/>
      <c r="Z3" s="24"/>
      <c r="AA3" s="24"/>
      <c r="AB3" s="24"/>
      <c r="AC3" s="24"/>
      <c r="AD3" s="24"/>
      <c r="AE3" s="24"/>
      <c r="AF3" s="24"/>
      <c r="AG3" s="24"/>
      <c r="AH3" s="24"/>
      <c r="AI3" s="24"/>
      <c r="AJ3" s="24"/>
      <c r="AK3" s="24"/>
      <c r="AL3" s="24"/>
      <c r="AM3" s="24"/>
      <c r="AN3" s="24"/>
      <c r="AO3" s="24"/>
      <c r="AP3" s="24"/>
      <c r="AQ3" s="24"/>
      <c r="AR3" s="24"/>
      <c r="AS3" s="24"/>
      <c r="AT3" s="24"/>
      <c r="AU3" s="24"/>
    </row>
    <row r="4" spans="2:47" ht="22.5">
      <c r="B4" s="94" t="s">
        <v>92</v>
      </c>
      <c r="C4" s="94"/>
      <c r="D4" s="94"/>
      <c r="E4" s="94"/>
      <c r="F4" s="94"/>
      <c r="G4" s="94"/>
      <c r="H4" s="94"/>
      <c r="I4" s="94"/>
      <c r="J4" s="94"/>
      <c r="K4" s="94"/>
      <c r="L4" s="94"/>
      <c r="M4" s="94"/>
      <c r="N4" s="94"/>
      <c r="O4" s="94"/>
      <c r="P4" s="94"/>
      <c r="Q4" s="94"/>
      <c r="R4" s="94"/>
      <c r="S4" s="94"/>
      <c r="T4" s="94"/>
      <c r="U4" s="94"/>
      <c r="V4" s="24"/>
      <c r="W4" s="24"/>
      <c r="X4" s="1" t="s">
        <v>34</v>
      </c>
      <c r="Y4" s="24"/>
      <c r="Z4" s="24"/>
      <c r="AA4" s="24"/>
      <c r="AB4" s="24"/>
      <c r="AC4" s="24"/>
      <c r="AD4" s="24"/>
      <c r="AE4" s="24"/>
      <c r="AF4" s="24"/>
      <c r="AG4" s="24"/>
      <c r="AH4" s="24"/>
      <c r="AI4" s="24"/>
      <c r="AJ4" s="24"/>
      <c r="AK4" s="24"/>
      <c r="AL4" s="24"/>
      <c r="AM4" s="24"/>
      <c r="AN4" s="24"/>
      <c r="AO4" s="24"/>
      <c r="AP4" s="24"/>
      <c r="AQ4" s="24"/>
      <c r="AR4" s="24"/>
      <c r="AS4" s="24"/>
      <c r="AT4" s="24"/>
      <c r="AU4" s="24"/>
    </row>
    <row r="5" spans="2:47" ht="11.45" customHeight="1">
      <c r="G5" s="3"/>
      <c r="H5" s="3"/>
      <c r="I5" s="3"/>
      <c r="J5" s="3"/>
      <c r="K5" s="3"/>
      <c r="L5" s="3"/>
      <c r="M5" s="3"/>
      <c r="N5" s="3"/>
      <c r="O5" s="3"/>
      <c r="P5" s="3"/>
      <c r="Q5" s="3"/>
      <c r="R5" s="3"/>
      <c r="S5" s="3"/>
      <c r="T5" s="3"/>
      <c r="U5" s="3"/>
      <c r="V5" s="24"/>
      <c r="W5" s="24"/>
      <c r="X5" s="1" t="s">
        <v>35</v>
      </c>
      <c r="Y5" s="24"/>
      <c r="Z5" s="24"/>
      <c r="AA5" s="24"/>
      <c r="AB5" s="24"/>
      <c r="AC5" s="24"/>
      <c r="AD5" s="24"/>
      <c r="AE5" s="24"/>
      <c r="AF5" s="24"/>
      <c r="AG5" s="24"/>
      <c r="AH5" s="24"/>
      <c r="AI5" s="24"/>
      <c r="AJ5" s="24"/>
      <c r="AK5" s="24"/>
      <c r="AL5" s="24"/>
      <c r="AM5" s="24"/>
      <c r="AN5" s="24"/>
      <c r="AO5" s="24"/>
      <c r="AP5" s="24"/>
      <c r="AQ5" s="24"/>
      <c r="AR5" s="24"/>
      <c r="AS5" s="24"/>
      <c r="AT5" s="24"/>
      <c r="AU5" s="24"/>
    </row>
    <row r="6" spans="2:47" ht="24" customHeight="1">
      <c r="B6" s="17" t="s">
        <v>10</v>
      </c>
      <c r="C6" s="42" t="s">
        <v>13</v>
      </c>
      <c r="D6" s="73" t="s">
        <v>91</v>
      </c>
      <c r="E6" s="71"/>
      <c r="F6" s="71"/>
      <c r="G6" s="71"/>
      <c r="H6" s="71"/>
      <c r="I6" s="71"/>
      <c r="J6" s="71"/>
      <c r="K6" s="47"/>
      <c r="L6" s="48" t="s">
        <v>96</v>
      </c>
      <c r="M6" s="70" t="s">
        <v>89</v>
      </c>
      <c r="N6" s="71"/>
      <c r="O6" s="71"/>
      <c r="P6" s="71"/>
      <c r="Q6" s="71"/>
      <c r="R6" s="71"/>
      <c r="S6" s="71"/>
      <c r="T6" s="71"/>
      <c r="U6" s="71"/>
      <c r="V6" s="24"/>
      <c r="W6" s="24"/>
      <c r="X6" s="1" t="s">
        <v>20</v>
      </c>
      <c r="Y6" s="24"/>
      <c r="Z6" s="24"/>
      <c r="AA6" s="24"/>
      <c r="AB6" s="24"/>
      <c r="AC6" s="24"/>
      <c r="AD6" s="24"/>
      <c r="AE6" s="24"/>
      <c r="AF6" s="24"/>
      <c r="AG6" s="24"/>
      <c r="AH6" s="24"/>
      <c r="AI6" s="24"/>
      <c r="AJ6" s="24"/>
      <c r="AK6" s="24"/>
      <c r="AL6" s="24"/>
      <c r="AM6" s="24"/>
      <c r="AN6" s="24"/>
      <c r="AO6" s="24"/>
      <c r="AP6" s="24"/>
      <c r="AQ6" s="24"/>
      <c r="AR6" s="24"/>
      <c r="AS6" s="24"/>
      <c r="AT6" s="24"/>
      <c r="AU6" s="24"/>
    </row>
    <row r="7" spans="2:47" ht="24.95" customHeight="1">
      <c r="C7" s="3"/>
      <c r="D7" s="72" t="s">
        <v>94</v>
      </c>
      <c r="E7" s="72"/>
      <c r="F7" s="72"/>
      <c r="G7" s="72"/>
      <c r="H7" s="72"/>
      <c r="I7" s="72"/>
      <c r="J7" s="72"/>
      <c r="K7" s="72"/>
      <c r="L7" s="3"/>
      <c r="M7" s="72" t="s">
        <v>90</v>
      </c>
      <c r="N7" s="72"/>
      <c r="O7" s="72"/>
      <c r="P7" s="72"/>
      <c r="Q7" s="72"/>
      <c r="R7" s="72"/>
      <c r="S7" s="72"/>
      <c r="T7" s="72"/>
      <c r="U7" s="72"/>
      <c r="V7" s="24"/>
      <c r="W7" s="24"/>
      <c r="Y7" s="24"/>
      <c r="Z7" s="24"/>
      <c r="AA7" s="24"/>
      <c r="AB7" s="24"/>
      <c r="AC7" s="24"/>
      <c r="AD7" s="24"/>
      <c r="AE7" s="24"/>
      <c r="AF7" s="24"/>
      <c r="AG7" s="24"/>
      <c r="AH7" s="24"/>
      <c r="AI7" s="24"/>
      <c r="AJ7" s="24"/>
      <c r="AK7" s="24"/>
      <c r="AL7" s="24"/>
      <c r="AM7" s="24"/>
      <c r="AN7" s="24"/>
      <c r="AO7" s="24"/>
      <c r="AP7" s="24"/>
      <c r="AQ7" s="24"/>
      <c r="AR7" s="24"/>
      <c r="AS7" s="24"/>
      <c r="AT7" s="24"/>
      <c r="AU7" s="24"/>
    </row>
    <row r="8" spans="2:47" ht="22.5">
      <c r="B8" s="93" t="s">
        <v>93</v>
      </c>
      <c r="C8" s="94"/>
      <c r="D8" s="94"/>
      <c r="E8" s="94"/>
      <c r="F8" s="94"/>
      <c r="G8" s="94"/>
      <c r="H8" s="94"/>
      <c r="I8" s="94"/>
      <c r="J8" s="94"/>
      <c r="K8" s="94"/>
      <c r="L8" s="94"/>
      <c r="M8" s="94"/>
      <c r="N8" s="94"/>
      <c r="O8" s="94"/>
      <c r="P8" s="94"/>
      <c r="Q8" s="94"/>
      <c r="R8" s="94"/>
      <c r="S8" s="94"/>
      <c r="T8" s="94"/>
      <c r="U8" s="94"/>
      <c r="V8" s="24"/>
      <c r="W8" s="24"/>
      <c r="Y8" s="24"/>
      <c r="Z8" s="24"/>
      <c r="AA8" s="24"/>
      <c r="AB8" s="24"/>
      <c r="AC8" s="24"/>
      <c r="AD8" s="24"/>
      <c r="AE8" s="24"/>
      <c r="AF8" s="24"/>
      <c r="AG8" s="24"/>
      <c r="AH8" s="24"/>
      <c r="AI8" s="24"/>
      <c r="AJ8" s="24"/>
      <c r="AK8" s="24"/>
      <c r="AL8" s="24"/>
      <c r="AM8" s="24"/>
      <c r="AN8" s="24"/>
      <c r="AO8" s="24"/>
      <c r="AP8" s="24"/>
      <c r="AQ8" s="24"/>
      <c r="AR8" s="24"/>
      <c r="AS8" s="24"/>
      <c r="AT8" s="24"/>
      <c r="AU8" s="24"/>
    </row>
    <row r="9" spans="2:47" ht="8.1" customHeight="1">
      <c r="E9" s="1"/>
      <c r="AH9" s="24"/>
      <c r="AI9" s="24"/>
      <c r="AJ9" s="24"/>
      <c r="AK9" s="24"/>
      <c r="AL9" s="24"/>
      <c r="AM9" s="24"/>
      <c r="AN9" s="24"/>
      <c r="AO9" s="24"/>
      <c r="AP9" s="24"/>
      <c r="AQ9" s="24"/>
      <c r="AR9" s="24"/>
      <c r="AS9" s="24"/>
      <c r="AT9" s="24"/>
      <c r="AU9" s="24"/>
    </row>
    <row r="10" spans="2:47" ht="18.75">
      <c r="B10" s="19" t="s">
        <v>30</v>
      </c>
      <c r="C10" s="19">
        <v>1</v>
      </c>
      <c r="D10" s="20">
        <v>2</v>
      </c>
      <c r="E10" s="20">
        <v>3</v>
      </c>
      <c r="F10" s="19">
        <v>4</v>
      </c>
      <c r="G10" s="20">
        <v>5</v>
      </c>
      <c r="H10" s="20">
        <v>6</v>
      </c>
      <c r="I10" s="19">
        <v>7</v>
      </c>
      <c r="J10" s="20">
        <v>8</v>
      </c>
      <c r="K10" s="20">
        <v>9</v>
      </c>
      <c r="L10" s="19">
        <v>10</v>
      </c>
      <c r="M10" s="20">
        <v>11</v>
      </c>
      <c r="N10" s="20">
        <v>12</v>
      </c>
      <c r="O10" s="19">
        <v>13</v>
      </c>
      <c r="P10" s="20">
        <v>14</v>
      </c>
      <c r="Q10" s="20">
        <v>15</v>
      </c>
      <c r="R10" s="20">
        <v>16</v>
      </c>
      <c r="S10" s="20">
        <v>17</v>
      </c>
      <c r="T10" s="19">
        <v>16</v>
      </c>
      <c r="U10" s="20" t="s">
        <v>32</v>
      </c>
      <c r="V10" s="24"/>
      <c r="W10" s="24"/>
    </row>
    <row r="11" spans="2:47" ht="18.75">
      <c r="B11" s="29" t="s">
        <v>28</v>
      </c>
      <c r="C11" s="31" t="s">
        <v>74</v>
      </c>
      <c r="D11" s="32" t="s">
        <v>110</v>
      </c>
      <c r="E11" s="32" t="s">
        <v>75</v>
      </c>
      <c r="F11" s="32" t="s">
        <v>76</v>
      </c>
      <c r="G11" s="31" t="s">
        <v>79</v>
      </c>
      <c r="H11" s="31" t="s">
        <v>80</v>
      </c>
      <c r="I11" s="31" t="s">
        <v>103</v>
      </c>
      <c r="J11" s="31" t="s">
        <v>104</v>
      </c>
      <c r="K11" s="31" t="s">
        <v>111</v>
      </c>
      <c r="L11" s="31" t="s">
        <v>108</v>
      </c>
      <c r="M11" s="31" t="s">
        <v>109</v>
      </c>
      <c r="N11" s="31"/>
      <c r="O11" s="31"/>
      <c r="P11" s="31"/>
      <c r="Q11" s="31"/>
      <c r="R11" s="31"/>
      <c r="S11" s="31"/>
      <c r="T11" s="31"/>
      <c r="U11" s="29"/>
      <c r="V11" s="24"/>
      <c r="W11" s="24"/>
    </row>
    <row r="12" spans="2:47" ht="18.75">
      <c r="B12" s="30" t="s">
        <v>29</v>
      </c>
      <c r="C12" s="33" t="s">
        <v>84</v>
      </c>
      <c r="D12" s="33" t="s">
        <v>81</v>
      </c>
      <c r="E12" s="33" t="s">
        <v>87</v>
      </c>
      <c r="F12" s="33" t="s">
        <v>86</v>
      </c>
      <c r="G12" s="33" t="s">
        <v>85</v>
      </c>
      <c r="H12" s="33" t="s">
        <v>88</v>
      </c>
      <c r="I12" s="33" t="s">
        <v>82</v>
      </c>
      <c r="J12" s="32" t="s">
        <v>83</v>
      </c>
      <c r="K12" s="33" t="s">
        <v>105</v>
      </c>
      <c r="L12" s="33" t="s">
        <v>106</v>
      </c>
      <c r="M12" s="33"/>
      <c r="N12" s="33"/>
      <c r="O12" s="33"/>
      <c r="P12" s="33"/>
      <c r="Q12" s="33"/>
      <c r="R12" s="33"/>
      <c r="S12" s="33"/>
      <c r="T12" s="33"/>
      <c r="U12" s="30"/>
    </row>
    <row r="13" spans="2:47" ht="54.6" customHeight="1">
      <c r="B13" s="74" t="s">
        <v>95</v>
      </c>
      <c r="C13" s="74"/>
      <c r="D13" s="74"/>
      <c r="E13" s="74"/>
      <c r="F13" s="74"/>
      <c r="G13" s="74"/>
      <c r="H13" s="74"/>
      <c r="I13" s="74"/>
      <c r="J13" s="74"/>
      <c r="K13" s="74"/>
      <c r="L13" s="74"/>
      <c r="M13" s="74"/>
      <c r="N13" s="74"/>
      <c r="O13" s="74"/>
      <c r="P13" s="74"/>
      <c r="Q13" s="74"/>
      <c r="R13" s="74"/>
      <c r="S13" s="74"/>
      <c r="T13" s="74"/>
      <c r="U13" s="74"/>
    </row>
    <row r="14" spans="2:47" ht="37.5">
      <c r="B14" s="26" t="s">
        <v>33</v>
      </c>
      <c r="C14" s="25"/>
      <c r="D14" s="49" t="s">
        <v>62</v>
      </c>
      <c r="E14" s="49" t="s">
        <v>63</v>
      </c>
      <c r="F14" s="49"/>
      <c r="G14" s="49" t="s">
        <v>64</v>
      </c>
      <c r="H14" s="49"/>
      <c r="I14" s="50" t="s">
        <v>65</v>
      </c>
      <c r="J14" s="50"/>
      <c r="K14" s="50" t="s">
        <v>66</v>
      </c>
      <c r="L14" s="50" t="s">
        <v>67</v>
      </c>
      <c r="M14" s="50" t="s">
        <v>68</v>
      </c>
      <c r="N14" s="50" t="s">
        <v>69</v>
      </c>
      <c r="O14" s="50" t="s">
        <v>70</v>
      </c>
      <c r="P14" s="50" t="s">
        <v>71</v>
      </c>
      <c r="Q14" s="50" t="s">
        <v>72</v>
      </c>
      <c r="R14" s="50" t="s">
        <v>73</v>
      </c>
      <c r="S14" s="92" t="s">
        <v>97</v>
      </c>
      <c r="T14" s="92"/>
      <c r="U14" s="92"/>
    </row>
    <row r="15" spans="2:47" ht="18.75">
      <c r="B15" s="87" t="s">
        <v>6</v>
      </c>
      <c r="C15" s="87" t="s">
        <v>8</v>
      </c>
      <c r="D15" s="87" t="s">
        <v>37</v>
      </c>
      <c r="E15" s="87" t="s">
        <v>0</v>
      </c>
      <c r="F15" s="87" t="s">
        <v>7</v>
      </c>
      <c r="G15" s="76" t="s">
        <v>1</v>
      </c>
      <c r="H15" s="77"/>
      <c r="I15" s="85" t="s">
        <v>27</v>
      </c>
      <c r="J15" s="86"/>
      <c r="K15" s="82" t="s">
        <v>2</v>
      </c>
      <c r="L15" s="83"/>
      <c r="M15" s="83"/>
      <c r="N15" s="83"/>
      <c r="O15" s="83"/>
      <c r="P15" s="83"/>
      <c r="Q15" s="83"/>
      <c r="R15" s="83"/>
      <c r="S15" s="84"/>
      <c r="T15" s="82"/>
      <c r="U15" s="84"/>
    </row>
    <row r="16" spans="2:47" ht="17.45" customHeight="1">
      <c r="B16" s="88"/>
      <c r="C16" s="88"/>
      <c r="D16" s="88"/>
      <c r="E16" s="88"/>
      <c r="F16" s="88"/>
      <c r="G16" s="78"/>
      <c r="H16" s="79"/>
      <c r="I16" s="21" t="s">
        <v>26</v>
      </c>
      <c r="J16" s="21" t="s">
        <v>27</v>
      </c>
      <c r="K16" s="22" t="s">
        <v>4</v>
      </c>
      <c r="L16" s="22" t="s">
        <v>5</v>
      </c>
      <c r="M16" s="22" t="s">
        <v>19</v>
      </c>
      <c r="N16" s="22" t="s">
        <v>69</v>
      </c>
      <c r="O16" s="22" t="s">
        <v>21</v>
      </c>
      <c r="P16" s="22" t="s">
        <v>22</v>
      </c>
      <c r="Q16" s="22" t="s">
        <v>23</v>
      </c>
      <c r="R16" s="22" t="s">
        <v>20</v>
      </c>
      <c r="S16" s="22" t="s">
        <v>24</v>
      </c>
      <c r="T16" s="22" t="s">
        <v>25</v>
      </c>
      <c r="U16" s="23" t="s">
        <v>3</v>
      </c>
      <c r="W16" s="4"/>
      <c r="X16" s="4"/>
      <c r="Y16" s="4"/>
    </row>
    <row r="17" spans="2:26" ht="16.5" hidden="1" customHeight="1">
      <c r="B17" s="89">
        <v>46082</v>
      </c>
      <c r="C17" s="59" t="s">
        <v>15</v>
      </c>
      <c r="D17" s="51"/>
      <c r="E17" s="62" t="s">
        <v>101</v>
      </c>
      <c r="F17" s="5">
        <v>0.41666666666666669</v>
      </c>
      <c r="G17" s="65"/>
      <c r="H17" s="66"/>
      <c r="I17" s="34"/>
      <c r="J17" s="6" t="str">
        <f>IFERROR(S17/I17,"")</f>
        <v/>
      </c>
      <c r="K17" s="38"/>
      <c r="L17" s="38"/>
      <c r="M17" s="38"/>
      <c r="N17" s="38"/>
      <c r="O17" s="38"/>
      <c r="P17" s="38"/>
      <c r="Q17" s="38"/>
      <c r="R17" s="38"/>
      <c r="S17" s="7">
        <f>SUM(K17:R17)</f>
        <v>0</v>
      </c>
      <c r="T17" s="7">
        <v>100000</v>
      </c>
      <c r="U17" s="7">
        <f>T17*S17</f>
        <v>0</v>
      </c>
      <c r="V17" s="4"/>
      <c r="W17" s="4"/>
      <c r="X17" s="4" t="s">
        <v>14</v>
      </c>
      <c r="Y17" s="4"/>
    </row>
    <row r="18" spans="2:26" ht="18.75" hidden="1">
      <c r="B18" s="75"/>
      <c r="C18" s="60"/>
      <c r="D18" s="52"/>
      <c r="E18" s="63"/>
      <c r="F18" s="8">
        <v>0.5</v>
      </c>
      <c r="G18" s="67"/>
      <c r="H18" s="68"/>
      <c r="I18" s="35"/>
      <c r="J18" s="9" t="str">
        <f>IFERROR(S18/I18,"")</f>
        <v/>
      </c>
      <c r="K18" s="39"/>
      <c r="L18" s="39"/>
      <c r="M18" s="39"/>
      <c r="N18" s="39"/>
      <c r="O18" s="39"/>
      <c r="P18" s="39"/>
      <c r="Q18" s="39"/>
      <c r="R18" s="39"/>
      <c r="S18" s="10">
        <f t="shared" ref="S18:S28" si="0">SUM(K18:R18)</f>
        <v>0</v>
      </c>
      <c r="T18" s="10">
        <v>100000</v>
      </c>
      <c r="U18" s="10">
        <f t="shared" ref="U18:U28" si="1">T18*S18</f>
        <v>0</v>
      </c>
      <c r="V18" s="4"/>
      <c r="W18" s="4"/>
      <c r="X18" s="4" t="s">
        <v>15</v>
      </c>
      <c r="Y18" s="4"/>
    </row>
    <row r="19" spans="2:26" ht="18.75" hidden="1">
      <c r="B19" s="75"/>
      <c r="C19" s="60"/>
      <c r="D19" s="52"/>
      <c r="E19" s="63"/>
      <c r="F19" s="8">
        <v>0.58333333333333337</v>
      </c>
      <c r="G19" s="67"/>
      <c r="H19" s="68"/>
      <c r="I19" s="35"/>
      <c r="J19" s="9" t="str">
        <f t="shared" ref="J19:J82" si="2">IFERROR(S19/I19,"")</f>
        <v/>
      </c>
      <c r="K19" s="39"/>
      <c r="L19" s="39"/>
      <c r="M19" s="39"/>
      <c r="N19" s="39"/>
      <c r="O19" s="39"/>
      <c r="P19" s="39"/>
      <c r="Q19" s="39"/>
      <c r="R19" s="39"/>
      <c r="S19" s="10">
        <f t="shared" si="0"/>
        <v>0</v>
      </c>
      <c r="T19" s="10">
        <v>100000</v>
      </c>
      <c r="U19" s="10">
        <f t="shared" si="1"/>
        <v>0</v>
      </c>
      <c r="V19" s="4"/>
      <c r="W19" s="4"/>
      <c r="X19" s="4" t="s">
        <v>16</v>
      </c>
      <c r="Y19" s="4"/>
    </row>
    <row r="20" spans="2:26" ht="18.75" hidden="1">
      <c r="B20" s="75"/>
      <c r="C20" s="60"/>
      <c r="D20" s="52"/>
      <c r="E20" s="63"/>
      <c r="F20" s="8">
        <v>0.66666666666666663</v>
      </c>
      <c r="G20" s="67"/>
      <c r="H20" s="68"/>
      <c r="I20" s="35"/>
      <c r="J20" s="9" t="str">
        <f t="shared" si="2"/>
        <v/>
      </c>
      <c r="K20" s="39"/>
      <c r="L20" s="39"/>
      <c r="M20" s="39"/>
      <c r="N20" s="39"/>
      <c r="O20" s="39"/>
      <c r="P20" s="39"/>
      <c r="Q20" s="39"/>
      <c r="R20" s="39"/>
      <c r="S20" s="10">
        <f t="shared" si="0"/>
        <v>0</v>
      </c>
      <c r="T20" s="10">
        <v>100000</v>
      </c>
      <c r="U20" s="10">
        <f>T20*S20</f>
        <v>0</v>
      </c>
      <c r="V20" s="4"/>
      <c r="W20" s="4"/>
      <c r="X20" s="4" t="s">
        <v>17</v>
      </c>
      <c r="Y20" s="4"/>
      <c r="Z20" s="28" t="s">
        <v>61</v>
      </c>
    </row>
    <row r="21" spans="2:26" ht="18.75" hidden="1">
      <c r="B21" s="75"/>
      <c r="C21" s="60"/>
      <c r="D21" s="52"/>
      <c r="E21" s="63"/>
      <c r="F21" s="8">
        <v>0.75</v>
      </c>
      <c r="G21" s="67"/>
      <c r="H21" s="68"/>
      <c r="I21" s="35"/>
      <c r="J21" s="9" t="str">
        <f t="shared" si="2"/>
        <v/>
      </c>
      <c r="K21" s="39"/>
      <c r="L21" s="39"/>
      <c r="M21" s="39"/>
      <c r="N21" s="39"/>
      <c r="O21" s="39"/>
      <c r="P21" s="39"/>
      <c r="Q21" s="39"/>
      <c r="R21" s="39"/>
      <c r="S21" s="10">
        <f t="shared" si="0"/>
        <v>0</v>
      </c>
      <c r="T21" s="10">
        <v>100000</v>
      </c>
      <c r="U21" s="10">
        <f t="shared" si="1"/>
        <v>0</v>
      </c>
      <c r="V21" s="4"/>
      <c r="W21" s="4"/>
      <c r="X21" s="11" t="s">
        <v>18</v>
      </c>
      <c r="Y21" s="4"/>
      <c r="Z21" s="43"/>
    </row>
    <row r="22" spans="2:26" ht="27" hidden="1">
      <c r="B22" s="75"/>
      <c r="C22" s="60"/>
      <c r="D22" s="53"/>
      <c r="E22" s="64"/>
      <c r="F22" s="12">
        <v>0.83333333333333337</v>
      </c>
      <c r="G22" s="67"/>
      <c r="H22" s="68"/>
      <c r="I22" s="35"/>
      <c r="J22" s="9" t="str">
        <f t="shared" si="2"/>
        <v/>
      </c>
      <c r="K22" s="40"/>
      <c r="L22" s="40"/>
      <c r="M22" s="40"/>
      <c r="N22" s="40"/>
      <c r="O22" s="40"/>
      <c r="P22" s="40"/>
      <c r="Q22" s="40"/>
      <c r="R22" s="40"/>
      <c r="S22" s="16">
        <f t="shared" si="0"/>
        <v>0</v>
      </c>
      <c r="T22" s="16">
        <v>100000</v>
      </c>
      <c r="U22" s="16">
        <f t="shared" si="1"/>
        <v>0</v>
      </c>
      <c r="V22" s="4"/>
      <c r="X22" s="54" t="s">
        <v>101</v>
      </c>
      <c r="Z22" s="44" t="s">
        <v>46</v>
      </c>
    </row>
    <row r="23" spans="2:26" ht="27" hidden="1">
      <c r="B23" s="75"/>
      <c r="C23" s="60"/>
      <c r="D23" s="51"/>
      <c r="E23" s="62" t="s">
        <v>102</v>
      </c>
      <c r="F23" s="5">
        <v>0.91666666666666663</v>
      </c>
      <c r="G23" s="65"/>
      <c r="H23" s="66"/>
      <c r="I23" s="34"/>
      <c r="J23" s="6" t="str">
        <f t="shared" si="2"/>
        <v/>
      </c>
      <c r="K23" s="38"/>
      <c r="L23" s="38"/>
      <c r="M23" s="38"/>
      <c r="N23" s="38"/>
      <c r="O23" s="38"/>
      <c r="P23" s="38"/>
      <c r="Q23" s="38"/>
      <c r="R23" s="38"/>
      <c r="S23" s="7">
        <f t="shared" si="0"/>
        <v>0</v>
      </c>
      <c r="T23" s="7">
        <v>100000</v>
      </c>
      <c r="U23" s="7">
        <f t="shared" si="1"/>
        <v>0</v>
      </c>
      <c r="V23" s="4"/>
      <c r="X23" s="54" t="s">
        <v>102</v>
      </c>
      <c r="Z23" s="44" t="s">
        <v>45</v>
      </c>
    </row>
    <row r="24" spans="2:26" ht="18.75" hidden="1">
      <c r="B24" s="75"/>
      <c r="C24" s="60"/>
      <c r="D24" s="52"/>
      <c r="E24" s="63"/>
      <c r="F24" s="8">
        <v>1</v>
      </c>
      <c r="G24" s="67"/>
      <c r="H24" s="68"/>
      <c r="I24" s="35"/>
      <c r="J24" s="9" t="str">
        <f t="shared" si="2"/>
        <v/>
      </c>
      <c r="K24" s="39"/>
      <c r="L24" s="39"/>
      <c r="M24" s="39"/>
      <c r="N24" s="39"/>
      <c r="O24" s="39"/>
      <c r="P24" s="39"/>
      <c r="Q24" s="39"/>
      <c r="R24" s="39"/>
      <c r="S24" s="10">
        <f t="shared" si="0"/>
        <v>0</v>
      </c>
      <c r="T24" s="10">
        <v>100000</v>
      </c>
      <c r="U24" s="10">
        <f t="shared" si="1"/>
        <v>0</v>
      </c>
      <c r="V24" s="4"/>
      <c r="Y24" s="4"/>
      <c r="Z24" s="44" t="s">
        <v>44</v>
      </c>
    </row>
    <row r="25" spans="2:26" ht="18.75" hidden="1">
      <c r="B25" s="75"/>
      <c r="C25" s="60"/>
      <c r="D25" s="52"/>
      <c r="E25" s="63"/>
      <c r="F25" s="8">
        <v>8.3333333333333329E-2</v>
      </c>
      <c r="G25" s="67"/>
      <c r="H25" s="68"/>
      <c r="I25" s="35"/>
      <c r="J25" s="9" t="str">
        <f t="shared" si="2"/>
        <v/>
      </c>
      <c r="K25" s="39"/>
      <c r="L25" s="39"/>
      <c r="M25" s="39"/>
      <c r="N25" s="39"/>
      <c r="O25" s="39"/>
      <c r="P25" s="39"/>
      <c r="Q25" s="39"/>
      <c r="R25" s="39"/>
      <c r="S25" s="10">
        <f t="shared" si="0"/>
        <v>0</v>
      </c>
      <c r="T25" s="10">
        <v>100000</v>
      </c>
      <c r="U25" s="10">
        <f t="shared" si="1"/>
        <v>0</v>
      </c>
      <c r="Y25" s="4"/>
      <c r="Z25" s="44" t="s">
        <v>47</v>
      </c>
    </row>
    <row r="26" spans="2:26" ht="18.75" hidden="1">
      <c r="B26" s="75"/>
      <c r="C26" s="60"/>
      <c r="D26" s="52"/>
      <c r="E26" s="63"/>
      <c r="F26" s="8">
        <v>0.16666666666666666</v>
      </c>
      <c r="G26" s="67"/>
      <c r="H26" s="68"/>
      <c r="I26" s="35"/>
      <c r="J26" s="9" t="str">
        <f t="shared" si="2"/>
        <v/>
      </c>
      <c r="K26" s="39"/>
      <c r="L26" s="39"/>
      <c r="M26" s="39"/>
      <c r="N26" s="39"/>
      <c r="O26" s="39"/>
      <c r="P26" s="39"/>
      <c r="Q26" s="39"/>
      <c r="R26" s="39"/>
      <c r="S26" s="10">
        <f t="shared" si="0"/>
        <v>0</v>
      </c>
      <c r="T26" s="10">
        <v>100000</v>
      </c>
      <c r="U26" s="10">
        <f t="shared" si="1"/>
        <v>0</v>
      </c>
      <c r="V26" s="4"/>
      <c r="X26" s="4"/>
      <c r="Y26" s="4"/>
      <c r="Z26" s="44" t="s">
        <v>48</v>
      </c>
    </row>
    <row r="27" spans="2:26" ht="18.75" hidden="1">
      <c r="B27" s="75"/>
      <c r="C27" s="60"/>
      <c r="D27" s="52"/>
      <c r="E27" s="63"/>
      <c r="F27" s="8">
        <v>0.25</v>
      </c>
      <c r="G27" s="67"/>
      <c r="H27" s="68"/>
      <c r="I27" s="35"/>
      <c r="J27" s="9" t="str">
        <f t="shared" si="2"/>
        <v/>
      </c>
      <c r="K27" s="39"/>
      <c r="L27" s="39"/>
      <c r="M27" s="39"/>
      <c r="N27" s="39"/>
      <c r="O27" s="39"/>
      <c r="P27" s="39"/>
      <c r="Q27" s="39"/>
      <c r="R27" s="39"/>
      <c r="S27" s="10">
        <f t="shared" si="0"/>
        <v>0</v>
      </c>
      <c r="T27" s="10">
        <v>100000</v>
      </c>
      <c r="U27" s="10">
        <f t="shared" si="1"/>
        <v>0</v>
      </c>
      <c r="V27" s="4"/>
      <c r="Y27" s="4"/>
      <c r="Z27" s="44" t="s">
        <v>49</v>
      </c>
    </row>
    <row r="28" spans="2:26" ht="18.75" hidden="1">
      <c r="B28" s="75"/>
      <c r="C28" s="60"/>
      <c r="D28" s="53"/>
      <c r="E28" s="64"/>
      <c r="F28" s="12">
        <v>0.33333333333333331</v>
      </c>
      <c r="G28" s="67"/>
      <c r="H28" s="68"/>
      <c r="I28" s="36"/>
      <c r="J28" s="9" t="str">
        <f t="shared" si="2"/>
        <v/>
      </c>
      <c r="K28" s="41"/>
      <c r="L28" s="41"/>
      <c r="M28" s="41"/>
      <c r="N28" s="41"/>
      <c r="O28" s="41"/>
      <c r="P28" s="41"/>
      <c r="Q28" s="41"/>
      <c r="R28" s="41"/>
      <c r="S28" s="13">
        <f t="shared" si="0"/>
        <v>0</v>
      </c>
      <c r="T28" s="13">
        <v>100000</v>
      </c>
      <c r="U28" s="13">
        <f t="shared" si="1"/>
        <v>0</v>
      </c>
      <c r="V28" s="4"/>
      <c r="W28" s="4"/>
      <c r="X28" s="4"/>
      <c r="Y28" s="4"/>
      <c r="Z28" s="44" t="s">
        <v>50</v>
      </c>
    </row>
    <row r="29" spans="2:26" ht="18.600000000000001" hidden="1" customHeight="1">
      <c r="B29" s="89">
        <v>46083</v>
      </c>
      <c r="C29" s="59" t="s">
        <v>15</v>
      </c>
      <c r="D29" s="51"/>
      <c r="E29" s="62" t="s">
        <v>101</v>
      </c>
      <c r="F29" s="5">
        <v>0.41666666666666669</v>
      </c>
      <c r="G29" s="65"/>
      <c r="H29" s="66"/>
      <c r="I29" s="34"/>
      <c r="J29" s="6" t="str">
        <f t="shared" si="2"/>
        <v/>
      </c>
      <c r="K29" s="38"/>
      <c r="L29" s="38"/>
      <c r="M29" s="38"/>
      <c r="N29" s="38"/>
      <c r="O29" s="38"/>
      <c r="P29" s="38"/>
      <c r="Q29" s="38"/>
      <c r="R29" s="38"/>
      <c r="S29" s="7">
        <f>SUM(K29:R29)</f>
        <v>0</v>
      </c>
      <c r="T29" s="7">
        <v>100000</v>
      </c>
      <c r="U29" s="7">
        <f>T29*S29</f>
        <v>0</v>
      </c>
      <c r="V29" s="4"/>
      <c r="W29" s="4"/>
      <c r="X29" s="4"/>
      <c r="Y29" s="4"/>
      <c r="Z29" s="44" t="s">
        <v>51</v>
      </c>
    </row>
    <row r="30" spans="2:26" ht="18.75" hidden="1">
      <c r="B30" s="75"/>
      <c r="C30" s="60"/>
      <c r="D30" s="52"/>
      <c r="E30" s="63"/>
      <c r="F30" s="8">
        <v>0.5</v>
      </c>
      <c r="G30" s="67"/>
      <c r="H30" s="68"/>
      <c r="I30" s="35"/>
      <c r="J30" s="9" t="str">
        <f t="shared" si="2"/>
        <v/>
      </c>
      <c r="K30" s="39"/>
      <c r="L30" s="39"/>
      <c r="M30" s="39"/>
      <c r="N30" s="39"/>
      <c r="O30" s="39"/>
      <c r="P30" s="39"/>
      <c r="Q30" s="39"/>
      <c r="R30" s="39"/>
      <c r="S30" s="10">
        <f t="shared" ref="S30:S40" si="3">SUM(K30:R30)</f>
        <v>0</v>
      </c>
      <c r="T30" s="10">
        <v>100000</v>
      </c>
      <c r="U30" s="10">
        <f t="shared" ref="U30:U31" si="4">T30*S30</f>
        <v>0</v>
      </c>
      <c r="V30" s="4"/>
      <c r="W30" s="4"/>
      <c r="X30" s="4"/>
      <c r="Y30" s="4"/>
      <c r="Z30" s="44" t="s">
        <v>52</v>
      </c>
    </row>
    <row r="31" spans="2:26" ht="18.75" hidden="1">
      <c r="B31" s="75"/>
      <c r="C31" s="60"/>
      <c r="D31" s="52"/>
      <c r="E31" s="63"/>
      <c r="F31" s="8">
        <v>0.58333333333333337</v>
      </c>
      <c r="G31" s="67"/>
      <c r="H31" s="68"/>
      <c r="I31" s="35"/>
      <c r="J31" s="9" t="str">
        <f t="shared" si="2"/>
        <v/>
      </c>
      <c r="K31" s="39"/>
      <c r="L31" s="39"/>
      <c r="M31" s="39"/>
      <c r="N31" s="39"/>
      <c r="O31" s="39"/>
      <c r="P31" s="39"/>
      <c r="Q31" s="39"/>
      <c r="R31" s="39"/>
      <c r="S31" s="10">
        <f t="shared" si="3"/>
        <v>0</v>
      </c>
      <c r="T31" s="10">
        <v>100000</v>
      </c>
      <c r="U31" s="10">
        <f t="shared" si="4"/>
        <v>0</v>
      </c>
      <c r="V31" s="4"/>
      <c r="W31" s="4"/>
      <c r="X31" s="4"/>
      <c r="Y31" s="4"/>
      <c r="Z31" s="44" t="s">
        <v>53</v>
      </c>
    </row>
    <row r="32" spans="2:26" ht="18.75" hidden="1">
      <c r="B32" s="75"/>
      <c r="C32" s="60"/>
      <c r="D32" s="52"/>
      <c r="E32" s="63"/>
      <c r="F32" s="8">
        <v>0.66666666666666663</v>
      </c>
      <c r="G32" s="67"/>
      <c r="H32" s="68"/>
      <c r="I32" s="35"/>
      <c r="J32" s="9" t="str">
        <f t="shared" si="2"/>
        <v/>
      </c>
      <c r="K32" s="39"/>
      <c r="L32" s="39"/>
      <c r="M32" s="39"/>
      <c r="N32" s="39"/>
      <c r="O32" s="39"/>
      <c r="P32" s="39"/>
      <c r="Q32" s="39"/>
      <c r="R32" s="39"/>
      <c r="S32" s="10">
        <f t="shared" si="3"/>
        <v>0</v>
      </c>
      <c r="T32" s="10">
        <v>100000</v>
      </c>
      <c r="U32" s="10">
        <f>T32*S32</f>
        <v>0</v>
      </c>
      <c r="V32" s="4"/>
      <c r="W32" s="4"/>
      <c r="X32" s="4"/>
      <c r="Y32" s="4"/>
      <c r="Z32" s="44" t="s">
        <v>54</v>
      </c>
    </row>
    <row r="33" spans="2:26" ht="18.75" hidden="1">
      <c r="B33" s="75"/>
      <c r="C33" s="60"/>
      <c r="D33" s="52"/>
      <c r="E33" s="63"/>
      <c r="F33" s="8">
        <v>0.75</v>
      </c>
      <c r="G33" s="67"/>
      <c r="H33" s="68"/>
      <c r="I33" s="35"/>
      <c r="J33" s="9" t="str">
        <f t="shared" si="2"/>
        <v/>
      </c>
      <c r="K33" s="39"/>
      <c r="L33" s="39"/>
      <c r="M33" s="39"/>
      <c r="N33" s="39"/>
      <c r="O33" s="39"/>
      <c r="P33" s="39"/>
      <c r="Q33" s="39"/>
      <c r="R33" s="39"/>
      <c r="S33" s="10">
        <f t="shared" si="3"/>
        <v>0</v>
      </c>
      <c r="T33" s="10">
        <v>100000</v>
      </c>
      <c r="U33" s="10">
        <f t="shared" ref="U33:U40" si="5">T33*S33</f>
        <v>0</v>
      </c>
      <c r="V33" s="4"/>
      <c r="W33" s="4"/>
      <c r="X33" s="11"/>
      <c r="Y33" s="4"/>
      <c r="Z33" s="44" t="s">
        <v>40</v>
      </c>
    </row>
    <row r="34" spans="2:26" ht="18.75" hidden="1">
      <c r="B34" s="75"/>
      <c r="C34" s="60"/>
      <c r="D34" s="53"/>
      <c r="E34" s="64"/>
      <c r="F34" s="12">
        <v>0.83333333333333337</v>
      </c>
      <c r="G34" s="67"/>
      <c r="H34" s="68"/>
      <c r="I34" s="36"/>
      <c r="J34" s="9" t="str">
        <f t="shared" si="2"/>
        <v/>
      </c>
      <c r="K34" s="41"/>
      <c r="L34" s="41"/>
      <c r="M34" s="41"/>
      <c r="N34" s="41"/>
      <c r="O34" s="41"/>
      <c r="P34" s="41"/>
      <c r="Q34" s="41"/>
      <c r="R34" s="41"/>
      <c r="S34" s="13">
        <f t="shared" si="3"/>
        <v>0</v>
      </c>
      <c r="T34" s="13">
        <v>100000</v>
      </c>
      <c r="U34" s="13">
        <f t="shared" si="5"/>
        <v>0</v>
      </c>
      <c r="V34" s="4"/>
      <c r="Y34" s="4"/>
      <c r="Z34" s="44" t="s">
        <v>41</v>
      </c>
    </row>
    <row r="35" spans="2:26" ht="18.75" hidden="1">
      <c r="B35" s="75"/>
      <c r="C35" s="60"/>
      <c r="D35" s="51"/>
      <c r="E35" s="62" t="s">
        <v>102</v>
      </c>
      <c r="F35" s="5">
        <v>0.91666666666666663</v>
      </c>
      <c r="G35" s="65"/>
      <c r="H35" s="66"/>
      <c r="I35" s="34"/>
      <c r="J35" s="6" t="str">
        <f t="shared" si="2"/>
        <v/>
      </c>
      <c r="K35" s="38"/>
      <c r="L35" s="38"/>
      <c r="M35" s="38"/>
      <c r="N35" s="38"/>
      <c r="O35" s="38"/>
      <c r="P35" s="38"/>
      <c r="Q35" s="38"/>
      <c r="R35" s="38"/>
      <c r="S35" s="7">
        <f t="shared" si="3"/>
        <v>0</v>
      </c>
      <c r="T35" s="7">
        <v>100000</v>
      </c>
      <c r="U35" s="7">
        <f t="shared" si="5"/>
        <v>0</v>
      </c>
      <c r="V35" s="4"/>
      <c r="Y35" s="4"/>
      <c r="Z35" s="44" t="s">
        <v>55</v>
      </c>
    </row>
    <row r="36" spans="2:26" ht="18.75" hidden="1">
      <c r="B36" s="75"/>
      <c r="C36" s="60"/>
      <c r="D36" s="52"/>
      <c r="E36" s="63"/>
      <c r="F36" s="8">
        <v>1</v>
      </c>
      <c r="G36" s="67"/>
      <c r="H36" s="68"/>
      <c r="I36" s="35"/>
      <c r="J36" s="9" t="str">
        <f t="shared" si="2"/>
        <v/>
      </c>
      <c r="K36" s="39"/>
      <c r="L36" s="39"/>
      <c r="M36" s="39"/>
      <c r="N36" s="39"/>
      <c r="O36" s="39"/>
      <c r="P36" s="39"/>
      <c r="Q36" s="39"/>
      <c r="R36" s="39"/>
      <c r="S36" s="10">
        <f t="shared" si="3"/>
        <v>0</v>
      </c>
      <c r="T36" s="10">
        <v>100000</v>
      </c>
      <c r="U36" s="10">
        <f t="shared" si="5"/>
        <v>0</v>
      </c>
      <c r="V36" s="4"/>
      <c r="Y36" s="4"/>
      <c r="Z36" s="44" t="s">
        <v>56</v>
      </c>
    </row>
    <row r="37" spans="2:26" ht="18.75" hidden="1">
      <c r="B37" s="75"/>
      <c r="C37" s="60"/>
      <c r="D37" s="52"/>
      <c r="E37" s="63"/>
      <c r="F37" s="8">
        <v>8.3333333333333329E-2</v>
      </c>
      <c r="G37" s="67"/>
      <c r="H37" s="68"/>
      <c r="I37" s="35"/>
      <c r="J37" s="9" t="str">
        <f t="shared" si="2"/>
        <v/>
      </c>
      <c r="K37" s="39"/>
      <c r="L37" s="39"/>
      <c r="M37" s="39"/>
      <c r="N37" s="39"/>
      <c r="O37" s="39"/>
      <c r="P37" s="39"/>
      <c r="Q37" s="39"/>
      <c r="R37" s="39"/>
      <c r="S37" s="10">
        <f t="shared" si="3"/>
        <v>0</v>
      </c>
      <c r="T37" s="10">
        <v>100000</v>
      </c>
      <c r="U37" s="10">
        <f t="shared" si="5"/>
        <v>0</v>
      </c>
      <c r="V37" s="4"/>
      <c r="Y37" s="4"/>
      <c r="Z37" s="44" t="s">
        <v>38</v>
      </c>
    </row>
    <row r="38" spans="2:26" ht="18.75" hidden="1">
      <c r="B38" s="75"/>
      <c r="C38" s="60"/>
      <c r="D38" s="52"/>
      <c r="E38" s="63"/>
      <c r="F38" s="8">
        <v>0.16666666666666666</v>
      </c>
      <c r="G38" s="67"/>
      <c r="H38" s="68"/>
      <c r="I38" s="35"/>
      <c r="J38" s="9" t="str">
        <f t="shared" si="2"/>
        <v/>
      </c>
      <c r="K38" s="39"/>
      <c r="L38" s="39"/>
      <c r="M38" s="39"/>
      <c r="N38" s="39"/>
      <c r="O38" s="39"/>
      <c r="P38" s="39"/>
      <c r="Q38" s="39"/>
      <c r="R38" s="39"/>
      <c r="S38" s="10">
        <f t="shared" si="3"/>
        <v>0</v>
      </c>
      <c r="T38" s="10">
        <v>100000</v>
      </c>
      <c r="U38" s="10">
        <f t="shared" si="5"/>
        <v>0</v>
      </c>
      <c r="V38" s="4"/>
      <c r="W38" s="4"/>
      <c r="X38" s="4"/>
      <c r="Y38" s="4"/>
      <c r="Z38" s="44" t="s">
        <v>39</v>
      </c>
    </row>
    <row r="39" spans="2:26" ht="18.75" hidden="1">
      <c r="B39" s="75"/>
      <c r="C39" s="60"/>
      <c r="D39" s="52"/>
      <c r="E39" s="63"/>
      <c r="F39" s="8">
        <v>0.25</v>
      </c>
      <c r="G39" s="67"/>
      <c r="H39" s="68"/>
      <c r="I39" s="35"/>
      <c r="J39" s="9" t="str">
        <f t="shared" si="2"/>
        <v/>
      </c>
      <c r="K39" s="39"/>
      <c r="L39" s="39"/>
      <c r="M39" s="39"/>
      <c r="N39" s="39"/>
      <c r="O39" s="39"/>
      <c r="P39" s="39"/>
      <c r="Q39" s="39"/>
      <c r="R39" s="39"/>
      <c r="S39" s="10">
        <f t="shared" si="3"/>
        <v>0</v>
      </c>
      <c r="T39" s="10">
        <v>100000</v>
      </c>
      <c r="U39" s="10">
        <f t="shared" si="5"/>
        <v>0</v>
      </c>
      <c r="V39" s="4"/>
      <c r="Y39" s="4"/>
      <c r="Z39" s="44" t="s">
        <v>57</v>
      </c>
    </row>
    <row r="40" spans="2:26" ht="18.75" hidden="1">
      <c r="B40" s="90"/>
      <c r="C40" s="60"/>
      <c r="D40" s="53"/>
      <c r="E40" s="64"/>
      <c r="F40" s="12">
        <v>0.33333333333333331</v>
      </c>
      <c r="G40" s="67"/>
      <c r="H40" s="68"/>
      <c r="I40" s="36"/>
      <c r="J40" s="9" t="str">
        <f t="shared" si="2"/>
        <v/>
      </c>
      <c r="K40" s="41"/>
      <c r="L40" s="41"/>
      <c r="M40" s="41"/>
      <c r="N40" s="41"/>
      <c r="O40" s="41"/>
      <c r="P40" s="41"/>
      <c r="Q40" s="41"/>
      <c r="R40" s="41"/>
      <c r="S40" s="13">
        <f t="shared" si="3"/>
        <v>0</v>
      </c>
      <c r="T40" s="13">
        <v>100000</v>
      </c>
      <c r="U40" s="13">
        <f t="shared" si="5"/>
        <v>0</v>
      </c>
      <c r="V40" s="4"/>
      <c r="W40" s="4"/>
      <c r="X40" s="4"/>
      <c r="Y40" s="4"/>
      <c r="Z40" s="44" t="s">
        <v>58</v>
      </c>
    </row>
    <row r="41" spans="2:26" ht="18.600000000000001" hidden="1" customHeight="1">
      <c r="B41" s="75">
        <v>46084</v>
      </c>
      <c r="C41" s="59" t="s">
        <v>15</v>
      </c>
      <c r="D41" s="51"/>
      <c r="E41" s="62" t="s">
        <v>101</v>
      </c>
      <c r="F41" s="5">
        <v>0.41666666666666669</v>
      </c>
      <c r="G41" s="65"/>
      <c r="H41" s="66"/>
      <c r="I41" s="34"/>
      <c r="J41" s="6" t="str">
        <f t="shared" si="2"/>
        <v/>
      </c>
      <c r="K41" s="38"/>
      <c r="L41" s="38"/>
      <c r="M41" s="38"/>
      <c r="N41" s="38"/>
      <c r="O41" s="38"/>
      <c r="P41" s="38"/>
      <c r="Q41" s="38"/>
      <c r="R41" s="38"/>
      <c r="S41" s="7">
        <f>SUM(K41:R41)</f>
        <v>0</v>
      </c>
      <c r="T41" s="7">
        <v>100000</v>
      </c>
      <c r="U41" s="7">
        <f>T41*S41</f>
        <v>0</v>
      </c>
      <c r="V41" s="4"/>
      <c r="W41" s="4"/>
      <c r="X41" s="4"/>
      <c r="Y41" s="4"/>
      <c r="Z41" s="44" t="s">
        <v>59</v>
      </c>
    </row>
    <row r="42" spans="2:26" ht="18.75" hidden="1">
      <c r="B42" s="75"/>
      <c r="C42" s="60"/>
      <c r="D42" s="52"/>
      <c r="E42" s="63"/>
      <c r="F42" s="8">
        <v>0.5</v>
      </c>
      <c r="G42" s="67"/>
      <c r="H42" s="68"/>
      <c r="I42" s="35"/>
      <c r="J42" s="9" t="str">
        <f t="shared" si="2"/>
        <v/>
      </c>
      <c r="K42" s="39"/>
      <c r="L42" s="39"/>
      <c r="M42" s="39"/>
      <c r="N42" s="39"/>
      <c r="O42" s="39"/>
      <c r="P42" s="39"/>
      <c r="Q42" s="39"/>
      <c r="R42" s="39"/>
      <c r="S42" s="10">
        <f t="shared" ref="S42:S52" si="6">SUM(K42:R42)</f>
        <v>0</v>
      </c>
      <c r="T42" s="10">
        <v>100000</v>
      </c>
      <c r="U42" s="10">
        <f t="shared" ref="U42:U43" si="7">T42*S42</f>
        <v>0</v>
      </c>
      <c r="V42" s="4"/>
      <c r="W42" s="4"/>
      <c r="X42" s="4"/>
      <c r="Y42" s="4"/>
      <c r="Z42" s="44" t="s">
        <v>60</v>
      </c>
    </row>
    <row r="43" spans="2:26" ht="18.75" hidden="1">
      <c r="B43" s="75"/>
      <c r="C43" s="60"/>
      <c r="D43" s="52"/>
      <c r="E43" s="63"/>
      <c r="F43" s="8">
        <v>0.58333333333333337</v>
      </c>
      <c r="G43" s="67"/>
      <c r="H43" s="68"/>
      <c r="I43" s="35"/>
      <c r="J43" s="9" t="str">
        <f t="shared" si="2"/>
        <v/>
      </c>
      <c r="K43" s="39"/>
      <c r="L43" s="39"/>
      <c r="M43" s="39"/>
      <c r="N43" s="39"/>
      <c r="O43" s="39"/>
      <c r="P43" s="39"/>
      <c r="Q43" s="39"/>
      <c r="R43" s="39"/>
      <c r="S43" s="10">
        <f t="shared" si="6"/>
        <v>0</v>
      </c>
      <c r="T43" s="10">
        <v>100000</v>
      </c>
      <c r="U43" s="10">
        <f t="shared" si="7"/>
        <v>0</v>
      </c>
      <c r="V43" s="4"/>
      <c r="W43" s="4"/>
      <c r="X43" s="4"/>
      <c r="Y43" s="4"/>
      <c r="Z43" s="44" t="s">
        <v>42</v>
      </c>
    </row>
    <row r="44" spans="2:26" ht="18.75" hidden="1">
      <c r="B44" s="75"/>
      <c r="C44" s="60"/>
      <c r="D44" s="52"/>
      <c r="E44" s="63"/>
      <c r="F44" s="8">
        <v>0.66666666666666663</v>
      </c>
      <c r="G44" s="67"/>
      <c r="H44" s="68"/>
      <c r="I44" s="35"/>
      <c r="J44" s="9" t="str">
        <f t="shared" si="2"/>
        <v/>
      </c>
      <c r="K44" s="39"/>
      <c r="L44" s="39"/>
      <c r="M44" s="39"/>
      <c r="N44" s="39"/>
      <c r="O44" s="39"/>
      <c r="P44" s="39"/>
      <c r="Q44" s="39"/>
      <c r="R44" s="39"/>
      <c r="S44" s="10">
        <f t="shared" si="6"/>
        <v>0</v>
      </c>
      <c r="T44" s="10">
        <v>100000</v>
      </c>
      <c r="U44" s="10">
        <f>T44*S44</f>
        <v>0</v>
      </c>
      <c r="V44" s="4"/>
      <c r="W44" s="4"/>
      <c r="X44" s="4"/>
      <c r="Y44" s="4"/>
      <c r="Z44" s="44" t="s">
        <v>43</v>
      </c>
    </row>
    <row r="45" spans="2:26" ht="18.75" hidden="1">
      <c r="B45" s="75"/>
      <c r="C45" s="60"/>
      <c r="D45" s="52"/>
      <c r="E45" s="63"/>
      <c r="F45" s="8">
        <v>0.75</v>
      </c>
      <c r="G45" s="67"/>
      <c r="H45" s="68"/>
      <c r="I45" s="35"/>
      <c r="J45" s="9" t="str">
        <f t="shared" si="2"/>
        <v/>
      </c>
      <c r="K45" s="39"/>
      <c r="L45" s="39"/>
      <c r="M45" s="39"/>
      <c r="N45" s="39"/>
      <c r="O45" s="39"/>
      <c r="P45" s="39"/>
      <c r="Q45" s="39"/>
      <c r="R45" s="39"/>
      <c r="S45" s="10">
        <f t="shared" si="6"/>
        <v>0</v>
      </c>
      <c r="T45" s="10">
        <v>100000</v>
      </c>
      <c r="U45" s="10">
        <f t="shared" ref="U45:U52" si="8">T45*S45</f>
        <v>0</v>
      </c>
      <c r="V45" s="4"/>
      <c r="W45" s="4"/>
      <c r="X45" s="11"/>
      <c r="Y45" s="4"/>
      <c r="Z45" s="45"/>
    </row>
    <row r="46" spans="2:26" ht="18.75" hidden="1">
      <c r="B46" s="75"/>
      <c r="C46" s="60"/>
      <c r="D46" s="53"/>
      <c r="E46" s="64"/>
      <c r="F46" s="12">
        <v>0.83333333333333337</v>
      </c>
      <c r="G46" s="67"/>
      <c r="H46" s="68"/>
      <c r="I46" s="36"/>
      <c r="J46" s="9" t="str">
        <f t="shared" si="2"/>
        <v/>
      </c>
      <c r="K46" s="41"/>
      <c r="L46" s="41"/>
      <c r="M46" s="41"/>
      <c r="N46" s="41"/>
      <c r="O46" s="41"/>
      <c r="P46" s="41"/>
      <c r="Q46" s="41"/>
      <c r="R46" s="41"/>
      <c r="S46" s="13">
        <f t="shared" si="6"/>
        <v>0</v>
      </c>
      <c r="T46" s="13">
        <v>100000</v>
      </c>
      <c r="U46" s="13">
        <f t="shared" si="8"/>
        <v>0</v>
      </c>
      <c r="V46" s="4"/>
      <c r="Y46" s="4"/>
      <c r="Z46" s="45"/>
    </row>
    <row r="47" spans="2:26" ht="18.75" hidden="1">
      <c r="B47" s="75"/>
      <c r="C47" s="60"/>
      <c r="D47" s="51" t="s">
        <v>57</v>
      </c>
      <c r="E47" s="62" t="s">
        <v>102</v>
      </c>
      <c r="F47" s="5">
        <v>0.91666666666666663</v>
      </c>
      <c r="G47" s="65" t="s">
        <v>84</v>
      </c>
      <c r="H47" s="66"/>
      <c r="I47" s="34">
        <v>64</v>
      </c>
      <c r="J47" s="6">
        <f t="shared" si="2"/>
        <v>1.5625E-2</v>
      </c>
      <c r="K47" s="38">
        <v>1</v>
      </c>
      <c r="L47" s="38"/>
      <c r="M47" s="38"/>
      <c r="N47" s="38"/>
      <c r="O47" s="38"/>
      <c r="P47" s="38"/>
      <c r="Q47" s="38"/>
      <c r="R47" s="38"/>
      <c r="S47" s="7">
        <f t="shared" si="6"/>
        <v>1</v>
      </c>
      <c r="T47" s="7">
        <v>100000</v>
      </c>
      <c r="U47" s="7">
        <f t="shared" si="8"/>
        <v>100000</v>
      </c>
      <c r="V47" s="4"/>
      <c r="Y47" s="4"/>
      <c r="Z47" s="45"/>
    </row>
    <row r="48" spans="2:26" ht="18.75" hidden="1">
      <c r="B48" s="75"/>
      <c r="C48" s="60"/>
      <c r="D48" s="52" t="s">
        <v>57</v>
      </c>
      <c r="E48" s="63"/>
      <c r="F48" s="8">
        <v>1</v>
      </c>
      <c r="G48" s="67" t="s">
        <v>84</v>
      </c>
      <c r="H48" s="68"/>
      <c r="I48" s="35">
        <v>64</v>
      </c>
      <c r="J48" s="9">
        <f t="shared" si="2"/>
        <v>1.5625E-2</v>
      </c>
      <c r="K48" s="39"/>
      <c r="L48" s="39"/>
      <c r="M48" s="39">
        <v>1</v>
      </c>
      <c r="N48" s="39"/>
      <c r="O48" s="39"/>
      <c r="P48" s="39"/>
      <c r="Q48" s="39"/>
      <c r="R48" s="39"/>
      <c r="S48" s="10">
        <f t="shared" si="6"/>
        <v>1</v>
      </c>
      <c r="T48" s="10">
        <v>100000</v>
      </c>
      <c r="U48" s="10">
        <f t="shared" si="8"/>
        <v>100000</v>
      </c>
      <c r="V48" s="4"/>
      <c r="Y48" s="4"/>
      <c r="Z48" s="45"/>
    </row>
    <row r="49" spans="2:26" ht="18.75" hidden="1">
      <c r="B49" s="75"/>
      <c r="C49" s="60"/>
      <c r="D49" s="52" t="s">
        <v>57</v>
      </c>
      <c r="E49" s="63"/>
      <c r="F49" s="8">
        <v>8.3333333333333329E-2</v>
      </c>
      <c r="G49" s="67" t="s">
        <v>84</v>
      </c>
      <c r="H49" s="68"/>
      <c r="I49" s="35">
        <v>64</v>
      </c>
      <c r="J49" s="9">
        <f t="shared" si="2"/>
        <v>1.5625E-2</v>
      </c>
      <c r="K49" s="39"/>
      <c r="L49" s="39"/>
      <c r="M49" s="39">
        <v>1</v>
      </c>
      <c r="N49" s="39"/>
      <c r="O49" s="39"/>
      <c r="P49" s="39"/>
      <c r="Q49" s="39"/>
      <c r="R49" s="39"/>
      <c r="S49" s="10">
        <f t="shared" si="6"/>
        <v>1</v>
      </c>
      <c r="T49" s="10">
        <v>100000</v>
      </c>
      <c r="U49" s="10">
        <f t="shared" si="8"/>
        <v>100000</v>
      </c>
      <c r="V49" s="4"/>
      <c r="Y49" s="4"/>
      <c r="Z49" s="45"/>
    </row>
    <row r="50" spans="2:26" ht="18.75" hidden="1">
      <c r="B50" s="75"/>
      <c r="C50" s="60"/>
      <c r="D50" s="52" t="s">
        <v>57</v>
      </c>
      <c r="E50" s="63"/>
      <c r="F50" s="8">
        <v>0.16666666666666666</v>
      </c>
      <c r="G50" s="67" t="s">
        <v>84</v>
      </c>
      <c r="H50" s="68"/>
      <c r="I50" s="35">
        <v>64</v>
      </c>
      <c r="J50" s="9">
        <f t="shared" si="2"/>
        <v>1.5625E-2</v>
      </c>
      <c r="K50" s="39"/>
      <c r="L50" s="39"/>
      <c r="M50" s="39">
        <v>1</v>
      </c>
      <c r="N50" s="39"/>
      <c r="O50" s="39"/>
      <c r="P50" s="39"/>
      <c r="Q50" s="39"/>
      <c r="R50" s="39"/>
      <c r="S50" s="10">
        <f t="shared" si="6"/>
        <v>1</v>
      </c>
      <c r="T50" s="10">
        <v>100000</v>
      </c>
      <c r="U50" s="10">
        <f t="shared" si="8"/>
        <v>100000</v>
      </c>
      <c r="V50" s="4"/>
      <c r="W50" s="4"/>
      <c r="X50" s="4"/>
      <c r="Y50" s="4"/>
      <c r="Z50" s="45"/>
    </row>
    <row r="51" spans="2:26" ht="18.75" hidden="1">
      <c r="B51" s="75"/>
      <c r="C51" s="60"/>
      <c r="D51" s="52" t="s">
        <v>57</v>
      </c>
      <c r="E51" s="63"/>
      <c r="F51" s="8">
        <v>0.25</v>
      </c>
      <c r="G51" s="67" t="s">
        <v>84</v>
      </c>
      <c r="H51" s="68"/>
      <c r="I51" s="35">
        <v>64</v>
      </c>
      <c r="J51" s="9">
        <f t="shared" si="2"/>
        <v>1.5625E-2</v>
      </c>
      <c r="K51" s="39"/>
      <c r="L51" s="39"/>
      <c r="M51" s="39">
        <v>1</v>
      </c>
      <c r="N51" s="39"/>
      <c r="O51" s="39"/>
      <c r="P51" s="39"/>
      <c r="Q51" s="39"/>
      <c r="R51" s="39"/>
      <c r="S51" s="10">
        <f t="shared" si="6"/>
        <v>1</v>
      </c>
      <c r="T51" s="10">
        <v>100000</v>
      </c>
      <c r="U51" s="10">
        <f t="shared" si="8"/>
        <v>100000</v>
      </c>
      <c r="V51" s="4"/>
      <c r="Y51" s="4"/>
      <c r="Z51" s="45"/>
    </row>
    <row r="52" spans="2:26" ht="18.75" hidden="1">
      <c r="B52" s="75"/>
      <c r="C52" s="60"/>
      <c r="D52" s="53" t="s">
        <v>57</v>
      </c>
      <c r="E52" s="64"/>
      <c r="F52" s="12">
        <v>0.33333333333333331</v>
      </c>
      <c r="G52" s="67" t="s">
        <v>84</v>
      </c>
      <c r="H52" s="68"/>
      <c r="I52" s="36">
        <v>64</v>
      </c>
      <c r="J52" s="9">
        <f t="shared" si="2"/>
        <v>1.5625E-2</v>
      </c>
      <c r="K52" s="41">
        <v>1</v>
      </c>
      <c r="L52" s="41"/>
      <c r="M52" s="41"/>
      <c r="N52" s="41"/>
      <c r="O52" s="41"/>
      <c r="P52" s="41"/>
      <c r="Q52" s="41"/>
      <c r="R52" s="41"/>
      <c r="S52" s="13">
        <f t="shared" si="6"/>
        <v>1</v>
      </c>
      <c r="T52" s="13">
        <v>100000</v>
      </c>
      <c r="U52" s="13">
        <f t="shared" si="8"/>
        <v>100000</v>
      </c>
      <c r="V52" s="4"/>
      <c r="W52" s="4"/>
      <c r="X52" s="4"/>
      <c r="Y52" s="4"/>
      <c r="Z52" s="45"/>
    </row>
    <row r="53" spans="2:26" ht="16.5" hidden="1" customHeight="1">
      <c r="B53" s="58">
        <v>46085</v>
      </c>
      <c r="C53" s="59" t="s">
        <v>15</v>
      </c>
      <c r="D53" s="51" t="s">
        <v>57</v>
      </c>
      <c r="E53" s="62" t="s">
        <v>101</v>
      </c>
      <c r="F53" s="5">
        <v>0.41666666666666669</v>
      </c>
      <c r="G53" s="65" t="s">
        <v>76</v>
      </c>
      <c r="H53" s="66"/>
      <c r="I53" s="34">
        <v>35</v>
      </c>
      <c r="J53" s="6">
        <f t="shared" si="2"/>
        <v>0.34285714285714286</v>
      </c>
      <c r="K53" s="38"/>
      <c r="L53" s="38"/>
      <c r="M53" s="38">
        <v>7</v>
      </c>
      <c r="N53" s="38"/>
      <c r="O53" s="38"/>
      <c r="P53" s="38"/>
      <c r="Q53" s="38">
        <v>5</v>
      </c>
      <c r="R53" s="38"/>
      <c r="S53" s="7">
        <f>SUM(K53:R53)</f>
        <v>12</v>
      </c>
      <c r="T53" s="7">
        <v>100000</v>
      </c>
      <c r="U53" s="7">
        <f>T53*S53</f>
        <v>1200000</v>
      </c>
      <c r="V53" s="4"/>
      <c r="W53" s="4"/>
      <c r="X53" s="4"/>
      <c r="Y53" s="4"/>
      <c r="Z53" s="45"/>
    </row>
    <row r="54" spans="2:26" ht="18.75" hidden="1">
      <c r="B54" s="58"/>
      <c r="C54" s="60"/>
      <c r="D54" s="52" t="s">
        <v>57</v>
      </c>
      <c r="E54" s="63"/>
      <c r="F54" s="8">
        <v>0.5</v>
      </c>
      <c r="G54" s="67" t="s">
        <v>76</v>
      </c>
      <c r="H54" s="68"/>
      <c r="I54" s="35">
        <v>30</v>
      </c>
      <c r="J54" s="9">
        <f t="shared" si="2"/>
        <v>6.6666666666666666E-2</v>
      </c>
      <c r="K54" s="39"/>
      <c r="L54" s="39"/>
      <c r="M54" s="39">
        <v>2</v>
      </c>
      <c r="N54" s="39"/>
      <c r="O54" s="39"/>
      <c r="P54" s="39"/>
      <c r="Q54" s="39"/>
      <c r="R54" s="39"/>
      <c r="S54" s="10">
        <f t="shared" ref="S54:S64" si="9">SUM(K54:R54)</f>
        <v>2</v>
      </c>
      <c r="T54" s="10">
        <v>100000</v>
      </c>
      <c r="U54" s="10">
        <f t="shared" ref="U54:U55" si="10">T54*S54</f>
        <v>200000</v>
      </c>
      <c r="V54" s="4"/>
      <c r="W54" s="4"/>
      <c r="X54" s="4"/>
      <c r="Y54" s="4"/>
      <c r="Z54" s="45"/>
    </row>
    <row r="55" spans="2:26" ht="18.75" hidden="1">
      <c r="B55" s="58"/>
      <c r="C55" s="60"/>
      <c r="D55" s="52" t="s">
        <v>57</v>
      </c>
      <c r="E55" s="63"/>
      <c r="F55" s="8">
        <v>0.58333333333333337</v>
      </c>
      <c r="G55" s="67" t="s">
        <v>76</v>
      </c>
      <c r="H55" s="68"/>
      <c r="I55" s="35">
        <v>65</v>
      </c>
      <c r="J55" s="9">
        <f t="shared" si="2"/>
        <v>4.6153846153846156E-2</v>
      </c>
      <c r="K55" s="39"/>
      <c r="L55" s="39"/>
      <c r="M55" s="39"/>
      <c r="N55" s="39"/>
      <c r="O55" s="39"/>
      <c r="P55" s="39"/>
      <c r="Q55" s="39">
        <v>3</v>
      </c>
      <c r="R55" s="39"/>
      <c r="S55" s="10">
        <f t="shared" si="9"/>
        <v>3</v>
      </c>
      <c r="T55" s="10">
        <v>100000</v>
      </c>
      <c r="U55" s="10">
        <f t="shared" si="10"/>
        <v>300000</v>
      </c>
      <c r="V55" s="4"/>
      <c r="W55" s="4"/>
      <c r="X55" s="4"/>
      <c r="Y55" s="4"/>
      <c r="Z55" s="45"/>
    </row>
    <row r="56" spans="2:26" ht="18.75" hidden="1">
      <c r="B56" s="58"/>
      <c r="C56" s="60"/>
      <c r="D56" s="52" t="s">
        <v>57</v>
      </c>
      <c r="E56" s="63"/>
      <c r="F56" s="8">
        <v>0.66666666666666663</v>
      </c>
      <c r="G56" s="67" t="s">
        <v>76</v>
      </c>
      <c r="H56" s="68"/>
      <c r="I56" s="35">
        <v>60</v>
      </c>
      <c r="J56" s="9">
        <f t="shared" si="2"/>
        <v>1.6666666666666666E-2</v>
      </c>
      <c r="K56" s="39"/>
      <c r="L56" s="39"/>
      <c r="M56" s="39">
        <v>1</v>
      </c>
      <c r="N56" s="39"/>
      <c r="O56" s="39"/>
      <c r="P56" s="39"/>
      <c r="Q56" s="39"/>
      <c r="R56" s="39"/>
      <c r="S56" s="10">
        <f t="shared" si="9"/>
        <v>1</v>
      </c>
      <c r="T56" s="10">
        <v>100000</v>
      </c>
      <c r="U56" s="10">
        <f>T56*S56</f>
        <v>100000</v>
      </c>
      <c r="V56" s="4"/>
      <c r="W56" s="4"/>
      <c r="X56" s="4"/>
      <c r="Y56" s="4"/>
      <c r="Z56" s="45"/>
    </row>
    <row r="57" spans="2:26" ht="18.75" hidden="1">
      <c r="B57" s="58"/>
      <c r="C57" s="60"/>
      <c r="D57" s="52" t="s">
        <v>57</v>
      </c>
      <c r="E57" s="63"/>
      <c r="F57" s="8">
        <v>0.75</v>
      </c>
      <c r="G57" s="67" t="s">
        <v>76</v>
      </c>
      <c r="H57" s="68"/>
      <c r="I57" s="35">
        <v>40</v>
      </c>
      <c r="J57" s="9">
        <f t="shared" si="2"/>
        <v>0.05</v>
      </c>
      <c r="K57" s="39"/>
      <c r="L57" s="39"/>
      <c r="M57" s="39"/>
      <c r="N57" s="39"/>
      <c r="O57" s="39"/>
      <c r="P57" s="39"/>
      <c r="Q57" s="39">
        <v>2</v>
      </c>
      <c r="R57" s="39"/>
      <c r="S57" s="10">
        <f t="shared" si="9"/>
        <v>2</v>
      </c>
      <c r="T57" s="10">
        <v>100000</v>
      </c>
      <c r="U57" s="10">
        <f t="shared" ref="U57:U64" si="11">T57*S57</f>
        <v>200000</v>
      </c>
      <c r="V57" s="4"/>
      <c r="W57" s="4"/>
      <c r="X57" s="11"/>
      <c r="Y57" s="4"/>
      <c r="Z57" s="45"/>
    </row>
    <row r="58" spans="2:26" ht="18.75" hidden="1">
      <c r="B58" s="58"/>
      <c r="C58" s="60"/>
      <c r="D58" s="53" t="s">
        <v>57</v>
      </c>
      <c r="E58" s="64"/>
      <c r="F58" s="12">
        <v>0.83333333333333337</v>
      </c>
      <c r="G58" s="67" t="s">
        <v>76</v>
      </c>
      <c r="H58" s="68"/>
      <c r="I58" s="36">
        <v>58</v>
      </c>
      <c r="J58" s="9">
        <f t="shared" si="2"/>
        <v>3.4482758620689655E-2</v>
      </c>
      <c r="K58" s="41"/>
      <c r="L58" s="41"/>
      <c r="M58" s="41"/>
      <c r="N58" s="41"/>
      <c r="O58" s="41"/>
      <c r="P58" s="41"/>
      <c r="Q58" s="41">
        <v>2</v>
      </c>
      <c r="R58" s="41"/>
      <c r="S58" s="13">
        <f t="shared" si="9"/>
        <v>2</v>
      </c>
      <c r="T58" s="13">
        <v>100000</v>
      </c>
      <c r="U58" s="13">
        <f t="shared" si="11"/>
        <v>200000</v>
      </c>
      <c r="V58" s="4"/>
      <c r="Y58" s="4"/>
      <c r="Z58" s="45"/>
    </row>
    <row r="59" spans="2:26" ht="18.75" hidden="1">
      <c r="B59" s="58"/>
      <c r="C59" s="60"/>
      <c r="D59" s="51" t="s">
        <v>57</v>
      </c>
      <c r="E59" s="62" t="s">
        <v>102</v>
      </c>
      <c r="F59" s="5">
        <v>0.91666666666666663</v>
      </c>
      <c r="G59" s="65" t="s">
        <v>86</v>
      </c>
      <c r="H59" s="66"/>
      <c r="I59" s="34">
        <v>64</v>
      </c>
      <c r="J59" s="6">
        <f t="shared" si="2"/>
        <v>1.5625E-2</v>
      </c>
      <c r="K59" s="38"/>
      <c r="L59" s="38"/>
      <c r="M59" s="38">
        <v>1</v>
      </c>
      <c r="N59" s="38"/>
      <c r="O59" s="38"/>
      <c r="P59" s="38"/>
      <c r="Q59" s="38"/>
      <c r="R59" s="38"/>
      <c r="S59" s="7">
        <f t="shared" si="9"/>
        <v>1</v>
      </c>
      <c r="T59" s="7">
        <v>100000</v>
      </c>
      <c r="U59" s="7">
        <f t="shared" si="11"/>
        <v>100000</v>
      </c>
      <c r="V59" s="4"/>
      <c r="Y59" s="4"/>
      <c r="Z59" s="45"/>
    </row>
    <row r="60" spans="2:26" ht="18.75" hidden="1">
      <c r="B60" s="58"/>
      <c r="C60" s="60"/>
      <c r="D60" s="52" t="s">
        <v>57</v>
      </c>
      <c r="E60" s="63"/>
      <c r="F60" s="8">
        <v>1</v>
      </c>
      <c r="G60" s="67" t="s">
        <v>86</v>
      </c>
      <c r="H60" s="68"/>
      <c r="I60" s="35">
        <v>64</v>
      </c>
      <c r="J60" s="9">
        <f t="shared" si="2"/>
        <v>0</v>
      </c>
      <c r="K60" s="39"/>
      <c r="L60" s="39"/>
      <c r="M60" s="39"/>
      <c r="N60" s="39"/>
      <c r="O60" s="39"/>
      <c r="P60" s="39"/>
      <c r="Q60" s="39"/>
      <c r="R60" s="39"/>
      <c r="S60" s="10">
        <f t="shared" si="9"/>
        <v>0</v>
      </c>
      <c r="T60" s="10">
        <v>100000</v>
      </c>
      <c r="U60" s="10">
        <f t="shared" si="11"/>
        <v>0</v>
      </c>
      <c r="V60" s="4"/>
      <c r="Y60" s="4"/>
      <c r="Z60" s="45"/>
    </row>
    <row r="61" spans="2:26" ht="18.75" hidden="1">
      <c r="B61" s="58"/>
      <c r="C61" s="60"/>
      <c r="D61" s="52" t="s">
        <v>57</v>
      </c>
      <c r="E61" s="63"/>
      <c r="F61" s="8">
        <v>8.3333333333333329E-2</v>
      </c>
      <c r="G61" s="67" t="s">
        <v>86</v>
      </c>
      <c r="H61" s="68"/>
      <c r="I61" s="35">
        <v>64</v>
      </c>
      <c r="J61" s="9">
        <f t="shared" si="2"/>
        <v>0</v>
      </c>
      <c r="K61" s="39"/>
      <c r="L61" s="39"/>
      <c r="M61" s="39"/>
      <c r="N61" s="39"/>
      <c r="O61" s="39"/>
      <c r="P61" s="39"/>
      <c r="Q61" s="39"/>
      <c r="R61" s="39"/>
      <c r="S61" s="10">
        <f t="shared" si="9"/>
        <v>0</v>
      </c>
      <c r="T61" s="10">
        <v>100000</v>
      </c>
      <c r="U61" s="10">
        <f t="shared" si="11"/>
        <v>0</v>
      </c>
      <c r="V61" s="4"/>
      <c r="Y61" s="4"/>
      <c r="Z61" s="46"/>
    </row>
    <row r="62" spans="2:26" ht="18.75" hidden="1">
      <c r="B62" s="58"/>
      <c r="C62" s="60"/>
      <c r="D62" s="52" t="s">
        <v>57</v>
      </c>
      <c r="E62" s="63"/>
      <c r="F62" s="8">
        <v>0.16666666666666666</v>
      </c>
      <c r="G62" s="67" t="s">
        <v>86</v>
      </c>
      <c r="H62" s="68"/>
      <c r="I62" s="35">
        <v>64</v>
      </c>
      <c r="J62" s="9">
        <f t="shared" si="2"/>
        <v>0</v>
      </c>
      <c r="K62" s="39"/>
      <c r="L62" s="39"/>
      <c r="M62" s="39"/>
      <c r="N62" s="39"/>
      <c r="O62" s="39"/>
      <c r="P62" s="39"/>
      <c r="Q62" s="39"/>
      <c r="R62" s="39"/>
      <c r="S62" s="10">
        <f t="shared" si="9"/>
        <v>0</v>
      </c>
      <c r="T62" s="10">
        <v>100000</v>
      </c>
      <c r="U62" s="10">
        <f t="shared" si="11"/>
        <v>0</v>
      </c>
      <c r="V62" s="4"/>
      <c r="W62" s="4"/>
      <c r="X62" s="4"/>
      <c r="Y62" s="4"/>
    </row>
    <row r="63" spans="2:26" ht="18.75" hidden="1">
      <c r="B63" s="58"/>
      <c r="C63" s="60"/>
      <c r="D63" s="52" t="s">
        <v>57</v>
      </c>
      <c r="E63" s="63"/>
      <c r="F63" s="8">
        <v>0.25</v>
      </c>
      <c r="G63" s="67" t="s">
        <v>86</v>
      </c>
      <c r="H63" s="68"/>
      <c r="I63" s="35">
        <v>64</v>
      </c>
      <c r="J63" s="9">
        <f t="shared" si="2"/>
        <v>0</v>
      </c>
      <c r="K63" s="39"/>
      <c r="L63" s="39"/>
      <c r="M63" s="39"/>
      <c r="N63" s="39"/>
      <c r="O63" s="39"/>
      <c r="P63" s="39"/>
      <c r="Q63" s="39"/>
      <c r="R63" s="39"/>
      <c r="S63" s="10">
        <f t="shared" si="9"/>
        <v>0</v>
      </c>
      <c r="T63" s="10">
        <v>100000</v>
      </c>
      <c r="U63" s="10">
        <f t="shared" si="11"/>
        <v>0</v>
      </c>
      <c r="V63" s="4"/>
      <c r="Y63" s="4"/>
    </row>
    <row r="64" spans="2:26" ht="18.75" hidden="1">
      <c r="B64" s="58"/>
      <c r="C64" s="60"/>
      <c r="D64" s="53" t="s">
        <v>57</v>
      </c>
      <c r="E64" s="64"/>
      <c r="F64" s="14">
        <v>0.33333333333333331</v>
      </c>
      <c r="G64" s="67" t="s">
        <v>86</v>
      </c>
      <c r="H64" s="68"/>
      <c r="I64" s="37">
        <v>64</v>
      </c>
      <c r="J64" s="9">
        <f t="shared" si="2"/>
        <v>0</v>
      </c>
      <c r="K64" s="40"/>
      <c r="L64" s="40"/>
      <c r="M64" s="40"/>
      <c r="N64" s="40"/>
      <c r="O64" s="40"/>
      <c r="P64" s="40"/>
      <c r="Q64" s="40"/>
      <c r="R64" s="40"/>
      <c r="S64" s="16">
        <f t="shared" si="9"/>
        <v>0</v>
      </c>
      <c r="T64" s="16">
        <v>100000</v>
      </c>
      <c r="U64" s="16">
        <f t="shared" si="11"/>
        <v>0</v>
      </c>
      <c r="V64" s="4"/>
      <c r="W64" s="4"/>
      <c r="X64" s="4"/>
      <c r="Y64" s="4"/>
    </row>
    <row r="65" spans="2:25" ht="16.5" hidden="1" customHeight="1">
      <c r="B65" s="58">
        <v>46086</v>
      </c>
      <c r="C65" s="59" t="s">
        <v>15</v>
      </c>
      <c r="D65" s="51" t="s">
        <v>57</v>
      </c>
      <c r="E65" s="62" t="s">
        <v>101</v>
      </c>
      <c r="F65" s="5">
        <v>0.41666666666666669</v>
      </c>
      <c r="G65" s="65" t="s">
        <v>74</v>
      </c>
      <c r="H65" s="66"/>
      <c r="I65" s="34">
        <v>65</v>
      </c>
      <c r="J65" s="6">
        <f t="shared" si="2"/>
        <v>3.0769230769230771E-2</v>
      </c>
      <c r="K65" s="38"/>
      <c r="L65" s="38"/>
      <c r="M65" s="38"/>
      <c r="N65" s="38"/>
      <c r="O65" s="38"/>
      <c r="P65" s="38"/>
      <c r="Q65" s="38">
        <v>2</v>
      </c>
      <c r="R65" s="38"/>
      <c r="S65" s="7">
        <f>SUM(K65:R65)</f>
        <v>2</v>
      </c>
      <c r="T65" s="7">
        <v>100000</v>
      </c>
      <c r="U65" s="7">
        <f>T65*S65</f>
        <v>200000</v>
      </c>
      <c r="V65" s="4"/>
      <c r="W65" s="4"/>
      <c r="X65" s="4"/>
      <c r="Y65" s="4"/>
    </row>
    <row r="66" spans="2:25" ht="18.75" hidden="1">
      <c r="B66" s="58"/>
      <c r="C66" s="60"/>
      <c r="D66" s="52" t="s">
        <v>57</v>
      </c>
      <c r="E66" s="63"/>
      <c r="F66" s="8">
        <v>0.5</v>
      </c>
      <c r="G66" s="67" t="s">
        <v>74</v>
      </c>
      <c r="H66" s="68"/>
      <c r="I66" s="35">
        <v>30</v>
      </c>
      <c r="J66" s="9">
        <f t="shared" si="2"/>
        <v>0</v>
      </c>
      <c r="K66" s="39"/>
      <c r="L66" s="39"/>
      <c r="M66" s="39"/>
      <c r="N66" s="39"/>
      <c r="O66" s="39"/>
      <c r="P66" s="39"/>
      <c r="Q66" s="39"/>
      <c r="R66" s="39"/>
      <c r="S66" s="10">
        <f t="shared" ref="S66:S76" si="12">SUM(K66:R66)</f>
        <v>0</v>
      </c>
      <c r="T66" s="10">
        <v>100000</v>
      </c>
      <c r="U66" s="10">
        <f t="shared" ref="U66:U67" si="13">T66*S66</f>
        <v>0</v>
      </c>
      <c r="V66" s="4"/>
      <c r="W66" s="4"/>
      <c r="X66" s="4"/>
      <c r="Y66" s="4"/>
    </row>
    <row r="67" spans="2:25" ht="18.75" hidden="1">
      <c r="B67" s="58"/>
      <c r="C67" s="60"/>
      <c r="D67" s="52" t="s">
        <v>57</v>
      </c>
      <c r="E67" s="63"/>
      <c r="F67" s="8">
        <v>0.58333333333333337</v>
      </c>
      <c r="G67" s="67" t="s">
        <v>74</v>
      </c>
      <c r="H67" s="68"/>
      <c r="I67" s="35">
        <v>20</v>
      </c>
      <c r="J67" s="9">
        <f t="shared" si="2"/>
        <v>0.2</v>
      </c>
      <c r="K67" s="39"/>
      <c r="L67" s="39"/>
      <c r="M67" s="39">
        <v>4</v>
      </c>
      <c r="N67" s="39"/>
      <c r="O67" s="39"/>
      <c r="P67" s="39"/>
      <c r="Q67" s="39"/>
      <c r="R67" s="39"/>
      <c r="S67" s="10">
        <f t="shared" si="12"/>
        <v>4</v>
      </c>
      <c r="T67" s="10">
        <v>100000</v>
      </c>
      <c r="U67" s="10">
        <f t="shared" si="13"/>
        <v>400000</v>
      </c>
      <c r="V67" s="4"/>
      <c r="W67" s="4"/>
      <c r="X67" s="4"/>
      <c r="Y67" s="4"/>
    </row>
    <row r="68" spans="2:25" ht="18.75" hidden="1">
      <c r="B68" s="58"/>
      <c r="C68" s="60"/>
      <c r="D68" s="52" t="s">
        <v>57</v>
      </c>
      <c r="E68" s="63"/>
      <c r="F68" s="8">
        <v>0.66666666666666663</v>
      </c>
      <c r="G68" s="67" t="s">
        <v>74</v>
      </c>
      <c r="H68" s="68"/>
      <c r="I68" s="35">
        <v>60</v>
      </c>
      <c r="J68" s="9">
        <f t="shared" si="2"/>
        <v>1.6666666666666666E-2</v>
      </c>
      <c r="K68" s="39"/>
      <c r="L68" s="39"/>
      <c r="M68" s="39">
        <v>1</v>
      </c>
      <c r="N68" s="39"/>
      <c r="O68" s="39"/>
      <c r="P68" s="39"/>
      <c r="Q68" s="39"/>
      <c r="R68" s="39"/>
      <c r="S68" s="10">
        <f t="shared" si="12"/>
        <v>1</v>
      </c>
      <c r="T68" s="10">
        <v>100000</v>
      </c>
      <c r="U68" s="10">
        <f>T68*S68</f>
        <v>100000</v>
      </c>
      <c r="V68" s="4"/>
      <c r="W68" s="4"/>
      <c r="X68" s="4"/>
      <c r="Y68" s="4"/>
    </row>
    <row r="69" spans="2:25" ht="18.75" hidden="1">
      <c r="B69" s="58"/>
      <c r="C69" s="60"/>
      <c r="D69" s="52" t="s">
        <v>57</v>
      </c>
      <c r="E69" s="63"/>
      <c r="F69" s="8">
        <v>0.75</v>
      </c>
      <c r="G69" s="67" t="s">
        <v>74</v>
      </c>
      <c r="H69" s="68"/>
      <c r="I69" s="35">
        <v>45</v>
      </c>
      <c r="J69" s="9">
        <f t="shared" si="2"/>
        <v>0</v>
      </c>
      <c r="K69" s="39"/>
      <c r="L69" s="39"/>
      <c r="M69" s="39"/>
      <c r="N69" s="39"/>
      <c r="O69" s="39"/>
      <c r="P69" s="39"/>
      <c r="Q69" s="39"/>
      <c r="R69" s="39"/>
      <c r="S69" s="10">
        <f t="shared" si="12"/>
        <v>0</v>
      </c>
      <c r="T69" s="10">
        <v>100000</v>
      </c>
      <c r="U69" s="10">
        <f t="shared" ref="U69:U76" si="14">T69*S69</f>
        <v>0</v>
      </c>
      <c r="V69" s="4"/>
      <c r="W69" s="4"/>
      <c r="X69" s="11"/>
      <c r="Y69" s="4"/>
    </row>
    <row r="70" spans="2:25" ht="18.75" hidden="1">
      <c r="B70" s="58"/>
      <c r="C70" s="60"/>
      <c r="D70" s="53" t="s">
        <v>57</v>
      </c>
      <c r="E70" s="64"/>
      <c r="F70" s="12">
        <v>0.83333333333333337</v>
      </c>
      <c r="G70" s="67" t="s">
        <v>74</v>
      </c>
      <c r="H70" s="68"/>
      <c r="I70" s="36">
        <v>68</v>
      </c>
      <c r="J70" s="9">
        <f t="shared" si="2"/>
        <v>0</v>
      </c>
      <c r="K70" s="41"/>
      <c r="L70" s="41"/>
      <c r="M70" s="41"/>
      <c r="N70" s="41"/>
      <c r="O70" s="41"/>
      <c r="P70" s="41"/>
      <c r="Q70" s="41"/>
      <c r="R70" s="41"/>
      <c r="S70" s="13">
        <f t="shared" si="12"/>
        <v>0</v>
      </c>
      <c r="T70" s="13">
        <v>100000</v>
      </c>
      <c r="U70" s="13">
        <f t="shared" si="14"/>
        <v>0</v>
      </c>
      <c r="V70" s="4"/>
      <c r="Y70" s="4"/>
    </row>
    <row r="71" spans="2:25" ht="18.75" hidden="1">
      <c r="B71" s="58"/>
      <c r="C71" s="60"/>
      <c r="D71" s="51" t="s">
        <v>57</v>
      </c>
      <c r="E71" s="62" t="s">
        <v>102</v>
      </c>
      <c r="F71" s="5">
        <v>0.91666666666666663</v>
      </c>
      <c r="G71" s="65" t="s">
        <v>84</v>
      </c>
      <c r="H71" s="66"/>
      <c r="I71" s="34">
        <v>65</v>
      </c>
      <c r="J71" s="6">
        <f t="shared" si="2"/>
        <v>3.0769230769230771E-2</v>
      </c>
      <c r="K71" s="38">
        <v>2</v>
      </c>
      <c r="L71" s="38"/>
      <c r="M71" s="38"/>
      <c r="N71" s="38"/>
      <c r="O71" s="38"/>
      <c r="P71" s="38"/>
      <c r="Q71" s="38"/>
      <c r="R71" s="38"/>
      <c r="S71" s="7">
        <f t="shared" si="12"/>
        <v>2</v>
      </c>
      <c r="T71" s="7">
        <v>100000</v>
      </c>
      <c r="U71" s="7">
        <f t="shared" si="14"/>
        <v>200000</v>
      </c>
      <c r="V71" s="4"/>
      <c r="Y71" s="4"/>
    </row>
    <row r="72" spans="2:25" ht="18.75" hidden="1">
      <c r="B72" s="58"/>
      <c r="C72" s="60"/>
      <c r="D72" s="52" t="s">
        <v>57</v>
      </c>
      <c r="E72" s="63"/>
      <c r="F72" s="8">
        <v>1</v>
      </c>
      <c r="G72" s="67" t="s">
        <v>84</v>
      </c>
      <c r="H72" s="68"/>
      <c r="I72" s="35">
        <v>30</v>
      </c>
      <c r="J72" s="9">
        <f t="shared" si="2"/>
        <v>6.6666666666666666E-2</v>
      </c>
      <c r="K72" s="39"/>
      <c r="L72" s="39"/>
      <c r="M72" s="39">
        <v>2</v>
      </c>
      <c r="N72" s="39"/>
      <c r="O72" s="39"/>
      <c r="P72" s="39"/>
      <c r="Q72" s="39"/>
      <c r="R72" s="39"/>
      <c r="S72" s="10">
        <f t="shared" si="12"/>
        <v>2</v>
      </c>
      <c r="T72" s="10">
        <v>100000</v>
      </c>
      <c r="U72" s="10">
        <f t="shared" si="14"/>
        <v>200000</v>
      </c>
      <c r="V72" s="4"/>
      <c r="Y72" s="4"/>
    </row>
    <row r="73" spans="2:25" ht="18.75" hidden="1">
      <c r="B73" s="58"/>
      <c r="C73" s="60"/>
      <c r="D73" s="52" t="s">
        <v>57</v>
      </c>
      <c r="E73" s="63"/>
      <c r="F73" s="8">
        <v>8.3333333333333329E-2</v>
      </c>
      <c r="G73" s="67" t="s">
        <v>84</v>
      </c>
      <c r="H73" s="68"/>
      <c r="I73" s="35">
        <v>65</v>
      </c>
      <c r="J73" s="9">
        <f t="shared" si="2"/>
        <v>3.0769230769230771E-2</v>
      </c>
      <c r="K73" s="39">
        <v>2</v>
      </c>
      <c r="L73" s="39"/>
      <c r="M73" s="39"/>
      <c r="N73" s="39"/>
      <c r="O73" s="39"/>
      <c r="P73" s="39"/>
      <c r="Q73" s="39"/>
      <c r="R73" s="39"/>
      <c r="S73" s="10">
        <f t="shared" si="12"/>
        <v>2</v>
      </c>
      <c r="T73" s="10">
        <v>100000</v>
      </c>
      <c r="U73" s="10">
        <f t="shared" si="14"/>
        <v>200000</v>
      </c>
      <c r="V73" s="4"/>
      <c r="Y73" s="4"/>
    </row>
    <row r="74" spans="2:25" ht="18.75" hidden="1">
      <c r="B74" s="58"/>
      <c r="C74" s="60"/>
      <c r="D74" s="52" t="s">
        <v>57</v>
      </c>
      <c r="E74" s="63"/>
      <c r="F74" s="8">
        <v>0.16666666666666666</v>
      </c>
      <c r="G74" s="67" t="s">
        <v>84</v>
      </c>
      <c r="H74" s="68"/>
      <c r="I74" s="35">
        <v>65</v>
      </c>
      <c r="J74" s="9">
        <f t="shared" si="2"/>
        <v>3.0769230769230771E-2</v>
      </c>
      <c r="K74" s="39"/>
      <c r="L74" s="39"/>
      <c r="M74" s="39">
        <v>2</v>
      </c>
      <c r="N74" s="39"/>
      <c r="O74" s="39"/>
      <c r="P74" s="39"/>
      <c r="Q74" s="39"/>
      <c r="R74" s="39"/>
      <c r="S74" s="10">
        <f t="shared" si="12"/>
        <v>2</v>
      </c>
      <c r="T74" s="10">
        <v>100000</v>
      </c>
      <c r="U74" s="10">
        <f t="shared" si="14"/>
        <v>200000</v>
      </c>
      <c r="V74" s="4"/>
      <c r="W74" s="4"/>
      <c r="X74" s="4"/>
      <c r="Y74" s="4"/>
    </row>
    <row r="75" spans="2:25" ht="18.75" hidden="1">
      <c r="B75" s="58"/>
      <c r="C75" s="60"/>
      <c r="D75" s="52" t="s">
        <v>57</v>
      </c>
      <c r="E75" s="63"/>
      <c r="F75" s="8">
        <v>0.25</v>
      </c>
      <c r="G75" s="67" t="s">
        <v>84</v>
      </c>
      <c r="H75" s="68"/>
      <c r="I75" s="35">
        <v>46</v>
      </c>
      <c r="J75" s="9">
        <f t="shared" si="2"/>
        <v>4.3478260869565216E-2</v>
      </c>
      <c r="K75" s="39">
        <v>2</v>
      </c>
      <c r="L75" s="39"/>
      <c r="M75" s="39"/>
      <c r="N75" s="39"/>
      <c r="O75" s="39"/>
      <c r="P75" s="39"/>
      <c r="Q75" s="39"/>
      <c r="R75" s="39"/>
      <c r="S75" s="10">
        <f t="shared" si="12"/>
        <v>2</v>
      </c>
      <c r="T75" s="10">
        <v>100000</v>
      </c>
      <c r="U75" s="10">
        <f t="shared" si="14"/>
        <v>200000</v>
      </c>
      <c r="V75" s="4"/>
      <c r="Y75" s="4"/>
    </row>
    <row r="76" spans="2:25" ht="18.75" hidden="1">
      <c r="B76" s="58"/>
      <c r="C76" s="60"/>
      <c r="D76" s="53" t="s">
        <v>57</v>
      </c>
      <c r="E76" s="64"/>
      <c r="F76" s="14">
        <v>0.33333333333333331</v>
      </c>
      <c r="G76" s="67" t="s">
        <v>84</v>
      </c>
      <c r="H76" s="68"/>
      <c r="I76" s="37">
        <v>65</v>
      </c>
      <c r="J76" s="9">
        <f t="shared" si="2"/>
        <v>1.5384615384615385E-2</v>
      </c>
      <c r="K76" s="40"/>
      <c r="L76" s="40"/>
      <c r="M76" s="40"/>
      <c r="N76" s="40"/>
      <c r="O76" s="40"/>
      <c r="P76" s="40"/>
      <c r="Q76" s="40"/>
      <c r="R76" s="40">
        <v>1</v>
      </c>
      <c r="S76" s="16">
        <f t="shared" si="12"/>
        <v>1</v>
      </c>
      <c r="T76" s="16">
        <v>100000</v>
      </c>
      <c r="U76" s="16">
        <f t="shared" si="14"/>
        <v>100000</v>
      </c>
      <c r="V76" s="4"/>
      <c r="W76" s="4"/>
      <c r="X76" s="4"/>
      <c r="Y76" s="4"/>
    </row>
    <row r="77" spans="2:25" ht="16.5" hidden="1" customHeight="1">
      <c r="B77" s="58">
        <v>46087</v>
      </c>
      <c r="C77" s="59" t="s">
        <v>15</v>
      </c>
      <c r="D77" s="51" t="s">
        <v>57</v>
      </c>
      <c r="E77" s="62" t="s">
        <v>101</v>
      </c>
      <c r="F77" s="5">
        <v>0.41666666666666669</v>
      </c>
      <c r="G77" s="65" t="s">
        <v>74</v>
      </c>
      <c r="H77" s="66"/>
      <c r="I77" s="34">
        <v>68</v>
      </c>
      <c r="J77" s="6">
        <f t="shared" si="2"/>
        <v>7.3529411764705885E-2</v>
      </c>
      <c r="K77" s="38"/>
      <c r="L77" s="38"/>
      <c r="M77" s="38"/>
      <c r="N77" s="38"/>
      <c r="O77" s="38"/>
      <c r="P77" s="38"/>
      <c r="Q77" s="38">
        <v>5</v>
      </c>
      <c r="R77" s="38"/>
      <c r="S77" s="7">
        <f>SUM(K77:R77)</f>
        <v>5</v>
      </c>
      <c r="T77" s="7">
        <v>100000</v>
      </c>
      <c r="U77" s="7">
        <f>T77*S77</f>
        <v>500000</v>
      </c>
      <c r="V77" s="4"/>
      <c r="W77" s="4"/>
      <c r="X77" s="4"/>
      <c r="Y77" s="4"/>
    </row>
    <row r="78" spans="2:25" ht="18.75" hidden="1">
      <c r="B78" s="58"/>
      <c r="C78" s="60"/>
      <c r="D78" s="52" t="s">
        <v>57</v>
      </c>
      <c r="E78" s="63"/>
      <c r="F78" s="8">
        <v>0.5</v>
      </c>
      <c r="G78" s="67" t="s">
        <v>74</v>
      </c>
      <c r="H78" s="68"/>
      <c r="I78" s="35">
        <v>30</v>
      </c>
      <c r="J78" s="9">
        <f t="shared" si="2"/>
        <v>3.3333333333333333E-2</v>
      </c>
      <c r="K78" s="39">
        <v>1</v>
      </c>
      <c r="L78" s="39"/>
      <c r="M78" s="39"/>
      <c r="N78" s="39"/>
      <c r="O78" s="39"/>
      <c r="P78" s="39"/>
      <c r="Q78" s="39"/>
      <c r="R78" s="39"/>
      <c r="S78" s="10">
        <f t="shared" ref="S78:S88" si="15">SUM(K78:R78)</f>
        <v>1</v>
      </c>
      <c r="T78" s="10">
        <v>100000</v>
      </c>
      <c r="U78" s="10">
        <f t="shared" ref="U78:U79" si="16">T78*S78</f>
        <v>100000</v>
      </c>
      <c r="V78" s="4"/>
      <c r="W78" s="4"/>
      <c r="X78" s="4"/>
      <c r="Y78" s="4"/>
    </row>
    <row r="79" spans="2:25" ht="18.75" hidden="1">
      <c r="B79" s="58"/>
      <c r="C79" s="60"/>
      <c r="D79" s="52" t="s">
        <v>57</v>
      </c>
      <c r="E79" s="63"/>
      <c r="F79" s="8">
        <v>0.58333333333333337</v>
      </c>
      <c r="G79" s="67" t="s">
        <v>74</v>
      </c>
      <c r="H79" s="68"/>
      <c r="I79" s="35">
        <v>65</v>
      </c>
      <c r="J79" s="9">
        <f t="shared" si="2"/>
        <v>1.5384615384615385E-2</v>
      </c>
      <c r="K79" s="39"/>
      <c r="L79" s="39"/>
      <c r="M79" s="39">
        <v>1</v>
      </c>
      <c r="N79" s="39"/>
      <c r="O79" s="39"/>
      <c r="P79" s="39"/>
      <c r="Q79" s="39"/>
      <c r="R79" s="39"/>
      <c r="S79" s="10">
        <f t="shared" si="15"/>
        <v>1</v>
      </c>
      <c r="T79" s="10">
        <v>100000</v>
      </c>
      <c r="U79" s="10">
        <f t="shared" si="16"/>
        <v>100000</v>
      </c>
      <c r="V79" s="4"/>
      <c r="W79" s="4"/>
      <c r="X79" s="4"/>
      <c r="Y79" s="4"/>
    </row>
    <row r="80" spans="2:25" ht="18.75" hidden="1">
      <c r="B80" s="58"/>
      <c r="C80" s="60"/>
      <c r="D80" s="52" t="s">
        <v>57</v>
      </c>
      <c r="E80" s="63"/>
      <c r="F80" s="8">
        <v>0.66666666666666663</v>
      </c>
      <c r="G80" s="67" t="s">
        <v>74</v>
      </c>
      <c r="H80" s="68"/>
      <c r="I80" s="35">
        <v>60</v>
      </c>
      <c r="J80" s="9">
        <f t="shared" si="2"/>
        <v>0</v>
      </c>
      <c r="K80" s="39"/>
      <c r="L80" s="39"/>
      <c r="M80" s="39"/>
      <c r="N80" s="39"/>
      <c r="O80" s="39"/>
      <c r="P80" s="39"/>
      <c r="Q80" s="39"/>
      <c r="R80" s="39"/>
      <c r="S80" s="10">
        <f t="shared" si="15"/>
        <v>0</v>
      </c>
      <c r="T80" s="10">
        <v>100000</v>
      </c>
      <c r="U80" s="10">
        <f>T80*S80</f>
        <v>0</v>
      </c>
      <c r="V80" s="4"/>
      <c r="W80" s="4"/>
      <c r="X80" s="4"/>
      <c r="Y80" s="4"/>
    </row>
    <row r="81" spans="2:25" ht="18.75" hidden="1">
      <c r="B81" s="58"/>
      <c r="C81" s="60"/>
      <c r="D81" s="52" t="s">
        <v>57</v>
      </c>
      <c r="E81" s="63"/>
      <c r="F81" s="8">
        <v>0.75</v>
      </c>
      <c r="G81" s="67" t="s">
        <v>74</v>
      </c>
      <c r="H81" s="68"/>
      <c r="I81" s="35">
        <v>17</v>
      </c>
      <c r="J81" s="9">
        <f t="shared" si="2"/>
        <v>0</v>
      </c>
      <c r="K81" s="39"/>
      <c r="L81" s="39"/>
      <c r="M81" s="39"/>
      <c r="N81" s="39"/>
      <c r="O81" s="39"/>
      <c r="P81" s="39"/>
      <c r="Q81" s="39"/>
      <c r="R81" s="39"/>
      <c r="S81" s="10">
        <f t="shared" si="15"/>
        <v>0</v>
      </c>
      <c r="T81" s="10">
        <v>100000</v>
      </c>
      <c r="U81" s="10">
        <f t="shared" ref="U81:U88" si="17">T81*S81</f>
        <v>0</v>
      </c>
      <c r="V81" s="4"/>
      <c r="W81" s="4"/>
      <c r="X81" s="11"/>
      <c r="Y81" s="4"/>
    </row>
    <row r="82" spans="2:25" ht="18.75" hidden="1">
      <c r="B82" s="58"/>
      <c r="C82" s="60"/>
      <c r="D82" s="53" t="s">
        <v>57</v>
      </c>
      <c r="E82" s="64"/>
      <c r="F82" s="12">
        <v>0.83333333333333337</v>
      </c>
      <c r="G82" s="67" t="s">
        <v>74</v>
      </c>
      <c r="H82" s="68"/>
      <c r="I82" s="36"/>
      <c r="J82" s="9" t="str">
        <f t="shared" si="2"/>
        <v/>
      </c>
      <c r="K82" s="41"/>
      <c r="L82" s="41"/>
      <c r="M82" s="41"/>
      <c r="N82" s="41"/>
      <c r="O82" s="41"/>
      <c r="P82" s="41"/>
      <c r="Q82" s="41"/>
      <c r="R82" s="41"/>
      <c r="S82" s="13">
        <f t="shared" si="15"/>
        <v>0</v>
      </c>
      <c r="T82" s="13">
        <v>100000</v>
      </c>
      <c r="U82" s="13">
        <f t="shared" si="17"/>
        <v>0</v>
      </c>
      <c r="V82" s="4"/>
      <c r="Y82" s="4"/>
    </row>
    <row r="83" spans="2:25" ht="18.75" hidden="1">
      <c r="B83" s="58"/>
      <c r="C83" s="60"/>
      <c r="D83" s="51" t="s">
        <v>57</v>
      </c>
      <c r="E83" s="62" t="s">
        <v>102</v>
      </c>
      <c r="F83" s="5">
        <v>0.91666666666666663</v>
      </c>
      <c r="G83" s="65" t="s">
        <v>84</v>
      </c>
      <c r="H83" s="66"/>
      <c r="I83" s="34">
        <v>60</v>
      </c>
      <c r="J83" s="6">
        <f t="shared" ref="J83:J136" si="18">IFERROR(S83/I83,"")</f>
        <v>6.6666666666666666E-2</v>
      </c>
      <c r="K83" s="38">
        <v>2</v>
      </c>
      <c r="L83" s="38"/>
      <c r="M83" s="38"/>
      <c r="N83" s="38"/>
      <c r="O83" s="38"/>
      <c r="P83" s="38"/>
      <c r="Q83" s="38">
        <v>2</v>
      </c>
      <c r="R83" s="38"/>
      <c r="S83" s="7">
        <f t="shared" si="15"/>
        <v>4</v>
      </c>
      <c r="T83" s="7">
        <v>100000</v>
      </c>
      <c r="U83" s="7">
        <f t="shared" si="17"/>
        <v>400000</v>
      </c>
      <c r="V83" s="4"/>
      <c r="Y83" s="4"/>
    </row>
    <row r="84" spans="2:25" ht="18.75" hidden="1">
      <c r="B84" s="58"/>
      <c r="C84" s="60"/>
      <c r="D84" s="52" t="s">
        <v>57</v>
      </c>
      <c r="E84" s="63"/>
      <c r="F84" s="8">
        <v>1</v>
      </c>
      <c r="G84" s="67" t="s">
        <v>84</v>
      </c>
      <c r="H84" s="68"/>
      <c r="I84" s="35">
        <v>28</v>
      </c>
      <c r="J84" s="9">
        <f t="shared" si="18"/>
        <v>7.1428571428571425E-2</v>
      </c>
      <c r="K84" s="39"/>
      <c r="L84" s="39"/>
      <c r="M84" s="39">
        <v>2</v>
      </c>
      <c r="N84" s="39"/>
      <c r="O84" s="39"/>
      <c r="P84" s="39"/>
      <c r="Q84" s="39"/>
      <c r="R84" s="39"/>
      <c r="S84" s="10">
        <f t="shared" si="15"/>
        <v>2</v>
      </c>
      <c r="T84" s="10">
        <v>100000</v>
      </c>
      <c r="U84" s="10">
        <f t="shared" si="17"/>
        <v>200000</v>
      </c>
      <c r="V84" s="4"/>
      <c r="Y84" s="4"/>
    </row>
    <row r="85" spans="2:25" ht="18.75" hidden="1">
      <c r="B85" s="58"/>
      <c r="C85" s="60"/>
      <c r="D85" s="52" t="s">
        <v>57</v>
      </c>
      <c r="E85" s="63"/>
      <c r="F85" s="8">
        <v>8.3333333333333329E-2</v>
      </c>
      <c r="G85" s="67" t="s">
        <v>84</v>
      </c>
      <c r="H85" s="68"/>
      <c r="I85" s="35">
        <v>60</v>
      </c>
      <c r="J85" s="9">
        <f t="shared" si="18"/>
        <v>3.3333333333333333E-2</v>
      </c>
      <c r="K85" s="39"/>
      <c r="L85" s="39"/>
      <c r="M85" s="39">
        <v>2</v>
      </c>
      <c r="N85" s="39"/>
      <c r="O85" s="39"/>
      <c r="P85" s="39"/>
      <c r="Q85" s="39"/>
      <c r="R85" s="39"/>
      <c r="S85" s="10">
        <f t="shared" si="15"/>
        <v>2</v>
      </c>
      <c r="T85" s="10">
        <v>100000</v>
      </c>
      <c r="U85" s="10">
        <f t="shared" si="17"/>
        <v>200000</v>
      </c>
      <c r="V85" s="4"/>
      <c r="Y85" s="4"/>
    </row>
    <row r="86" spans="2:25" ht="18.75" hidden="1">
      <c r="B86" s="58"/>
      <c r="C86" s="60"/>
      <c r="D86" s="52" t="s">
        <v>57</v>
      </c>
      <c r="E86" s="63"/>
      <c r="F86" s="8">
        <v>0.16666666666666666</v>
      </c>
      <c r="G86" s="67" t="s">
        <v>84</v>
      </c>
      <c r="H86" s="68"/>
      <c r="I86" s="35">
        <v>60</v>
      </c>
      <c r="J86" s="9">
        <f t="shared" si="18"/>
        <v>3.3333333333333333E-2</v>
      </c>
      <c r="K86" s="39"/>
      <c r="L86" s="39"/>
      <c r="M86" s="39">
        <v>2</v>
      </c>
      <c r="N86" s="39"/>
      <c r="O86" s="39"/>
      <c r="P86" s="39"/>
      <c r="Q86" s="39"/>
      <c r="R86" s="39"/>
      <c r="S86" s="10">
        <f t="shared" si="15"/>
        <v>2</v>
      </c>
      <c r="T86" s="10">
        <v>100000</v>
      </c>
      <c r="U86" s="10">
        <f t="shared" si="17"/>
        <v>200000</v>
      </c>
      <c r="V86" s="4"/>
      <c r="W86" s="4"/>
      <c r="X86" s="4"/>
      <c r="Y86" s="4"/>
    </row>
    <row r="87" spans="2:25" ht="18.75" hidden="1">
      <c r="B87" s="58"/>
      <c r="C87" s="60"/>
      <c r="D87" s="52" t="s">
        <v>57</v>
      </c>
      <c r="E87" s="63"/>
      <c r="F87" s="8">
        <v>0.25</v>
      </c>
      <c r="G87" s="67" t="s">
        <v>84</v>
      </c>
      <c r="H87" s="68"/>
      <c r="I87" s="35">
        <v>40</v>
      </c>
      <c r="J87" s="9">
        <f t="shared" si="18"/>
        <v>2.5000000000000001E-2</v>
      </c>
      <c r="K87" s="39"/>
      <c r="L87" s="39"/>
      <c r="M87" s="39">
        <v>1</v>
      </c>
      <c r="N87" s="39"/>
      <c r="O87" s="39"/>
      <c r="P87" s="39"/>
      <c r="Q87" s="39"/>
      <c r="R87" s="39"/>
      <c r="S87" s="10">
        <f t="shared" si="15"/>
        <v>1</v>
      </c>
      <c r="T87" s="10">
        <v>100000</v>
      </c>
      <c r="U87" s="10">
        <f t="shared" si="17"/>
        <v>100000</v>
      </c>
      <c r="V87" s="4"/>
      <c r="Y87" s="4"/>
    </row>
    <row r="88" spans="2:25" ht="18.75" hidden="1">
      <c r="B88" s="58"/>
      <c r="C88" s="60"/>
      <c r="D88" s="53" t="s">
        <v>57</v>
      </c>
      <c r="E88" s="64"/>
      <c r="F88" s="14">
        <v>0.33333333333333331</v>
      </c>
      <c r="G88" s="67" t="s">
        <v>84</v>
      </c>
      <c r="H88" s="68"/>
      <c r="I88" s="37">
        <v>40</v>
      </c>
      <c r="J88" s="9">
        <f t="shared" si="18"/>
        <v>0</v>
      </c>
      <c r="K88" s="40"/>
      <c r="L88" s="40"/>
      <c r="M88" s="40"/>
      <c r="N88" s="40"/>
      <c r="O88" s="40"/>
      <c r="P88" s="40"/>
      <c r="Q88" s="40"/>
      <c r="R88" s="40"/>
      <c r="S88" s="16">
        <f t="shared" si="15"/>
        <v>0</v>
      </c>
      <c r="T88" s="16">
        <v>100000</v>
      </c>
      <c r="U88" s="16">
        <f t="shared" si="17"/>
        <v>0</v>
      </c>
      <c r="V88" s="4"/>
      <c r="W88" s="4"/>
      <c r="X88" s="4"/>
      <c r="Y88" s="4"/>
    </row>
    <row r="89" spans="2:25" ht="16.5" hidden="1" customHeight="1">
      <c r="B89" s="58">
        <v>46088</v>
      </c>
      <c r="C89" s="59" t="s">
        <v>15</v>
      </c>
      <c r="D89" s="51" t="s">
        <v>58</v>
      </c>
      <c r="E89" s="62" t="s">
        <v>101</v>
      </c>
      <c r="F89" s="5">
        <v>0.41666666666666669</v>
      </c>
      <c r="G89" s="65" t="s">
        <v>76</v>
      </c>
      <c r="H89" s="66"/>
      <c r="I89" s="34">
        <v>30</v>
      </c>
      <c r="J89" s="6">
        <f t="shared" si="18"/>
        <v>0.23333333333333334</v>
      </c>
      <c r="K89" s="38"/>
      <c r="L89" s="38"/>
      <c r="M89" s="38"/>
      <c r="N89" s="38"/>
      <c r="O89" s="38"/>
      <c r="P89" s="38"/>
      <c r="Q89" s="38">
        <v>7</v>
      </c>
      <c r="R89" s="38"/>
      <c r="S89" s="7">
        <f>SUM(K89:R89)</f>
        <v>7</v>
      </c>
      <c r="T89" s="7">
        <v>100000</v>
      </c>
      <c r="U89" s="7">
        <f>T89*S89</f>
        <v>700000</v>
      </c>
      <c r="V89" s="4"/>
      <c r="W89" s="4"/>
      <c r="X89" s="4"/>
      <c r="Y89" s="4"/>
    </row>
    <row r="90" spans="2:25" ht="18.75" hidden="1">
      <c r="B90" s="58"/>
      <c r="C90" s="60"/>
      <c r="D90" s="52" t="s">
        <v>58</v>
      </c>
      <c r="E90" s="63"/>
      <c r="F90" s="8">
        <v>0.5</v>
      </c>
      <c r="G90" s="67" t="s">
        <v>76</v>
      </c>
      <c r="H90" s="68"/>
      <c r="I90" s="35">
        <v>35</v>
      </c>
      <c r="J90" s="9">
        <f t="shared" si="18"/>
        <v>0</v>
      </c>
      <c r="K90" s="39"/>
      <c r="L90" s="39"/>
      <c r="M90" s="39"/>
      <c r="N90" s="39"/>
      <c r="O90" s="39"/>
      <c r="P90" s="39"/>
      <c r="Q90" s="39"/>
      <c r="R90" s="39"/>
      <c r="S90" s="10">
        <f t="shared" ref="S90:S100" si="19">SUM(K90:R90)</f>
        <v>0</v>
      </c>
      <c r="T90" s="10">
        <v>100000</v>
      </c>
      <c r="U90" s="10">
        <f t="shared" ref="U90:U91" si="20">T90*S90</f>
        <v>0</v>
      </c>
      <c r="V90" s="4"/>
      <c r="W90" s="4"/>
      <c r="X90" s="4"/>
      <c r="Y90" s="4"/>
    </row>
    <row r="91" spans="2:25" ht="18.75" hidden="1">
      <c r="B91" s="58"/>
      <c r="C91" s="60"/>
      <c r="D91" s="52" t="s">
        <v>58</v>
      </c>
      <c r="E91" s="63"/>
      <c r="F91" s="8">
        <v>0.58333333333333337</v>
      </c>
      <c r="G91" s="67" t="s">
        <v>76</v>
      </c>
      <c r="H91" s="68"/>
      <c r="I91" s="35">
        <v>72</v>
      </c>
      <c r="J91" s="9">
        <f t="shared" si="18"/>
        <v>0</v>
      </c>
      <c r="K91" s="39"/>
      <c r="L91" s="39"/>
      <c r="M91" s="39"/>
      <c r="N91" s="39"/>
      <c r="O91" s="39"/>
      <c r="P91" s="39"/>
      <c r="Q91" s="39"/>
      <c r="R91" s="39"/>
      <c r="S91" s="10">
        <f t="shared" si="19"/>
        <v>0</v>
      </c>
      <c r="T91" s="10">
        <v>100000</v>
      </c>
      <c r="U91" s="10">
        <f t="shared" si="20"/>
        <v>0</v>
      </c>
      <c r="V91" s="4"/>
      <c r="W91" s="4"/>
      <c r="X91" s="4"/>
      <c r="Y91" s="4"/>
    </row>
    <row r="92" spans="2:25" ht="18.75" hidden="1">
      <c r="B92" s="58"/>
      <c r="C92" s="60"/>
      <c r="D92" s="52" t="s">
        <v>58</v>
      </c>
      <c r="E92" s="63"/>
      <c r="F92" s="8">
        <v>0.66666666666666663</v>
      </c>
      <c r="G92" s="67" t="s">
        <v>76</v>
      </c>
      <c r="H92" s="68"/>
      <c r="I92" s="35">
        <v>50</v>
      </c>
      <c r="J92" s="9">
        <f t="shared" si="18"/>
        <v>0</v>
      </c>
      <c r="K92" s="39"/>
      <c r="L92" s="39"/>
      <c r="M92" s="39"/>
      <c r="N92" s="39"/>
      <c r="O92" s="39"/>
      <c r="P92" s="39"/>
      <c r="Q92" s="39"/>
      <c r="R92" s="39"/>
      <c r="S92" s="10">
        <f t="shared" si="19"/>
        <v>0</v>
      </c>
      <c r="T92" s="10">
        <v>100000</v>
      </c>
      <c r="U92" s="10">
        <f>T92*S92</f>
        <v>0</v>
      </c>
      <c r="V92" s="4"/>
      <c r="W92" s="4"/>
      <c r="X92" s="4"/>
      <c r="Y92" s="4"/>
    </row>
    <row r="93" spans="2:25" ht="18.75" hidden="1">
      <c r="B93" s="58"/>
      <c r="C93" s="60"/>
      <c r="D93" s="52" t="s">
        <v>58</v>
      </c>
      <c r="E93" s="63"/>
      <c r="F93" s="8">
        <v>0.75</v>
      </c>
      <c r="G93" s="67" t="s">
        <v>76</v>
      </c>
      <c r="H93" s="68"/>
      <c r="I93" s="35">
        <v>65</v>
      </c>
      <c r="J93" s="9">
        <f t="shared" si="18"/>
        <v>0</v>
      </c>
      <c r="K93" s="39"/>
      <c r="L93" s="39"/>
      <c r="M93" s="39"/>
      <c r="N93" s="39"/>
      <c r="O93" s="39"/>
      <c r="P93" s="39"/>
      <c r="Q93" s="39"/>
      <c r="R93" s="39"/>
      <c r="S93" s="10">
        <f t="shared" si="19"/>
        <v>0</v>
      </c>
      <c r="T93" s="10">
        <v>100000</v>
      </c>
      <c r="U93" s="10">
        <f t="shared" ref="U93:U100" si="21">T93*S93</f>
        <v>0</v>
      </c>
      <c r="V93" s="4"/>
      <c r="W93" s="4"/>
      <c r="X93" s="11"/>
      <c r="Y93" s="4"/>
    </row>
    <row r="94" spans="2:25" ht="18.75" hidden="1">
      <c r="B94" s="58"/>
      <c r="C94" s="60"/>
      <c r="D94" s="53" t="s">
        <v>58</v>
      </c>
      <c r="E94" s="64"/>
      <c r="F94" s="12">
        <v>0.83333333333333337</v>
      </c>
      <c r="G94" s="67" t="s">
        <v>76</v>
      </c>
      <c r="H94" s="68"/>
      <c r="I94" s="36"/>
      <c r="J94" s="9" t="str">
        <f t="shared" si="18"/>
        <v/>
      </c>
      <c r="K94" s="41"/>
      <c r="L94" s="41"/>
      <c r="M94" s="41"/>
      <c r="N94" s="41"/>
      <c r="O94" s="41"/>
      <c r="P94" s="41"/>
      <c r="Q94" s="41"/>
      <c r="R94" s="41"/>
      <c r="S94" s="13">
        <f t="shared" si="19"/>
        <v>0</v>
      </c>
      <c r="T94" s="13">
        <v>100000</v>
      </c>
      <c r="U94" s="13">
        <f t="shared" si="21"/>
        <v>0</v>
      </c>
      <c r="V94" s="4"/>
      <c r="Y94" s="4"/>
    </row>
    <row r="95" spans="2:25" ht="18.75" hidden="1">
      <c r="B95" s="58"/>
      <c r="C95" s="60"/>
      <c r="D95" s="51" t="s">
        <v>58</v>
      </c>
      <c r="E95" s="62" t="s">
        <v>102</v>
      </c>
      <c r="F95" s="5">
        <v>0.91666666666666663</v>
      </c>
      <c r="G95" s="65" t="s">
        <v>84</v>
      </c>
      <c r="H95" s="66"/>
      <c r="I95" s="34">
        <v>30</v>
      </c>
      <c r="J95" s="6">
        <f t="shared" si="18"/>
        <v>0.2</v>
      </c>
      <c r="K95" s="38"/>
      <c r="L95" s="38"/>
      <c r="M95" s="38"/>
      <c r="N95" s="38"/>
      <c r="O95" s="38"/>
      <c r="P95" s="38"/>
      <c r="Q95" s="38">
        <v>6</v>
      </c>
      <c r="R95" s="38"/>
      <c r="S95" s="7">
        <f t="shared" si="19"/>
        <v>6</v>
      </c>
      <c r="T95" s="7">
        <v>100000</v>
      </c>
      <c r="U95" s="7">
        <f t="shared" si="21"/>
        <v>600000</v>
      </c>
      <c r="V95" s="4"/>
      <c r="Y95" s="4"/>
    </row>
    <row r="96" spans="2:25" ht="18.75" hidden="1">
      <c r="B96" s="58"/>
      <c r="C96" s="60"/>
      <c r="D96" s="52" t="s">
        <v>58</v>
      </c>
      <c r="E96" s="63"/>
      <c r="F96" s="8">
        <v>1</v>
      </c>
      <c r="G96" s="67" t="s">
        <v>84</v>
      </c>
      <c r="H96" s="68"/>
      <c r="I96" s="35">
        <v>54</v>
      </c>
      <c r="J96" s="9">
        <f t="shared" si="18"/>
        <v>5.5555555555555552E-2</v>
      </c>
      <c r="K96" s="39"/>
      <c r="L96" s="39"/>
      <c r="M96" s="39"/>
      <c r="N96" s="39"/>
      <c r="O96" s="39"/>
      <c r="P96" s="39"/>
      <c r="Q96" s="39"/>
      <c r="R96" s="39">
        <v>3</v>
      </c>
      <c r="S96" s="10">
        <f t="shared" si="19"/>
        <v>3</v>
      </c>
      <c r="T96" s="10">
        <v>100000</v>
      </c>
      <c r="U96" s="10">
        <f t="shared" si="21"/>
        <v>300000</v>
      </c>
      <c r="V96" s="4"/>
      <c r="Y96" s="4"/>
    </row>
    <row r="97" spans="2:25" ht="18.75" hidden="1">
      <c r="B97" s="58"/>
      <c r="C97" s="60"/>
      <c r="D97" s="52" t="s">
        <v>58</v>
      </c>
      <c r="E97" s="63"/>
      <c r="F97" s="8">
        <v>8.3333333333333329E-2</v>
      </c>
      <c r="G97" s="67" t="s">
        <v>84</v>
      </c>
      <c r="H97" s="68"/>
      <c r="I97" s="35">
        <v>57</v>
      </c>
      <c r="J97" s="9">
        <f t="shared" si="18"/>
        <v>0</v>
      </c>
      <c r="K97" s="39"/>
      <c r="L97" s="39"/>
      <c r="M97" s="39"/>
      <c r="N97" s="39"/>
      <c r="O97" s="39"/>
      <c r="P97" s="39"/>
      <c r="Q97" s="39"/>
      <c r="R97" s="39"/>
      <c r="S97" s="10">
        <f t="shared" si="19"/>
        <v>0</v>
      </c>
      <c r="T97" s="10">
        <v>100000</v>
      </c>
      <c r="U97" s="10">
        <f t="shared" si="21"/>
        <v>0</v>
      </c>
      <c r="V97" s="4"/>
      <c r="Y97" s="4"/>
    </row>
    <row r="98" spans="2:25" ht="18.75" hidden="1">
      <c r="B98" s="58"/>
      <c r="C98" s="60"/>
      <c r="D98" s="52" t="s">
        <v>58</v>
      </c>
      <c r="E98" s="63"/>
      <c r="F98" s="8">
        <v>0.16666666666666666</v>
      </c>
      <c r="G98" s="67" t="s">
        <v>84</v>
      </c>
      <c r="H98" s="68"/>
      <c r="I98" s="35">
        <v>57</v>
      </c>
      <c r="J98" s="9">
        <f t="shared" si="18"/>
        <v>0</v>
      </c>
      <c r="K98" s="39"/>
      <c r="L98" s="39"/>
      <c r="M98" s="39"/>
      <c r="N98" s="39"/>
      <c r="O98" s="39"/>
      <c r="P98" s="39"/>
      <c r="Q98" s="39"/>
      <c r="R98" s="39"/>
      <c r="S98" s="10">
        <f t="shared" si="19"/>
        <v>0</v>
      </c>
      <c r="T98" s="10">
        <v>100000</v>
      </c>
      <c r="U98" s="10">
        <f t="shared" si="21"/>
        <v>0</v>
      </c>
      <c r="V98" s="4"/>
      <c r="W98" s="4"/>
      <c r="X98" s="4"/>
      <c r="Y98" s="4"/>
    </row>
    <row r="99" spans="2:25" ht="18.75" hidden="1">
      <c r="B99" s="58"/>
      <c r="C99" s="60"/>
      <c r="D99" s="52" t="s">
        <v>58</v>
      </c>
      <c r="E99" s="63"/>
      <c r="F99" s="8">
        <v>0.25</v>
      </c>
      <c r="G99" s="67" t="s">
        <v>84</v>
      </c>
      <c r="H99" s="68"/>
      <c r="I99" s="35">
        <v>57</v>
      </c>
      <c r="J99" s="9">
        <f t="shared" si="18"/>
        <v>0</v>
      </c>
      <c r="K99" s="39"/>
      <c r="L99" s="39"/>
      <c r="M99" s="39"/>
      <c r="N99" s="39"/>
      <c r="O99" s="39"/>
      <c r="P99" s="39"/>
      <c r="Q99" s="39"/>
      <c r="R99" s="39"/>
      <c r="S99" s="10">
        <f t="shared" si="19"/>
        <v>0</v>
      </c>
      <c r="T99" s="10">
        <v>100000</v>
      </c>
      <c r="U99" s="10">
        <f t="shared" si="21"/>
        <v>0</v>
      </c>
      <c r="V99" s="4"/>
      <c r="Y99" s="4"/>
    </row>
    <row r="100" spans="2:25" ht="18.75" hidden="1">
      <c r="B100" s="58"/>
      <c r="C100" s="60"/>
      <c r="D100" s="53" t="s">
        <v>58</v>
      </c>
      <c r="E100" s="64"/>
      <c r="F100" s="14">
        <v>0.33333333333333331</v>
      </c>
      <c r="G100" s="67" t="s">
        <v>84</v>
      </c>
      <c r="H100" s="68"/>
      <c r="I100" s="37">
        <v>57</v>
      </c>
      <c r="J100" s="9">
        <f t="shared" si="18"/>
        <v>0</v>
      </c>
      <c r="K100" s="40"/>
      <c r="L100" s="40"/>
      <c r="M100" s="40"/>
      <c r="N100" s="40"/>
      <c r="O100" s="40"/>
      <c r="P100" s="40"/>
      <c r="Q100" s="40"/>
      <c r="R100" s="40"/>
      <c r="S100" s="16">
        <f t="shared" si="19"/>
        <v>0</v>
      </c>
      <c r="T100" s="16">
        <v>100000</v>
      </c>
      <c r="U100" s="16">
        <f t="shared" si="21"/>
        <v>0</v>
      </c>
      <c r="V100" s="4"/>
      <c r="W100" s="4"/>
      <c r="X100" s="4"/>
      <c r="Y100" s="4"/>
    </row>
    <row r="101" spans="2:25" ht="16.5" hidden="1" customHeight="1">
      <c r="B101" s="58">
        <v>46089</v>
      </c>
      <c r="C101" s="59" t="s">
        <v>15</v>
      </c>
      <c r="D101" s="51"/>
      <c r="E101" s="62" t="s">
        <v>101</v>
      </c>
      <c r="F101" s="5">
        <v>0.41666666666666669</v>
      </c>
      <c r="G101" s="65"/>
      <c r="H101" s="66"/>
      <c r="I101" s="34"/>
      <c r="J101" s="6" t="str">
        <f t="shared" si="18"/>
        <v/>
      </c>
      <c r="K101" s="38"/>
      <c r="L101" s="38"/>
      <c r="M101" s="38"/>
      <c r="N101" s="38"/>
      <c r="O101" s="38"/>
      <c r="P101" s="38"/>
      <c r="Q101" s="38"/>
      <c r="R101" s="38"/>
      <c r="S101" s="7">
        <f>SUM(K101:R101)</f>
        <v>0</v>
      </c>
      <c r="T101" s="7">
        <v>100000</v>
      </c>
      <c r="U101" s="7">
        <f>T101*S101</f>
        <v>0</v>
      </c>
      <c r="V101" s="4"/>
      <c r="W101" s="4"/>
      <c r="X101" s="4"/>
      <c r="Y101" s="4"/>
    </row>
    <row r="102" spans="2:25" ht="18.75" hidden="1">
      <c r="B102" s="58"/>
      <c r="C102" s="60"/>
      <c r="D102" s="52"/>
      <c r="E102" s="63"/>
      <c r="F102" s="8">
        <v>0.5</v>
      </c>
      <c r="G102" s="67"/>
      <c r="H102" s="68"/>
      <c r="I102" s="35"/>
      <c r="J102" s="9" t="str">
        <f t="shared" si="18"/>
        <v/>
      </c>
      <c r="K102" s="39"/>
      <c r="L102" s="39"/>
      <c r="M102" s="39"/>
      <c r="N102" s="39"/>
      <c r="O102" s="39"/>
      <c r="P102" s="39"/>
      <c r="Q102" s="39"/>
      <c r="R102" s="39"/>
      <c r="S102" s="10">
        <f t="shared" ref="S102:S112" si="22">SUM(K102:R102)</f>
        <v>0</v>
      </c>
      <c r="T102" s="10">
        <v>100000</v>
      </c>
      <c r="U102" s="10">
        <f t="shared" ref="U102:U103" si="23">T102*S102</f>
        <v>0</v>
      </c>
      <c r="V102" s="4"/>
      <c r="W102" s="4"/>
      <c r="X102" s="4"/>
      <c r="Y102" s="4"/>
    </row>
    <row r="103" spans="2:25" ht="18.75" hidden="1">
      <c r="B103" s="58"/>
      <c r="C103" s="60"/>
      <c r="D103" s="52"/>
      <c r="E103" s="63"/>
      <c r="F103" s="8">
        <v>0.58333333333333337</v>
      </c>
      <c r="G103" s="67"/>
      <c r="H103" s="68"/>
      <c r="I103" s="35"/>
      <c r="J103" s="9" t="str">
        <f t="shared" si="18"/>
        <v/>
      </c>
      <c r="K103" s="39"/>
      <c r="L103" s="39"/>
      <c r="M103" s="39"/>
      <c r="N103" s="39"/>
      <c r="O103" s="39"/>
      <c r="P103" s="39"/>
      <c r="Q103" s="39"/>
      <c r="R103" s="39"/>
      <c r="S103" s="10">
        <f t="shared" si="22"/>
        <v>0</v>
      </c>
      <c r="T103" s="10">
        <v>100000</v>
      </c>
      <c r="U103" s="10">
        <f t="shared" si="23"/>
        <v>0</v>
      </c>
      <c r="V103" s="4"/>
      <c r="W103" s="4"/>
      <c r="X103" s="4"/>
      <c r="Y103" s="4"/>
    </row>
    <row r="104" spans="2:25" ht="18.75" hidden="1">
      <c r="B104" s="58"/>
      <c r="C104" s="60"/>
      <c r="D104" s="52"/>
      <c r="E104" s="63"/>
      <c r="F104" s="8">
        <v>0.66666666666666663</v>
      </c>
      <c r="G104" s="67"/>
      <c r="H104" s="68"/>
      <c r="I104" s="35"/>
      <c r="J104" s="9" t="str">
        <f t="shared" si="18"/>
        <v/>
      </c>
      <c r="K104" s="39"/>
      <c r="L104" s="39"/>
      <c r="M104" s="39"/>
      <c r="N104" s="39"/>
      <c r="O104" s="39"/>
      <c r="P104" s="39"/>
      <c r="Q104" s="39"/>
      <c r="R104" s="39"/>
      <c r="S104" s="10">
        <f t="shared" si="22"/>
        <v>0</v>
      </c>
      <c r="T104" s="10">
        <v>100000</v>
      </c>
      <c r="U104" s="10">
        <f>T104*S104</f>
        <v>0</v>
      </c>
      <c r="V104" s="4"/>
      <c r="W104" s="4"/>
      <c r="X104" s="4"/>
      <c r="Y104" s="4"/>
    </row>
    <row r="105" spans="2:25" ht="18.75" hidden="1">
      <c r="B105" s="58"/>
      <c r="C105" s="60"/>
      <c r="D105" s="52"/>
      <c r="E105" s="63"/>
      <c r="F105" s="8">
        <v>0.75</v>
      </c>
      <c r="G105" s="67"/>
      <c r="H105" s="68"/>
      <c r="I105" s="35"/>
      <c r="J105" s="9" t="str">
        <f t="shared" si="18"/>
        <v/>
      </c>
      <c r="K105" s="39"/>
      <c r="L105" s="39"/>
      <c r="M105" s="39"/>
      <c r="N105" s="39"/>
      <c r="O105" s="39"/>
      <c r="P105" s="39"/>
      <c r="Q105" s="39"/>
      <c r="R105" s="39"/>
      <c r="S105" s="10">
        <f t="shared" si="22"/>
        <v>0</v>
      </c>
      <c r="T105" s="10">
        <v>100000</v>
      </c>
      <c r="U105" s="10">
        <f t="shared" ref="U105:U112" si="24">T105*S105</f>
        <v>0</v>
      </c>
      <c r="V105" s="4"/>
      <c r="W105" s="4"/>
      <c r="X105" s="11"/>
      <c r="Y105" s="4"/>
    </row>
    <row r="106" spans="2:25" ht="18.75" hidden="1">
      <c r="B106" s="58"/>
      <c r="C106" s="60"/>
      <c r="D106" s="53"/>
      <c r="E106" s="64"/>
      <c r="F106" s="12">
        <v>0.83333333333333337</v>
      </c>
      <c r="G106" s="67"/>
      <c r="H106" s="68"/>
      <c r="I106" s="36"/>
      <c r="J106" s="9" t="str">
        <f t="shared" si="18"/>
        <v/>
      </c>
      <c r="K106" s="41"/>
      <c r="L106" s="41"/>
      <c r="M106" s="41"/>
      <c r="N106" s="41"/>
      <c r="O106" s="41"/>
      <c r="P106" s="41"/>
      <c r="Q106" s="41"/>
      <c r="R106" s="41"/>
      <c r="S106" s="13">
        <f t="shared" si="22"/>
        <v>0</v>
      </c>
      <c r="T106" s="13">
        <v>100000</v>
      </c>
      <c r="U106" s="13">
        <f t="shared" si="24"/>
        <v>0</v>
      </c>
      <c r="V106" s="4"/>
      <c r="Y106" s="4"/>
    </row>
    <row r="107" spans="2:25" ht="18.75" hidden="1">
      <c r="B107" s="58"/>
      <c r="C107" s="60"/>
      <c r="D107" s="51"/>
      <c r="E107" s="62" t="s">
        <v>102</v>
      </c>
      <c r="F107" s="5">
        <v>0.91666666666666663</v>
      </c>
      <c r="G107" s="65"/>
      <c r="H107" s="66"/>
      <c r="I107" s="34"/>
      <c r="J107" s="6" t="str">
        <f t="shared" si="18"/>
        <v/>
      </c>
      <c r="K107" s="38"/>
      <c r="L107" s="38"/>
      <c r="M107" s="38"/>
      <c r="N107" s="38"/>
      <c r="O107" s="38"/>
      <c r="P107" s="38"/>
      <c r="Q107" s="38"/>
      <c r="R107" s="38"/>
      <c r="S107" s="7">
        <f t="shared" si="22"/>
        <v>0</v>
      </c>
      <c r="T107" s="7">
        <v>100000</v>
      </c>
      <c r="U107" s="7">
        <f t="shared" si="24"/>
        <v>0</v>
      </c>
      <c r="V107" s="4"/>
      <c r="Y107" s="4"/>
    </row>
    <row r="108" spans="2:25" ht="18.75" hidden="1">
      <c r="B108" s="58"/>
      <c r="C108" s="60"/>
      <c r="D108" s="52"/>
      <c r="E108" s="63"/>
      <c r="F108" s="8">
        <v>1</v>
      </c>
      <c r="G108" s="67"/>
      <c r="H108" s="68"/>
      <c r="I108" s="35"/>
      <c r="J108" s="9" t="str">
        <f t="shared" si="18"/>
        <v/>
      </c>
      <c r="K108" s="39"/>
      <c r="L108" s="39"/>
      <c r="M108" s="39"/>
      <c r="N108" s="39"/>
      <c r="O108" s="39"/>
      <c r="P108" s="39"/>
      <c r="Q108" s="39"/>
      <c r="R108" s="39"/>
      <c r="S108" s="10">
        <f t="shared" si="22"/>
        <v>0</v>
      </c>
      <c r="T108" s="10">
        <v>100000</v>
      </c>
      <c r="U108" s="10">
        <f t="shared" si="24"/>
        <v>0</v>
      </c>
      <c r="V108" s="4"/>
      <c r="Y108" s="4"/>
    </row>
    <row r="109" spans="2:25" ht="18.75" hidden="1">
      <c r="B109" s="58"/>
      <c r="C109" s="60"/>
      <c r="D109" s="52"/>
      <c r="E109" s="63"/>
      <c r="F109" s="8">
        <v>8.3333333333333329E-2</v>
      </c>
      <c r="G109" s="67"/>
      <c r="H109" s="68"/>
      <c r="I109" s="35"/>
      <c r="J109" s="9" t="str">
        <f t="shared" si="18"/>
        <v/>
      </c>
      <c r="K109" s="39"/>
      <c r="L109" s="39"/>
      <c r="M109" s="39"/>
      <c r="N109" s="39"/>
      <c r="O109" s="39"/>
      <c r="P109" s="39"/>
      <c r="Q109" s="39"/>
      <c r="R109" s="39"/>
      <c r="S109" s="10">
        <f t="shared" si="22"/>
        <v>0</v>
      </c>
      <c r="T109" s="10">
        <v>100000</v>
      </c>
      <c r="U109" s="10">
        <f t="shared" si="24"/>
        <v>0</v>
      </c>
      <c r="V109" s="4"/>
      <c r="Y109" s="4"/>
    </row>
    <row r="110" spans="2:25" ht="18.75" hidden="1">
      <c r="B110" s="58"/>
      <c r="C110" s="60"/>
      <c r="D110" s="52"/>
      <c r="E110" s="63"/>
      <c r="F110" s="8">
        <v>0.16666666666666666</v>
      </c>
      <c r="G110" s="67"/>
      <c r="H110" s="68"/>
      <c r="I110" s="35"/>
      <c r="J110" s="9" t="str">
        <f t="shared" si="18"/>
        <v/>
      </c>
      <c r="K110" s="39"/>
      <c r="L110" s="39"/>
      <c r="M110" s="39"/>
      <c r="N110" s="39"/>
      <c r="O110" s="39"/>
      <c r="P110" s="39"/>
      <c r="Q110" s="39"/>
      <c r="R110" s="39"/>
      <c r="S110" s="10">
        <f t="shared" si="22"/>
        <v>0</v>
      </c>
      <c r="T110" s="10">
        <v>100000</v>
      </c>
      <c r="U110" s="10">
        <f t="shared" si="24"/>
        <v>0</v>
      </c>
      <c r="V110" s="4"/>
      <c r="W110" s="4"/>
      <c r="X110" s="4"/>
      <c r="Y110" s="4"/>
    </row>
    <row r="111" spans="2:25" ht="18.75" hidden="1">
      <c r="B111" s="58"/>
      <c r="C111" s="60"/>
      <c r="D111" s="52"/>
      <c r="E111" s="63"/>
      <c r="F111" s="8">
        <v>0.25</v>
      </c>
      <c r="G111" s="67"/>
      <c r="H111" s="68"/>
      <c r="I111" s="35"/>
      <c r="J111" s="9" t="str">
        <f t="shared" si="18"/>
        <v/>
      </c>
      <c r="K111" s="39"/>
      <c r="L111" s="39"/>
      <c r="M111" s="39"/>
      <c r="N111" s="39"/>
      <c r="O111" s="39"/>
      <c r="P111" s="39"/>
      <c r="Q111" s="39"/>
      <c r="R111" s="39"/>
      <c r="S111" s="10">
        <f t="shared" si="22"/>
        <v>0</v>
      </c>
      <c r="T111" s="10">
        <v>100000</v>
      </c>
      <c r="U111" s="10">
        <f t="shared" si="24"/>
        <v>0</v>
      </c>
      <c r="V111" s="4"/>
      <c r="Y111" s="4"/>
    </row>
    <row r="112" spans="2:25" ht="18.75" hidden="1">
      <c r="B112" s="58"/>
      <c r="C112" s="60"/>
      <c r="D112" s="53"/>
      <c r="E112" s="64"/>
      <c r="F112" s="14">
        <v>0.33333333333333331</v>
      </c>
      <c r="G112" s="67"/>
      <c r="H112" s="68"/>
      <c r="I112" s="37"/>
      <c r="J112" s="9" t="str">
        <f t="shared" si="18"/>
        <v/>
      </c>
      <c r="K112" s="40"/>
      <c r="L112" s="40"/>
      <c r="M112" s="40"/>
      <c r="N112" s="40"/>
      <c r="O112" s="40"/>
      <c r="P112" s="40"/>
      <c r="Q112" s="40"/>
      <c r="R112" s="40"/>
      <c r="S112" s="16">
        <f t="shared" si="22"/>
        <v>0</v>
      </c>
      <c r="T112" s="16">
        <v>100000</v>
      </c>
      <c r="U112" s="16">
        <f t="shared" si="24"/>
        <v>0</v>
      </c>
      <c r="V112" s="4"/>
      <c r="W112" s="4"/>
      <c r="X112" s="4"/>
      <c r="Y112" s="4"/>
    </row>
    <row r="113" spans="2:25" ht="16.5" hidden="1" customHeight="1">
      <c r="B113" s="58">
        <v>46090</v>
      </c>
      <c r="C113" s="59" t="s">
        <v>15</v>
      </c>
      <c r="D113" s="51"/>
      <c r="E113" s="62" t="s">
        <v>101</v>
      </c>
      <c r="F113" s="5">
        <v>0.41666666666666669</v>
      </c>
      <c r="G113" s="65"/>
      <c r="H113" s="66"/>
      <c r="I113" s="34"/>
      <c r="J113" s="6" t="str">
        <f t="shared" si="18"/>
        <v/>
      </c>
      <c r="K113" s="38"/>
      <c r="L113" s="38"/>
      <c r="M113" s="38"/>
      <c r="N113" s="38"/>
      <c r="O113" s="38"/>
      <c r="P113" s="38"/>
      <c r="Q113" s="38"/>
      <c r="R113" s="38"/>
      <c r="S113" s="7">
        <f>SUM(K113:R113)</f>
        <v>0</v>
      </c>
      <c r="T113" s="7">
        <v>100000</v>
      </c>
      <c r="U113" s="7">
        <f>T113*S113</f>
        <v>0</v>
      </c>
      <c r="V113" s="4"/>
      <c r="W113" s="4"/>
      <c r="X113" s="4"/>
      <c r="Y113" s="4"/>
    </row>
    <row r="114" spans="2:25" ht="18.75" hidden="1">
      <c r="B114" s="58"/>
      <c r="C114" s="60"/>
      <c r="D114" s="52"/>
      <c r="E114" s="63"/>
      <c r="F114" s="8">
        <v>0.5</v>
      </c>
      <c r="G114" s="67"/>
      <c r="H114" s="68"/>
      <c r="I114" s="35"/>
      <c r="J114" s="9" t="str">
        <f t="shared" si="18"/>
        <v/>
      </c>
      <c r="K114" s="39"/>
      <c r="L114" s="39"/>
      <c r="M114" s="39"/>
      <c r="N114" s="39"/>
      <c r="O114" s="39"/>
      <c r="P114" s="39"/>
      <c r="Q114" s="39"/>
      <c r="R114" s="39"/>
      <c r="S114" s="10">
        <f t="shared" ref="S114:S124" si="25">SUM(K114:R114)</f>
        <v>0</v>
      </c>
      <c r="T114" s="10">
        <v>100000</v>
      </c>
      <c r="U114" s="10">
        <f t="shared" ref="U114:U115" si="26">T114*S114</f>
        <v>0</v>
      </c>
      <c r="V114" s="4"/>
      <c r="W114" s="4"/>
      <c r="X114" s="4"/>
      <c r="Y114" s="4"/>
    </row>
    <row r="115" spans="2:25" ht="18.75" hidden="1">
      <c r="B115" s="58"/>
      <c r="C115" s="60"/>
      <c r="D115" s="52"/>
      <c r="E115" s="63"/>
      <c r="F115" s="8">
        <v>0.58333333333333337</v>
      </c>
      <c r="G115" s="67"/>
      <c r="H115" s="68"/>
      <c r="I115" s="35"/>
      <c r="J115" s="9" t="str">
        <f t="shared" si="18"/>
        <v/>
      </c>
      <c r="K115" s="39"/>
      <c r="L115" s="39"/>
      <c r="M115" s="39"/>
      <c r="N115" s="39"/>
      <c r="O115" s="39"/>
      <c r="P115" s="39"/>
      <c r="Q115" s="39"/>
      <c r="R115" s="39"/>
      <c r="S115" s="10">
        <f t="shared" si="25"/>
        <v>0</v>
      </c>
      <c r="T115" s="10">
        <v>100000</v>
      </c>
      <c r="U115" s="10">
        <f t="shared" si="26"/>
        <v>0</v>
      </c>
      <c r="V115" s="4"/>
      <c r="W115" s="4"/>
      <c r="X115" s="4"/>
      <c r="Y115" s="4"/>
    </row>
    <row r="116" spans="2:25" ht="18.75" hidden="1">
      <c r="B116" s="58"/>
      <c r="C116" s="60"/>
      <c r="D116" s="52"/>
      <c r="E116" s="63"/>
      <c r="F116" s="8">
        <v>0.66666666666666663</v>
      </c>
      <c r="G116" s="67"/>
      <c r="H116" s="68"/>
      <c r="I116" s="35"/>
      <c r="J116" s="9" t="str">
        <f t="shared" si="18"/>
        <v/>
      </c>
      <c r="K116" s="39"/>
      <c r="L116" s="39"/>
      <c r="M116" s="39"/>
      <c r="N116" s="39"/>
      <c r="O116" s="39"/>
      <c r="P116" s="39"/>
      <c r="Q116" s="39"/>
      <c r="R116" s="39"/>
      <c r="S116" s="10">
        <f t="shared" si="25"/>
        <v>0</v>
      </c>
      <c r="T116" s="10">
        <v>100000</v>
      </c>
      <c r="U116" s="10">
        <f>T116*S116</f>
        <v>0</v>
      </c>
      <c r="V116" s="4"/>
      <c r="W116" s="4"/>
      <c r="X116" s="4"/>
      <c r="Y116" s="4"/>
    </row>
    <row r="117" spans="2:25" ht="18.75" hidden="1">
      <c r="B117" s="58"/>
      <c r="C117" s="60"/>
      <c r="D117" s="52"/>
      <c r="E117" s="63"/>
      <c r="F117" s="8">
        <v>0.75</v>
      </c>
      <c r="G117" s="67"/>
      <c r="H117" s="68"/>
      <c r="I117" s="35"/>
      <c r="J117" s="9" t="str">
        <f t="shared" si="18"/>
        <v/>
      </c>
      <c r="K117" s="39"/>
      <c r="L117" s="39"/>
      <c r="M117" s="39"/>
      <c r="N117" s="39"/>
      <c r="O117" s="39"/>
      <c r="P117" s="39"/>
      <c r="Q117" s="39"/>
      <c r="R117" s="39"/>
      <c r="S117" s="10">
        <f t="shared" si="25"/>
        <v>0</v>
      </c>
      <c r="T117" s="10">
        <v>100000</v>
      </c>
      <c r="U117" s="10">
        <f t="shared" ref="U117:U124" si="27">T117*S117</f>
        <v>0</v>
      </c>
      <c r="V117" s="4"/>
      <c r="W117" s="4"/>
      <c r="X117" s="11"/>
      <c r="Y117" s="4"/>
    </row>
    <row r="118" spans="2:25" ht="18.75" hidden="1">
      <c r="B118" s="58"/>
      <c r="C118" s="60"/>
      <c r="D118" s="53"/>
      <c r="E118" s="64"/>
      <c r="F118" s="12">
        <v>0.83333333333333337</v>
      </c>
      <c r="G118" s="67"/>
      <c r="H118" s="68"/>
      <c r="I118" s="36"/>
      <c r="J118" s="9" t="str">
        <f t="shared" si="18"/>
        <v/>
      </c>
      <c r="K118" s="41"/>
      <c r="L118" s="41"/>
      <c r="M118" s="41"/>
      <c r="N118" s="41"/>
      <c r="O118" s="41"/>
      <c r="P118" s="41"/>
      <c r="Q118" s="41"/>
      <c r="R118" s="41"/>
      <c r="S118" s="13">
        <f t="shared" si="25"/>
        <v>0</v>
      </c>
      <c r="T118" s="13">
        <v>100000</v>
      </c>
      <c r="U118" s="13">
        <f t="shared" si="27"/>
        <v>0</v>
      </c>
      <c r="V118" s="4"/>
      <c r="Y118" s="4"/>
    </row>
    <row r="119" spans="2:25" ht="18.75" hidden="1">
      <c r="B119" s="58"/>
      <c r="C119" s="60"/>
      <c r="D119" s="51"/>
      <c r="E119" s="62" t="s">
        <v>102</v>
      </c>
      <c r="F119" s="5">
        <v>0.91666666666666663</v>
      </c>
      <c r="G119" s="65"/>
      <c r="H119" s="66"/>
      <c r="I119" s="34"/>
      <c r="J119" s="6" t="str">
        <f t="shared" si="18"/>
        <v/>
      </c>
      <c r="K119" s="38"/>
      <c r="L119" s="38"/>
      <c r="M119" s="38"/>
      <c r="N119" s="38"/>
      <c r="O119" s="38"/>
      <c r="P119" s="38"/>
      <c r="Q119" s="38"/>
      <c r="R119" s="38"/>
      <c r="S119" s="7">
        <f t="shared" si="25"/>
        <v>0</v>
      </c>
      <c r="T119" s="7">
        <v>100000</v>
      </c>
      <c r="U119" s="7">
        <f t="shared" si="27"/>
        <v>0</v>
      </c>
      <c r="V119" s="4"/>
      <c r="Y119" s="4"/>
    </row>
    <row r="120" spans="2:25" ht="18.75" hidden="1">
      <c r="B120" s="58"/>
      <c r="C120" s="60"/>
      <c r="D120" s="52"/>
      <c r="E120" s="63"/>
      <c r="F120" s="8">
        <v>1</v>
      </c>
      <c r="G120" s="67"/>
      <c r="H120" s="68"/>
      <c r="I120" s="35"/>
      <c r="J120" s="9" t="str">
        <f t="shared" si="18"/>
        <v/>
      </c>
      <c r="K120" s="39"/>
      <c r="L120" s="39"/>
      <c r="M120" s="39"/>
      <c r="N120" s="39"/>
      <c r="O120" s="39"/>
      <c r="P120" s="39"/>
      <c r="Q120" s="39"/>
      <c r="R120" s="39"/>
      <c r="S120" s="10">
        <f t="shared" si="25"/>
        <v>0</v>
      </c>
      <c r="T120" s="10">
        <v>100000</v>
      </c>
      <c r="U120" s="10">
        <f t="shared" si="27"/>
        <v>0</v>
      </c>
      <c r="V120" s="4"/>
      <c r="Y120" s="4"/>
    </row>
    <row r="121" spans="2:25" ht="18.75" hidden="1">
      <c r="B121" s="58"/>
      <c r="C121" s="60"/>
      <c r="D121" s="52"/>
      <c r="E121" s="63"/>
      <c r="F121" s="8">
        <v>8.3333333333333329E-2</v>
      </c>
      <c r="G121" s="67"/>
      <c r="H121" s="68"/>
      <c r="I121" s="35"/>
      <c r="J121" s="9" t="str">
        <f t="shared" si="18"/>
        <v/>
      </c>
      <c r="K121" s="39"/>
      <c r="L121" s="39"/>
      <c r="M121" s="39"/>
      <c r="N121" s="39"/>
      <c r="O121" s="39"/>
      <c r="P121" s="39"/>
      <c r="Q121" s="39"/>
      <c r="R121" s="39"/>
      <c r="S121" s="10">
        <f t="shared" si="25"/>
        <v>0</v>
      </c>
      <c r="T121" s="10">
        <v>100000</v>
      </c>
      <c r="U121" s="10">
        <f t="shared" si="27"/>
        <v>0</v>
      </c>
      <c r="V121" s="4"/>
      <c r="Y121" s="4"/>
    </row>
    <row r="122" spans="2:25" ht="18.75" hidden="1">
      <c r="B122" s="58"/>
      <c r="C122" s="60"/>
      <c r="D122" s="52"/>
      <c r="E122" s="63"/>
      <c r="F122" s="8">
        <v>0.16666666666666666</v>
      </c>
      <c r="G122" s="67"/>
      <c r="H122" s="68"/>
      <c r="I122" s="35"/>
      <c r="J122" s="9" t="str">
        <f t="shared" si="18"/>
        <v/>
      </c>
      <c r="K122" s="39"/>
      <c r="L122" s="39"/>
      <c r="M122" s="39"/>
      <c r="N122" s="39"/>
      <c r="O122" s="39"/>
      <c r="P122" s="39"/>
      <c r="Q122" s="39"/>
      <c r="R122" s="39"/>
      <c r="S122" s="10">
        <f t="shared" si="25"/>
        <v>0</v>
      </c>
      <c r="T122" s="10">
        <v>100000</v>
      </c>
      <c r="U122" s="10">
        <f t="shared" si="27"/>
        <v>0</v>
      </c>
      <c r="V122" s="4"/>
      <c r="W122" s="4"/>
      <c r="X122" s="4"/>
      <c r="Y122" s="4"/>
    </row>
    <row r="123" spans="2:25" ht="18.75" hidden="1">
      <c r="B123" s="58"/>
      <c r="C123" s="60"/>
      <c r="D123" s="52"/>
      <c r="E123" s="63"/>
      <c r="F123" s="8">
        <v>0.25</v>
      </c>
      <c r="G123" s="67"/>
      <c r="H123" s="68"/>
      <c r="I123" s="35"/>
      <c r="J123" s="9" t="str">
        <f t="shared" si="18"/>
        <v/>
      </c>
      <c r="K123" s="39"/>
      <c r="L123" s="39"/>
      <c r="M123" s="39"/>
      <c r="N123" s="39"/>
      <c r="O123" s="39"/>
      <c r="P123" s="39"/>
      <c r="Q123" s="39"/>
      <c r="R123" s="39"/>
      <c r="S123" s="10">
        <f t="shared" si="25"/>
        <v>0</v>
      </c>
      <c r="T123" s="10">
        <v>100000</v>
      </c>
      <c r="U123" s="10">
        <f t="shared" si="27"/>
        <v>0</v>
      </c>
      <c r="V123" s="4"/>
      <c r="Y123" s="4"/>
    </row>
    <row r="124" spans="2:25" ht="18.75" hidden="1">
      <c r="B124" s="58"/>
      <c r="C124" s="60"/>
      <c r="D124" s="53"/>
      <c r="E124" s="64"/>
      <c r="F124" s="14">
        <v>0.33333333333333331</v>
      </c>
      <c r="G124" s="67"/>
      <c r="H124" s="68"/>
      <c r="I124" s="37"/>
      <c r="J124" s="9" t="str">
        <f t="shared" si="18"/>
        <v/>
      </c>
      <c r="K124" s="40"/>
      <c r="L124" s="40"/>
      <c r="M124" s="40"/>
      <c r="N124" s="40"/>
      <c r="O124" s="40"/>
      <c r="P124" s="40"/>
      <c r="Q124" s="40"/>
      <c r="R124" s="40"/>
      <c r="S124" s="16">
        <f t="shared" si="25"/>
        <v>0</v>
      </c>
      <c r="T124" s="16">
        <v>100000</v>
      </c>
      <c r="U124" s="16">
        <f t="shared" si="27"/>
        <v>0</v>
      </c>
      <c r="V124" s="4"/>
      <c r="W124" s="4"/>
      <c r="X124" s="4"/>
      <c r="Y124" s="4"/>
    </row>
    <row r="125" spans="2:25" ht="16.5" hidden="1" customHeight="1">
      <c r="B125" s="58">
        <v>46091</v>
      </c>
      <c r="C125" s="59" t="s">
        <v>15</v>
      </c>
      <c r="D125" s="51"/>
      <c r="E125" s="62" t="s">
        <v>101</v>
      </c>
      <c r="F125" s="5">
        <v>0.41666666666666669</v>
      </c>
      <c r="G125" s="65"/>
      <c r="H125" s="66"/>
      <c r="I125" s="34"/>
      <c r="J125" s="6" t="str">
        <f t="shared" si="18"/>
        <v/>
      </c>
      <c r="K125" s="38"/>
      <c r="L125" s="38"/>
      <c r="M125" s="38"/>
      <c r="N125" s="38"/>
      <c r="O125" s="38"/>
      <c r="P125" s="38"/>
      <c r="Q125" s="38"/>
      <c r="R125" s="38"/>
      <c r="S125" s="7">
        <f>SUM(K125:R125)</f>
        <v>0</v>
      </c>
      <c r="T125" s="7">
        <v>100000</v>
      </c>
      <c r="U125" s="7">
        <f>T125*S125</f>
        <v>0</v>
      </c>
      <c r="V125" s="4"/>
      <c r="W125" s="4"/>
      <c r="X125" s="4"/>
      <c r="Y125" s="4"/>
    </row>
    <row r="126" spans="2:25" ht="18.75" hidden="1">
      <c r="B126" s="58"/>
      <c r="C126" s="60"/>
      <c r="D126" s="52"/>
      <c r="E126" s="63"/>
      <c r="F126" s="8">
        <v>0.5</v>
      </c>
      <c r="G126" s="67"/>
      <c r="H126" s="68"/>
      <c r="I126" s="35"/>
      <c r="J126" s="9" t="str">
        <f t="shared" si="18"/>
        <v/>
      </c>
      <c r="K126" s="39"/>
      <c r="L126" s="39"/>
      <c r="M126" s="39"/>
      <c r="N126" s="39"/>
      <c r="O126" s="39"/>
      <c r="P126" s="39"/>
      <c r="Q126" s="39"/>
      <c r="R126" s="39"/>
      <c r="S126" s="10">
        <f t="shared" ref="S126:S136" si="28">SUM(K126:R126)</f>
        <v>0</v>
      </c>
      <c r="T126" s="10">
        <v>100000</v>
      </c>
      <c r="U126" s="10">
        <f t="shared" ref="U126:U127" si="29">T126*S126</f>
        <v>0</v>
      </c>
      <c r="V126" s="4"/>
      <c r="W126" s="4"/>
      <c r="X126" s="4"/>
      <c r="Y126" s="4"/>
    </row>
    <row r="127" spans="2:25" ht="18.75" hidden="1">
      <c r="B127" s="58"/>
      <c r="C127" s="60"/>
      <c r="D127" s="52"/>
      <c r="E127" s="63"/>
      <c r="F127" s="8">
        <v>0.58333333333333337</v>
      </c>
      <c r="G127" s="67"/>
      <c r="H127" s="68"/>
      <c r="I127" s="35"/>
      <c r="J127" s="9" t="str">
        <f t="shared" si="18"/>
        <v/>
      </c>
      <c r="K127" s="39"/>
      <c r="L127" s="39"/>
      <c r="M127" s="39"/>
      <c r="N127" s="39"/>
      <c r="O127" s="39"/>
      <c r="P127" s="39"/>
      <c r="Q127" s="39"/>
      <c r="R127" s="39"/>
      <c r="S127" s="10">
        <f t="shared" si="28"/>
        <v>0</v>
      </c>
      <c r="T127" s="10">
        <v>100000</v>
      </c>
      <c r="U127" s="10">
        <f t="shared" si="29"/>
        <v>0</v>
      </c>
      <c r="V127" s="4"/>
      <c r="W127" s="4"/>
      <c r="X127" s="4"/>
      <c r="Y127" s="4"/>
    </row>
    <row r="128" spans="2:25" ht="18.75" hidden="1">
      <c r="B128" s="58"/>
      <c r="C128" s="60"/>
      <c r="D128" s="52"/>
      <c r="E128" s="63"/>
      <c r="F128" s="8">
        <v>0.66666666666666663</v>
      </c>
      <c r="G128" s="67"/>
      <c r="H128" s="68"/>
      <c r="I128" s="35"/>
      <c r="J128" s="9" t="str">
        <f t="shared" si="18"/>
        <v/>
      </c>
      <c r="K128" s="39"/>
      <c r="L128" s="39"/>
      <c r="M128" s="39"/>
      <c r="N128" s="39"/>
      <c r="O128" s="39"/>
      <c r="P128" s="39"/>
      <c r="Q128" s="39"/>
      <c r="R128" s="39"/>
      <c r="S128" s="10">
        <f t="shared" si="28"/>
        <v>0</v>
      </c>
      <c r="T128" s="10">
        <v>100000</v>
      </c>
      <c r="U128" s="10">
        <f>T128*S128</f>
        <v>0</v>
      </c>
      <c r="V128" s="4"/>
      <c r="W128" s="4"/>
      <c r="X128" s="4"/>
      <c r="Y128" s="4"/>
    </row>
    <row r="129" spans="2:25" ht="18.75" hidden="1">
      <c r="B129" s="58"/>
      <c r="C129" s="60"/>
      <c r="D129" s="52"/>
      <c r="E129" s="63"/>
      <c r="F129" s="8">
        <v>0.75</v>
      </c>
      <c r="G129" s="67"/>
      <c r="H129" s="68"/>
      <c r="I129" s="35"/>
      <c r="J129" s="9" t="str">
        <f t="shared" si="18"/>
        <v/>
      </c>
      <c r="K129" s="39"/>
      <c r="L129" s="39"/>
      <c r="M129" s="39"/>
      <c r="N129" s="39"/>
      <c r="O129" s="39"/>
      <c r="P129" s="39"/>
      <c r="Q129" s="39"/>
      <c r="R129" s="39"/>
      <c r="S129" s="10">
        <f t="shared" si="28"/>
        <v>0</v>
      </c>
      <c r="T129" s="10">
        <v>100000</v>
      </c>
      <c r="U129" s="10">
        <f t="shared" ref="U129:U136" si="30">T129*S129</f>
        <v>0</v>
      </c>
      <c r="V129" s="4"/>
      <c r="W129" s="4"/>
      <c r="X129" s="11"/>
      <c r="Y129" s="4"/>
    </row>
    <row r="130" spans="2:25" ht="18.75" hidden="1">
      <c r="B130" s="58"/>
      <c r="C130" s="60"/>
      <c r="D130" s="53"/>
      <c r="E130" s="64"/>
      <c r="F130" s="12">
        <v>0.83333333333333337</v>
      </c>
      <c r="G130" s="67"/>
      <c r="H130" s="68"/>
      <c r="I130" s="36"/>
      <c r="J130" s="9" t="str">
        <f t="shared" si="18"/>
        <v/>
      </c>
      <c r="K130" s="41"/>
      <c r="L130" s="41"/>
      <c r="M130" s="41"/>
      <c r="N130" s="41"/>
      <c r="O130" s="41"/>
      <c r="P130" s="41"/>
      <c r="Q130" s="41"/>
      <c r="R130" s="41"/>
      <c r="S130" s="13">
        <f t="shared" si="28"/>
        <v>0</v>
      </c>
      <c r="T130" s="13">
        <v>100000</v>
      </c>
      <c r="U130" s="13">
        <f t="shared" si="30"/>
        <v>0</v>
      </c>
      <c r="V130" s="4"/>
      <c r="Y130" s="4"/>
    </row>
    <row r="131" spans="2:25" ht="18.75" hidden="1">
      <c r="B131" s="58"/>
      <c r="C131" s="60"/>
      <c r="D131" s="51"/>
      <c r="E131" s="62" t="s">
        <v>102</v>
      </c>
      <c r="F131" s="5">
        <v>0.91666666666666663</v>
      </c>
      <c r="G131" s="65"/>
      <c r="H131" s="66"/>
      <c r="I131" s="34"/>
      <c r="J131" s="6" t="str">
        <f t="shared" si="18"/>
        <v/>
      </c>
      <c r="K131" s="38"/>
      <c r="L131" s="38"/>
      <c r="M131" s="38"/>
      <c r="N131" s="38"/>
      <c r="O131" s="38"/>
      <c r="P131" s="38"/>
      <c r="Q131" s="38"/>
      <c r="R131" s="38"/>
      <c r="S131" s="7">
        <f t="shared" si="28"/>
        <v>0</v>
      </c>
      <c r="T131" s="7">
        <v>100000</v>
      </c>
      <c r="U131" s="7">
        <f t="shared" si="30"/>
        <v>0</v>
      </c>
      <c r="V131" s="4"/>
      <c r="Y131" s="4"/>
    </row>
    <row r="132" spans="2:25" ht="18.75" hidden="1">
      <c r="B132" s="58"/>
      <c r="C132" s="60"/>
      <c r="D132" s="52"/>
      <c r="E132" s="63"/>
      <c r="F132" s="8">
        <v>1</v>
      </c>
      <c r="G132" s="67"/>
      <c r="H132" s="68"/>
      <c r="I132" s="35"/>
      <c r="J132" s="9" t="str">
        <f t="shared" si="18"/>
        <v/>
      </c>
      <c r="K132" s="39"/>
      <c r="L132" s="39"/>
      <c r="M132" s="39"/>
      <c r="N132" s="39"/>
      <c r="O132" s="39"/>
      <c r="P132" s="39"/>
      <c r="Q132" s="39"/>
      <c r="R132" s="39"/>
      <c r="S132" s="10">
        <f t="shared" si="28"/>
        <v>0</v>
      </c>
      <c r="T132" s="10">
        <v>100000</v>
      </c>
      <c r="U132" s="10">
        <f t="shared" si="30"/>
        <v>0</v>
      </c>
      <c r="V132" s="4"/>
      <c r="Y132" s="4"/>
    </row>
    <row r="133" spans="2:25" ht="18.75" hidden="1">
      <c r="B133" s="58"/>
      <c r="C133" s="60"/>
      <c r="D133" s="52"/>
      <c r="E133" s="63"/>
      <c r="F133" s="8">
        <v>8.3333333333333329E-2</v>
      </c>
      <c r="G133" s="67"/>
      <c r="H133" s="68"/>
      <c r="I133" s="35"/>
      <c r="J133" s="9" t="str">
        <f t="shared" si="18"/>
        <v/>
      </c>
      <c r="K133" s="39"/>
      <c r="L133" s="39"/>
      <c r="M133" s="39"/>
      <c r="N133" s="39"/>
      <c r="O133" s="39"/>
      <c r="P133" s="39"/>
      <c r="Q133" s="39"/>
      <c r="R133" s="39"/>
      <c r="S133" s="10">
        <f t="shared" si="28"/>
        <v>0</v>
      </c>
      <c r="T133" s="10">
        <v>100000</v>
      </c>
      <c r="U133" s="10">
        <f t="shared" si="30"/>
        <v>0</v>
      </c>
      <c r="V133" s="4"/>
      <c r="Y133" s="4"/>
    </row>
    <row r="134" spans="2:25" ht="18.75" hidden="1">
      <c r="B134" s="58"/>
      <c r="C134" s="60"/>
      <c r="D134" s="52"/>
      <c r="E134" s="63"/>
      <c r="F134" s="8">
        <v>0.16666666666666666</v>
      </c>
      <c r="G134" s="67"/>
      <c r="H134" s="68"/>
      <c r="I134" s="35"/>
      <c r="J134" s="9" t="str">
        <f t="shared" si="18"/>
        <v/>
      </c>
      <c r="K134" s="39"/>
      <c r="L134" s="39"/>
      <c r="M134" s="39"/>
      <c r="N134" s="39"/>
      <c r="O134" s="39"/>
      <c r="P134" s="39"/>
      <c r="Q134" s="39"/>
      <c r="R134" s="39"/>
      <c r="S134" s="10">
        <f t="shared" si="28"/>
        <v>0</v>
      </c>
      <c r="T134" s="10">
        <v>100000</v>
      </c>
      <c r="U134" s="10">
        <f t="shared" si="30"/>
        <v>0</v>
      </c>
      <c r="V134" s="4"/>
      <c r="W134" s="4"/>
      <c r="X134" s="4"/>
      <c r="Y134" s="4"/>
    </row>
    <row r="135" spans="2:25" ht="18.75" hidden="1">
      <c r="B135" s="58"/>
      <c r="C135" s="60"/>
      <c r="D135" s="52"/>
      <c r="E135" s="63"/>
      <c r="F135" s="8">
        <v>0.25</v>
      </c>
      <c r="G135" s="67"/>
      <c r="H135" s="68"/>
      <c r="I135" s="35"/>
      <c r="J135" s="9" t="str">
        <f t="shared" si="18"/>
        <v/>
      </c>
      <c r="K135" s="39"/>
      <c r="L135" s="39"/>
      <c r="M135" s="39"/>
      <c r="N135" s="39"/>
      <c r="O135" s="39"/>
      <c r="P135" s="39"/>
      <c r="Q135" s="39"/>
      <c r="R135" s="39"/>
      <c r="S135" s="10">
        <f t="shared" si="28"/>
        <v>0</v>
      </c>
      <c r="T135" s="10">
        <v>100000</v>
      </c>
      <c r="U135" s="10">
        <f t="shared" si="30"/>
        <v>0</v>
      </c>
      <c r="V135" s="4"/>
      <c r="Y135" s="4"/>
    </row>
    <row r="136" spans="2:25" ht="18.75" hidden="1">
      <c r="B136" s="58"/>
      <c r="C136" s="61"/>
      <c r="D136" s="53"/>
      <c r="E136" s="64"/>
      <c r="F136" s="14">
        <v>0.33333333333333331</v>
      </c>
      <c r="G136" s="67"/>
      <c r="H136" s="68"/>
      <c r="I136" s="37"/>
      <c r="J136" s="15" t="str">
        <f t="shared" si="18"/>
        <v/>
      </c>
      <c r="K136" s="40"/>
      <c r="L136" s="40"/>
      <c r="M136" s="40"/>
      <c r="N136" s="40"/>
      <c r="O136" s="40"/>
      <c r="P136" s="40"/>
      <c r="Q136" s="40"/>
      <c r="R136" s="40"/>
      <c r="S136" s="16">
        <f t="shared" si="28"/>
        <v>0</v>
      </c>
      <c r="T136" s="16">
        <v>100000</v>
      </c>
      <c r="U136" s="16">
        <f t="shared" si="30"/>
        <v>0</v>
      </c>
      <c r="V136" s="4"/>
      <c r="W136" s="4"/>
      <c r="X136" s="4"/>
      <c r="Y136" s="4"/>
    </row>
    <row r="137" spans="2:25" ht="16.5" hidden="1" customHeight="1">
      <c r="B137" s="58">
        <v>46092</v>
      </c>
      <c r="C137" s="59" t="s">
        <v>15</v>
      </c>
      <c r="D137" s="51"/>
      <c r="E137" s="62" t="s">
        <v>101</v>
      </c>
      <c r="F137" s="5">
        <v>0.41666666666666669</v>
      </c>
      <c r="G137" s="65"/>
      <c r="H137" s="66"/>
      <c r="I137" s="34"/>
      <c r="J137" s="6" t="str">
        <f t="shared" ref="J137:J148" si="31">IFERROR(S137/I137,"")</f>
        <v/>
      </c>
      <c r="K137" s="38"/>
      <c r="L137" s="38"/>
      <c r="M137" s="38"/>
      <c r="N137" s="38"/>
      <c r="O137" s="38"/>
      <c r="P137" s="38"/>
      <c r="Q137" s="38"/>
      <c r="R137" s="38"/>
      <c r="S137" s="7">
        <f>SUM(K137:R137)</f>
        <v>0</v>
      </c>
      <c r="T137" s="7">
        <v>100000</v>
      </c>
      <c r="U137" s="7">
        <f>T137*S137</f>
        <v>0</v>
      </c>
      <c r="V137" s="4"/>
      <c r="W137" s="4"/>
      <c r="X137" s="4"/>
      <c r="Y137" s="4"/>
    </row>
    <row r="138" spans="2:25" ht="18.75" hidden="1">
      <c r="B138" s="58"/>
      <c r="C138" s="60"/>
      <c r="D138" s="52"/>
      <c r="E138" s="63"/>
      <c r="F138" s="8">
        <v>0.5</v>
      </c>
      <c r="G138" s="67"/>
      <c r="H138" s="68"/>
      <c r="I138" s="35"/>
      <c r="J138" s="9" t="str">
        <f t="shared" si="31"/>
        <v/>
      </c>
      <c r="K138" s="39"/>
      <c r="L138" s="39"/>
      <c r="M138" s="39"/>
      <c r="N138" s="39"/>
      <c r="O138" s="39"/>
      <c r="P138" s="39"/>
      <c r="Q138" s="39"/>
      <c r="R138" s="39"/>
      <c r="S138" s="10">
        <f t="shared" ref="S138:S148" si="32">SUM(K138:R138)</f>
        <v>0</v>
      </c>
      <c r="T138" s="10">
        <v>100000</v>
      </c>
      <c r="U138" s="10">
        <f t="shared" ref="U138:U139" si="33">T138*S138</f>
        <v>0</v>
      </c>
      <c r="V138" s="4"/>
      <c r="W138" s="4"/>
      <c r="X138" s="4"/>
      <c r="Y138" s="4"/>
    </row>
    <row r="139" spans="2:25" ht="18.75" hidden="1">
      <c r="B139" s="58"/>
      <c r="C139" s="60"/>
      <c r="D139" s="52" t="s">
        <v>58</v>
      </c>
      <c r="E139" s="63"/>
      <c r="F139" s="8">
        <v>0.58333333333333337</v>
      </c>
      <c r="G139" s="67" t="s">
        <v>76</v>
      </c>
      <c r="H139" s="68"/>
      <c r="I139" s="35">
        <v>36</v>
      </c>
      <c r="J139" s="9">
        <f t="shared" si="31"/>
        <v>0.19444444444444445</v>
      </c>
      <c r="K139" s="39"/>
      <c r="L139" s="39"/>
      <c r="M139" s="39"/>
      <c r="N139" s="39"/>
      <c r="O139" s="39"/>
      <c r="P139" s="39"/>
      <c r="Q139" s="39">
        <v>7</v>
      </c>
      <c r="R139" s="39"/>
      <c r="S139" s="10">
        <f t="shared" si="32"/>
        <v>7</v>
      </c>
      <c r="T139" s="10">
        <v>100000</v>
      </c>
      <c r="U139" s="10">
        <f t="shared" si="33"/>
        <v>700000</v>
      </c>
      <c r="V139" s="4"/>
      <c r="W139" s="4"/>
      <c r="X139" s="4"/>
      <c r="Y139" s="4"/>
    </row>
    <row r="140" spans="2:25" ht="18.75" hidden="1">
      <c r="B140" s="58"/>
      <c r="C140" s="60"/>
      <c r="D140" s="52" t="s">
        <v>58</v>
      </c>
      <c r="E140" s="63"/>
      <c r="F140" s="8">
        <v>0.66666666666666663</v>
      </c>
      <c r="G140" s="67" t="s">
        <v>76</v>
      </c>
      <c r="H140" s="68"/>
      <c r="I140" s="35">
        <v>68</v>
      </c>
      <c r="J140" s="9">
        <f t="shared" si="31"/>
        <v>0</v>
      </c>
      <c r="K140" s="39"/>
      <c r="L140" s="39"/>
      <c r="M140" s="39"/>
      <c r="N140" s="39"/>
      <c r="O140" s="39"/>
      <c r="P140" s="39"/>
      <c r="Q140" s="39"/>
      <c r="R140" s="39"/>
      <c r="S140" s="10">
        <f t="shared" si="32"/>
        <v>0</v>
      </c>
      <c r="T140" s="10">
        <v>100000</v>
      </c>
      <c r="U140" s="10">
        <f>T140*S140</f>
        <v>0</v>
      </c>
      <c r="V140" s="4"/>
      <c r="W140" s="4"/>
      <c r="X140" s="4"/>
      <c r="Y140" s="4"/>
    </row>
    <row r="141" spans="2:25" ht="18.75" hidden="1">
      <c r="B141" s="58"/>
      <c r="C141" s="60"/>
      <c r="D141" s="52" t="s">
        <v>58</v>
      </c>
      <c r="E141" s="63"/>
      <c r="F141" s="8">
        <v>0.75</v>
      </c>
      <c r="G141" s="67" t="s">
        <v>76</v>
      </c>
      <c r="H141" s="68"/>
      <c r="I141" s="35">
        <v>68</v>
      </c>
      <c r="J141" s="9">
        <f t="shared" si="31"/>
        <v>0</v>
      </c>
      <c r="K141" s="39"/>
      <c r="L141" s="39"/>
      <c r="M141" s="39"/>
      <c r="N141" s="39"/>
      <c r="O141" s="39"/>
      <c r="P141" s="39"/>
      <c r="Q141" s="39"/>
      <c r="R141" s="39"/>
      <c r="S141" s="10">
        <f t="shared" si="32"/>
        <v>0</v>
      </c>
      <c r="T141" s="10">
        <v>100000</v>
      </c>
      <c r="U141" s="10">
        <f t="shared" ref="U141:U148" si="34">T141*S141</f>
        <v>0</v>
      </c>
      <c r="V141" s="4"/>
      <c r="W141" s="4"/>
      <c r="X141" s="11"/>
      <c r="Y141" s="4"/>
    </row>
    <row r="142" spans="2:25" ht="18.75" hidden="1">
      <c r="B142" s="58"/>
      <c r="C142" s="60"/>
      <c r="D142" s="53" t="s">
        <v>58</v>
      </c>
      <c r="E142" s="64"/>
      <c r="F142" s="12">
        <v>0.83333333333333337</v>
      </c>
      <c r="G142" s="67" t="s">
        <v>76</v>
      </c>
      <c r="H142" s="68"/>
      <c r="I142" s="36">
        <v>68</v>
      </c>
      <c r="J142" s="9">
        <f t="shared" si="31"/>
        <v>0</v>
      </c>
      <c r="K142" s="41"/>
      <c r="L142" s="41"/>
      <c r="M142" s="41"/>
      <c r="N142" s="41"/>
      <c r="O142" s="41"/>
      <c r="P142" s="41"/>
      <c r="Q142" s="41"/>
      <c r="R142" s="41"/>
      <c r="S142" s="13">
        <f t="shared" si="32"/>
        <v>0</v>
      </c>
      <c r="T142" s="13">
        <v>100000</v>
      </c>
      <c r="U142" s="13">
        <f t="shared" si="34"/>
        <v>0</v>
      </c>
      <c r="V142" s="4"/>
      <c r="Y142" s="4"/>
    </row>
    <row r="143" spans="2:25" ht="18.75" hidden="1">
      <c r="B143" s="58"/>
      <c r="C143" s="60"/>
      <c r="D143" s="51" t="s">
        <v>58</v>
      </c>
      <c r="E143" s="62" t="s">
        <v>102</v>
      </c>
      <c r="F143" s="5">
        <v>0.91666666666666663</v>
      </c>
      <c r="G143" s="65" t="s">
        <v>83</v>
      </c>
      <c r="H143" s="66"/>
      <c r="I143" s="34">
        <v>64</v>
      </c>
      <c r="J143" s="6">
        <f t="shared" si="31"/>
        <v>3.125E-2</v>
      </c>
      <c r="K143" s="38">
        <v>2</v>
      </c>
      <c r="L143" s="38"/>
      <c r="M143" s="38"/>
      <c r="N143" s="38"/>
      <c r="O143" s="38"/>
      <c r="P143" s="38"/>
      <c r="Q143" s="38"/>
      <c r="R143" s="38"/>
      <c r="S143" s="7">
        <f t="shared" si="32"/>
        <v>2</v>
      </c>
      <c r="T143" s="7">
        <v>100000</v>
      </c>
      <c r="U143" s="7">
        <f t="shared" si="34"/>
        <v>200000</v>
      </c>
      <c r="V143" s="4"/>
      <c r="Y143" s="4"/>
    </row>
    <row r="144" spans="2:25" ht="18.75" hidden="1">
      <c r="B144" s="58"/>
      <c r="C144" s="60"/>
      <c r="D144" s="52" t="s">
        <v>58</v>
      </c>
      <c r="E144" s="63"/>
      <c r="F144" s="8">
        <v>1</v>
      </c>
      <c r="G144" s="67" t="s">
        <v>83</v>
      </c>
      <c r="H144" s="68"/>
      <c r="I144" s="35">
        <v>64</v>
      </c>
      <c r="J144" s="9">
        <f t="shared" si="31"/>
        <v>3.125E-2</v>
      </c>
      <c r="K144" s="39">
        <v>2</v>
      </c>
      <c r="L144" s="39"/>
      <c r="M144" s="39"/>
      <c r="N144" s="39"/>
      <c r="O144" s="39"/>
      <c r="P144" s="39"/>
      <c r="Q144" s="39"/>
      <c r="R144" s="39"/>
      <c r="S144" s="10">
        <f t="shared" si="32"/>
        <v>2</v>
      </c>
      <c r="T144" s="10">
        <v>100000</v>
      </c>
      <c r="U144" s="10">
        <f t="shared" si="34"/>
        <v>200000</v>
      </c>
      <c r="V144" s="4"/>
      <c r="Y144" s="4"/>
    </row>
    <row r="145" spans="2:25" ht="18.75" hidden="1">
      <c r="B145" s="58"/>
      <c r="C145" s="60"/>
      <c r="D145" s="52" t="s">
        <v>58</v>
      </c>
      <c r="E145" s="63"/>
      <c r="F145" s="8">
        <v>8.3333333333333329E-2</v>
      </c>
      <c r="G145" s="67" t="s">
        <v>83</v>
      </c>
      <c r="H145" s="68"/>
      <c r="I145" s="35">
        <v>64</v>
      </c>
      <c r="J145" s="9">
        <f t="shared" si="31"/>
        <v>3.125E-2</v>
      </c>
      <c r="K145" s="39">
        <v>2</v>
      </c>
      <c r="L145" s="39"/>
      <c r="M145" s="39"/>
      <c r="N145" s="39"/>
      <c r="O145" s="39"/>
      <c r="P145" s="39"/>
      <c r="Q145" s="39"/>
      <c r="R145" s="39"/>
      <c r="S145" s="10">
        <f t="shared" si="32"/>
        <v>2</v>
      </c>
      <c r="T145" s="10">
        <v>100000</v>
      </c>
      <c r="U145" s="10">
        <f t="shared" si="34"/>
        <v>200000</v>
      </c>
      <c r="V145" s="4"/>
      <c r="Y145" s="4"/>
    </row>
    <row r="146" spans="2:25" ht="18.75" hidden="1">
      <c r="B146" s="58"/>
      <c r="C146" s="60"/>
      <c r="D146" s="52" t="s">
        <v>58</v>
      </c>
      <c r="E146" s="63"/>
      <c r="F146" s="8">
        <v>0.16666666666666666</v>
      </c>
      <c r="G146" s="67" t="s">
        <v>83</v>
      </c>
      <c r="H146" s="68"/>
      <c r="I146" s="35">
        <v>64</v>
      </c>
      <c r="J146" s="9">
        <f t="shared" si="31"/>
        <v>3.125E-2</v>
      </c>
      <c r="K146" s="39"/>
      <c r="L146" s="39"/>
      <c r="M146" s="39"/>
      <c r="N146" s="39"/>
      <c r="O146" s="39"/>
      <c r="P146" s="39"/>
      <c r="Q146" s="39"/>
      <c r="R146" s="39">
        <v>2</v>
      </c>
      <c r="S146" s="10">
        <f t="shared" si="32"/>
        <v>2</v>
      </c>
      <c r="T146" s="10">
        <v>100000</v>
      </c>
      <c r="U146" s="10">
        <f t="shared" si="34"/>
        <v>200000</v>
      </c>
      <c r="V146" s="4"/>
      <c r="W146" s="4"/>
      <c r="X146" s="4"/>
      <c r="Y146" s="4"/>
    </row>
    <row r="147" spans="2:25" ht="18.75" hidden="1">
      <c r="B147" s="58"/>
      <c r="C147" s="60"/>
      <c r="D147" s="52" t="s">
        <v>58</v>
      </c>
      <c r="E147" s="63"/>
      <c r="F147" s="8">
        <v>0.25</v>
      </c>
      <c r="G147" s="67" t="s">
        <v>83</v>
      </c>
      <c r="H147" s="68"/>
      <c r="I147" s="35">
        <v>64</v>
      </c>
      <c r="J147" s="9">
        <f t="shared" si="31"/>
        <v>3.125E-2</v>
      </c>
      <c r="K147" s="39"/>
      <c r="L147" s="39"/>
      <c r="M147" s="39"/>
      <c r="N147" s="39"/>
      <c r="O147" s="39"/>
      <c r="P147" s="39"/>
      <c r="Q147" s="39"/>
      <c r="R147" s="39">
        <v>2</v>
      </c>
      <c r="S147" s="10">
        <f t="shared" si="32"/>
        <v>2</v>
      </c>
      <c r="T147" s="10">
        <v>100000</v>
      </c>
      <c r="U147" s="10">
        <f t="shared" si="34"/>
        <v>200000</v>
      </c>
      <c r="V147" s="4"/>
      <c r="Y147" s="4"/>
    </row>
    <row r="148" spans="2:25" ht="18.75" hidden="1">
      <c r="B148" s="58"/>
      <c r="C148" s="61"/>
      <c r="D148" s="53" t="s">
        <v>58</v>
      </c>
      <c r="E148" s="69"/>
      <c r="F148" s="14">
        <v>0.33333333333333331</v>
      </c>
      <c r="G148" s="67" t="s">
        <v>83</v>
      </c>
      <c r="H148" s="68"/>
      <c r="I148" s="37">
        <v>64</v>
      </c>
      <c r="J148" s="15">
        <f t="shared" si="31"/>
        <v>1.5625E-2</v>
      </c>
      <c r="K148" s="40">
        <v>1</v>
      </c>
      <c r="L148" s="40"/>
      <c r="M148" s="40"/>
      <c r="N148" s="40"/>
      <c r="O148" s="40"/>
      <c r="P148" s="40"/>
      <c r="Q148" s="40"/>
      <c r="R148" s="40"/>
      <c r="S148" s="16">
        <f t="shared" si="32"/>
        <v>1</v>
      </c>
      <c r="T148" s="16">
        <v>100000</v>
      </c>
      <c r="U148" s="16">
        <f t="shared" si="34"/>
        <v>100000</v>
      </c>
      <c r="V148" s="4"/>
      <c r="W148" s="4"/>
      <c r="X148" s="4"/>
      <c r="Y148" s="4"/>
    </row>
    <row r="149" spans="2:25" ht="16.5" hidden="1" customHeight="1">
      <c r="B149" s="58">
        <v>46093</v>
      </c>
      <c r="C149" s="59" t="s">
        <v>15</v>
      </c>
      <c r="D149" s="51" t="s">
        <v>46</v>
      </c>
      <c r="E149" s="62" t="s">
        <v>101</v>
      </c>
      <c r="F149" s="5">
        <v>0.41666666666666669</v>
      </c>
      <c r="G149" s="65" t="s">
        <v>80</v>
      </c>
      <c r="H149" s="66"/>
      <c r="I149" s="34"/>
      <c r="J149" s="6" t="str">
        <f t="shared" ref="J149:J160" si="35">IFERROR(S149/I149,"")</f>
        <v/>
      </c>
      <c r="K149" s="38"/>
      <c r="L149" s="38"/>
      <c r="M149" s="38"/>
      <c r="N149" s="38"/>
      <c r="O149" s="38"/>
      <c r="P149" s="38"/>
      <c r="Q149" s="38"/>
      <c r="R149" s="38"/>
      <c r="S149" s="7">
        <f>SUM(K149:R149)</f>
        <v>0</v>
      </c>
      <c r="T149" s="7">
        <v>100000</v>
      </c>
      <c r="U149" s="7">
        <f>T149*S149</f>
        <v>0</v>
      </c>
      <c r="V149" s="4"/>
      <c r="W149" s="4"/>
      <c r="X149" s="4"/>
      <c r="Y149" s="4"/>
    </row>
    <row r="150" spans="2:25" ht="18.75" hidden="1">
      <c r="B150" s="58"/>
      <c r="C150" s="60"/>
      <c r="D150" s="52" t="s">
        <v>46</v>
      </c>
      <c r="E150" s="63"/>
      <c r="F150" s="8">
        <v>0.5</v>
      </c>
      <c r="G150" s="67" t="s">
        <v>80</v>
      </c>
      <c r="H150" s="68"/>
      <c r="I150" s="35"/>
      <c r="J150" s="9" t="str">
        <f t="shared" si="35"/>
        <v/>
      </c>
      <c r="K150" s="39"/>
      <c r="L150" s="39"/>
      <c r="M150" s="39"/>
      <c r="N150" s="39"/>
      <c r="O150" s="39"/>
      <c r="P150" s="39"/>
      <c r="Q150" s="39"/>
      <c r="R150" s="39"/>
      <c r="S150" s="10">
        <f t="shared" ref="S150:S160" si="36">SUM(K150:R150)</f>
        <v>0</v>
      </c>
      <c r="T150" s="10">
        <v>100000</v>
      </c>
      <c r="U150" s="10">
        <f t="shared" ref="U150:U151" si="37">T150*S150</f>
        <v>0</v>
      </c>
      <c r="V150" s="4"/>
      <c r="W150" s="4"/>
      <c r="X150" s="4"/>
      <c r="Y150" s="4"/>
    </row>
    <row r="151" spans="2:25" ht="18.75" hidden="1">
      <c r="B151" s="58"/>
      <c r="C151" s="60"/>
      <c r="D151" s="52" t="s">
        <v>46</v>
      </c>
      <c r="E151" s="63"/>
      <c r="F151" s="8">
        <v>0.58333333333333337</v>
      </c>
      <c r="G151" s="67" t="s">
        <v>80</v>
      </c>
      <c r="H151" s="68"/>
      <c r="I151" s="35"/>
      <c r="J151" s="9" t="str">
        <f t="shared" si="35"/>
        <v/>
      </c>
      <c r="K151" s="39"/>
      <c r="L151" s="39"/>
      <c r="M151" s="39"/>
      <c r="N151" s="39"/>
      <c r="O151" s="39"/>
      <c r="P151" s="39"/>
      <c r="Q151" s="39"/>
      <c r="R151" s="39"/>
      <c r="S151" s="10">
        <f t="shared" si="36"/>
        <v>0</v>
      </c>
      <c r="T151" s="10">
        <v>100000</v>
      </c>
      <c r="U151" s="10">
        <f t="shared" si="37"/>
        <v>0</v>
      </c>
      <c r="V151" s="4"/>
      <c r="W151" s="4"/>
      <c r="X151" s="4"/>
      <c r="Y151" s="4"/>
    </row>
    <row r="152" spans="2:25" ht="18.75" hidden="1">
      <c r="B152" s="58"/>
      <c r="C152" s="60"/>
      <c r="D152" s="52" t="s">
        <v>46</v>
      </c>
      <c r="E152" s="63"/>
      <c r="F152" s="8">
        <v>0.66666666666666663</v>
      </c>
      <c r="G152" s="67" t="s">
        <v>80</v>
      </c>
      <c r="H152" s="68"/>
      <c r="I152" s="35">
        <v>14</v>
      </c>
      <c r="J152" s="9">
        <f t="shared" si="35"/>
        <v>0.9285714285714286</v>
      </c>
      <c r="K152" s="39"/>
      <c r="L152" s="39"/>
      <c r="M152" s="39"/>
      <c r="N152" s="39"/>
      <c r="O152" s="39"/>
      <c r="P152" s="39"/>
      <c r="Q152" s="39">
        <v>13</v>
      </c>
      <c r="R152" s="39"/>
      <c r="S152" s="10">
        <f t="shared" si="36"/>
        <v>13</v>
      </c>
      <c r="T152" s="10">
        <v>100000</v>
      </c>
      <c r="U152" s="10">
        <f>T152*S152</f>
        <v>1300000</v>
      </c>
      <c r="V152" s="4"/>
      <c r="W152" s="4"/>
      <c r="X152" s="4"/>
      <c r="Y152" s="4"/>
    </row>
    <row r="153" spans="2:25" ht="18.75" hidden="1">
      <c r="B153" s="58"/>
      <c r="C153" s="60"/>
      <c r="D153" s="52" t="s">
        <v>46</v>
      </c>
      <c r="E153" s="63"/>
      <c r="F153" s="8">
        <v>0.75</v>
      </c>
      <c r="G153" s="67" t="s">
        <v>80</v>
      </c>
      <c r="H153" s="68"/>
      <c r="I153" s="35">
        <v>80</v>
      </c>
      <c r="J153" s="9">
        <f t="shared" si="35"/>
        <v>0.2</v>
      </c>
      <c r="K153" s="39"/>
      <c r="L153" s="39"/>
      <c r="M153" s="39">
        <v>4</v>
      </c>
      <c r="N153" s="39"/>
      <c r="O153" s="39"/>
      <c r="P153" s="39"/>
      <c r="Q153" s="39"/>
      <c r="R153" s="39">
        <v>12</v>
      </c>
      <c r="S153" s="10">
        <f t="shared" si="36"/>
        <v>16</v>
      </c>
      <c r="T153" s="10">
        <v>100000</v>
      </c>
      <c r="U153" s="10">
        <f t="shared" ref="U153:U160" si="38">T153*S153</f>
        <v>1600000</v>
      </c>
      <c r="V153" s="4"/>
      <c r="W153" s="4"/>
      <c r="X153" s="11"/>
      <c r="Y153" s="4"/>
    </row>
    <row r="154" spans="2:25" ht="18.75" hidden="1">
      <c r="B154" s="58"/>
      <c r="C154" s="60"/>
      <c r="D154" s="53" t="s">
        <v>46</v>
      </c>
      <c r="E154" s="64"/>
      <c r="F154" s="12">
        <v>0.83333333333333337</v>
      </c>
      <c r="G154" s="67" t="s">
        <v>80</v>
      </c>
      <c r="H154" s="68"/>
      <c r="I154" s="36">
        <v>20</v>
      </c>
      <c r="J154" s="9">
        <f t="shared" si="35"/>
        <v>0</v>
      </c>
      <c r="K154" s="41"/>
      <c r="L154" s="41"/>
      <c r="M154" s="41"/>
      <c r="N154" s="41"/>
      <c r="O154" s="41"/>
      <c r="P154" s="41"/>
      <c r="Q154" s="41"/>
      <c r="R154" s="41"/>
      <c r="S154" s="13">
        <f t="shared" si="36"/>
        <v>0</v>
      </c>
      <c r="T154" s="13">
        <v>100000</v>
      </c>
      <c r="U154" s="13">
        <f t="shared" si="38"/>
        <v>0</v>
      </c>
      <c r="V154" s="4"/>
      <c r="Y154" s="4"/>
    </row>
    <row r="155" spans="2:25" ht="18.75" hidden="1">
      <c r="B155" s="58"/>
      <c r="C155" s="60"/>
      <c r="D155" s="51" t="s">
        <v>46</v>
      </c>
      <c r="E155" s="62" t="s">
        <v>102</v>
      </c>
      <c r="F155" s="5">
        <v>0.91666666666666663</v>
      </c>
      <c r="G155" s="65" t="s">
        <v>82</v>
      </c>
      <c r="H155" s="66"/>
      <c r="I155" s="34">
        <v>76</v>
      </c>
      <c r="J155" s="6">
        <f t="shared" si="35"/>
        <v>2.6315789473684209E-2</v>
      </c>
      <c r="K155" s="38"/>
      <c r="L155" s="38"/>
      <c r="M155" s="38">
        <v>2</v>
      </c>
      <c r="N155" s="38"/>
      <c r="O155" s="38"/>
      <c r="P155" s="38"/>
      <c r="Q155" s="38"/>
      <c r="R155" s="38"/>
      <c r="S155" s="7">
        <f t="shared" si="36"/>
        <v>2</v>
      </c>
      <c r="T155" s="7">
        <v>100000</v>
      </c>
      <c r="U155" s="7">
        <f t="shared" si="38"/>
        <v>200000</v>
      </c>
      <c r="V155" s="4"/>
      <c r="Y155" s="4"/>
    </row>
    <row r="156" spans="2:25" ht="18.75" hidden="1">
      <c r="B156" s="58"/>
      <c r="C156" s="60"/>
      <c r="D156" s="52" t="s">
        <v>46</v>
      </c>
      <c r="E156" s="63"/>
      <c r="F156" s="8">
        <v>1</v>
      </c>
      <c r="G156" s="67" t="s">
        <v>82</v>
      </c>
      <c r="H156" s="68"/>
      <c r="I156" s="35">
        <v>76</v>
      </c>
      <c r="J156" s="9">
        <f t="shared" si="35"/>
        <v>2.6315789473684209E-2</v>
      </c>
      <c r="K156" s="39"/>
      <c r="L156" s="39"/>
      <c r="M156" s="39">
        <v>2</v>
      </c>
      <c r="N156" s="39"/>
      <c r="O156" s="39"/>
      <c r="P156" s="39"/>
      <c r="Q156" s="39"/>
      <c r="R156" s="39"/>
      <c r="S156" s="10">
        <f t="shared" si="36"/>
        <v>2</v>
      </c>
      <c r="T156" s="10">
        <v>100000</v>
      </c>
      <c r="U156" s="10">
        <f t="shared" si="38"/>
        <v>200000</v>
      </c>
      <c r="V156" s="4"/>
      <c r="Y156" s="4"/>
    </row>
    <row r="157" spans="2:25" ht="18.75" hidden="1">
      <c r="B157" s="58"/>
      <c r="C157" s="60"/>
      <c r="D157" s="52" t="s">
        <v>46</v>
      </c>
      <c r="E157" s="63"/>
      <c r="F157" s="8">
        <v>8.3333333333333329E-2</v>
      </c>
      <c r="G157" s="67" t="s">
        <v>82</v>
      </c>
      <c r="H157" s="68"/>
      <c r="I157" s="35">
        <v>76</v>
      </c>
      <c r="J157" s="9">
        <f t="shared" si="35"/>
        <v>2.6315789473684209E-2</v>
      </c>
      <c r="K157" s="39"/>
      <c r="L157" s="39"/>
      <c r="M157" s="39">
        <v>2</v>
      </c>
      <c r="N157" s="39"/>
      <c r="O157" s="39"/>
      <c r="P157" s="39"/>
      <c r="Q157" s="39"/>
      <c r="R157" s="39"/>
      <c r="S157" s="10">
        <f t="shared" si="36"/>
        <v>2</v>
      </c>
      <c r="T157" s="10">
        <v>100000</v>
      </c>
      <c r="U157" s="10">
        <f t="shared" si="38"/>
        <v>200000</v>
      </c>
      <c r="V157" s="4"/>
      <c r="Y157" s="4"/>
    </row>
    <row r="158" spans="2:25" ht="18.75" hidden="1">
      <c r="B158" s="58"/>
      <c r="C158" s="60"/>
      <c r="D158" s="52" t="s">
        <v>46</v>
      </c>
      <c r="E158" s="63"/>
      <c r="F158" s="8">
        <v>0.16666666666666666</v>
      </c>
      <c r="G158" s="67" t="s">
        <v>82</v>
      </c>
      <c r="H158" s="68"/>
      <c r="I158" s="35">
        <v>76</v>
      </c>
      <c r="J158" s="9">
        <f t="shared" si="35"/>
        <v>2.6315789473684209E-2</v>
      </c>
      <c r="K158" s="39"/>
      <c r="L158" s="39"/>
      <c r="M158" s="39">
        <v>2</v>
      </c>
      <c r="N158" s="39"/>
      <c r="O158" s="39"/>
      <c r="P158" s="39"/>
      <c r="Q158" s="39"/>
      <c r="R158" s="39"/>
      <c r="S158" s="10">
        <f t="shared" si="36"/>
        <v>2</v>
      </c>
      <c r="T158" s="10">
        <v>100000</v>
      </c>
      <c r="U158" s="10">
        <f t="shared" si="38"/>
        <v>200000</v>
      </c>
      <c r="V158" s="4"/>
      <c r="W158" s="4"/>
      <c r="X158" s="4"/>
      <c r="Y158" s="4"/>
    </row>
    <row r="159" spans="2:25" ht="18.75" hidden="1">
      <c r="B159" s="58"/>
      <c r="C159" s="60"/>
      <c r="D159" s="52" t="s">
        <v>46</v>
      </c>
      <c r="E159" s="63"/>
      <c r="F159" s="8">
        <v>0.25</v>
      </c>
      <c r="G159" s="67" t="s">
        <v>82</v>
      </c>
      <c r="H159" s="68"/>
      <c r="I159" s="35">
        <v>76</v>
      </c>
      <c r="J159" s="9">
        <f t="shared" si="35"/>
        <v>2.6315789473684209E-2</v>
      </c>
      <c r="K159" s="39"/>
      <c r="L159" s="39"/>
      <c r="M159" s="39">
        <v>2</v>
      </c>
      <c r="N159" s="39"/>
      <c r="O159" s="39"/>
      <c r="P159" s="39"/>
      <c r="Q159" s="39"/>
      <c r="R159" s="39"/>
      <c r="S159" s="10">
        <f t="shared" si="36"/>
        <v>2</v>
      </c>
      <c r="T159" s="10">
        <v>100000</v>
      </c>
      <c r="U159" s="10">
        <f t="shared" si="38"/>
        <v>200000</v>
      </c>
      <c r="V159" s="4"/>
      <c r="Y159" s="4"/>
    </row>
    <row r="160" spans="2:25" ht="18.75" hidden="1">
      <c r="B160" s="58"/>
      <c r="C160" s="61"/>
      <c r="D160" s="53" t="s">
        <v>46</v>
      </c>
      <c r="E160" s="69"/>
      <c r="F160" s="14">
        <v>0.33333333333333331</v>
      </c>
      <c r="G160" s="67" t="s">
        <v>82</v>
      </c>
      <c r="H160" s="68"/>
      <c r="I160" s="37">
        <v>76</v>
      </c>
      <c r="J160" s="15">
        <f t="shared" si="35"/>
        <v>0</v>
      </c>
      <c r="K160" s="40"/>
      <c r="L160" s="40"/>
      <c r="M160" s="40"/>
      <c r="N160" s="40"/>
      <c r="O160" s="40"/>
      <c r="P160" s="40"/>
      <c r="Q160" s="40"/>
      <c r="R160" s="40"/>
      <c r="S160" s="16">
        <f t="shared" si="36"/>
        <v>0</v>
      </c>
      <c r="T160" s="16">
        <v>100000</v>
      </c>
      <c r="U160" s="16">
        <f t="shared" si="38"/>
        <v>0</v>
      </c>
      <c r="V160" s="4"/>
      <c r="W160" s="4"/>
      <c r="X160" s="4"/>
      <c r="Y160" s="4"/>
    </row>
    <row r="161" spans="2:25" ht="16.5" hidden="1" customHeight="1">
      <c r="B161" s="58">
        <v>46094</v>
      </c>
      <c r="C161" s="59" t="s">
        <v>15</v>
      </c>
      <c r="D161" s="51" t="s">
        <v>46</v>
      </c>
      <c r="E161" s="62" t="s">
        <v>101</v>
      </c>
      <c r="F161" s="5">
        <v>0.41666666666666669</v>
      </c>
      <c r="G161" s="65" t="s">
        <v>103</v>
      </c>
      <c r="H161" s="66"/>
      <c r="I161" s="34">
        <v>114</v>
      </c>
      <c r="J161" s="6">
        <f t="shared" ref="J161:J184" si="39">IFERROR(S161/I161,"")</f>
        <v>3.5087719298245612E-2</v>
      </c>
      <c r="K161" s="38"/>
      <c r="L161" s="38"/>
      <c r="M161" s="38">
        <v>4</v>
      </c>
      <c r="N161" s="38"/>
      <c r="O161" s="38"/>
      <c r="P161" s="38"/>
      <c r="Q161" s="38"/>
      <c r="R161" s="38"/>
      <c r="S161" s="7">
        <f>SUM(K161:R161)</f>
        <v>4</v>
      </c>
      <c r="T161" s="7">
        <v>100000</v>
      </c>
      <c r="U161" s="7">
        <f>T161*S161</f>
        <v>400000</v>
      </c>
      <c r="V161" s="4"/>
      <c r="W161" s="4"/>
      <c r="X161" s="4"/>
      <c r="Y161" s="4"/>
    </row>
    <row r="162" spans="2:25" ht="18.75" hidden="1">
      <c r="B162" s="58"/>
      <c r="C162" s="60"/>
      <c r="D162" s="52"/>
      <c r="E162" s="63"/>
      <c r="F162" s="8">
        <v>0.5</v>
      </c>
      <c r="G162" s="67"/>
      <c r="H162" s="68"/>
      <c r="I162" s="35"/>
      <c r="J162" s="9" t="str">
        <f t="shared" si="39"/>
        <v/>
      </c>
      <c r="K162" s="39"/>
      <c r="L162" s="39"/>
      <c r="M162" s="39"/>
      <c r="N162" s="39"/>
      <c r="O162" s="39"/>
      <c r="P162" s="39"/>
      <c r="Q162" s="39"/>
      <c r="R162" s="39"/>
      <c r="S162" s="10">
        <f t="shared" ref="S162:S172" si="40">SUM(K162:R162)</f>
        <v>0</v>
      </c>
      <c r="T162" s="10">
        <v>100000</v>
      </c>
      <c r="U162" s="10">
        <f t="shared" ref="U162:U163" si="41">T162*S162</f>
        <v>0</v>
      </c>
      <c r="V162" s="4"/>
      <c r="W162" s="4"/>
      <c r="X162" s="4"/>
      <c r="Y162" s="4"/>
    </row>
    <row r="163" spans="2:25" ht="18.75" hidden="1">
      <c r="B163" s="58"/>
      <c r="C163" s="60"/>
      <c r="D163" s="52"/>
      <c r="E163" s="63"/>
      <c r="F163" s="8">
        <v>0.58333333333333337</v>
      </c>
      <c r="G163" s="67"/>
      <c r="H163" s="68"/>
      <c r="I163" s="35"/>
      <c r="J163" s="9" t="str">
        <f t="shared" si="39"/>
        <v/>
      </c>
      <c r="K163" s="39"/>
      <c r="L163" s="39"/>
      <c r="M163" s="39"/>
      <c r="N163" s="39"/>
      <c r="O163" s="39"/>
      <c r="P163" s="39"/>
      <c r="Q163" s="39"/>
      <c r="R163" s="39"/>
      <c r="S163" s="10">
        <f t="shared" si="40"/>
        <v>0</v>
      </c>
      <c r="T163" s="10">
        <v>100000</v>
      </c>
      <c r="U163" s="10">
        <f t="shared" si="41"/>
        <v>0</v>
      </c>
      <c r="V163" s="4"/>
      <c r="W163" s="4"/>
      <c r="X163" s="4"/>
      <c r="Y163" s="4"/>
    </row>
    <row r="164" spans="2:25" ht="18.75" hidden="1">
      <c r="B164" s="58"/>
      <c r="C164" s="60"/>
      <c r="D164" s="52"/>
      <c r="E164" s="63"/>
      <c r="F164" s="8">
        <v>0.66666666666666663</v>
      </c>
      <c r="G164" s="67"/>
      <c r="H164" s="68"/>
      <c r="I164" s="35"/>
      <c r="J164" s="9" t="str">
        <f t="shared" si="39"/>
        <v/>
      </c>
      <c r="K164" s="39"/>
      <c r="L164" s="39"/>
      <c r="M164" s="39"/>
      <c r="N164" s="39"/>
      <c r="O164" s="39"/>
      <c r="P164" s="39"/>
      <c r="Q164" s="39"/>
      <c r="R164" s="39"/>
      <c r="S164" s="10">
        <f t="shared" si="40"/>
        <v>0</v>
      </c>
      <c r="T164" s="10">
        <v>100000</v>
      </c>
      <c r="U164" s="10">
        <f>T164*S164</f>
        <v>0</v>
      </c>
      <c r="V164" s="4"/>
      <c r="W164" s="4"/>
      <c r="X164" s="4"/>
      <c r="Y164" s="4"/>
    </row>
    <row r="165" spans="2:25" ht="18.75" hidden="1">
      <c r="B165" s="58"/>
      <c r="C165" s="60"/>
      <c r="D165" s="52"/>
      <c r="E165" s="63"/>
      <c r="F165" s="8">
        <v>0.75</v>
      </c>
      <c r="G165" s="67"/>
      <c r="H165" s="68"/>
      <c r="I165" s="35"/>
      <c r="J165" s="9" t="str">
        <f t="shared" si="39"/>
        <v/>
      </c>
      <c r="K165" s="39"/>
      <c r="L165" s="39"/>
      <c r="M165" s="39"/>
      <c r="N165" s="39"/>
      <c r="O165" s="39"/>
      <c r="P165" s="39"/>
      <c r="Q165" s="39"/>
      <c r="R165" s="39"/>
      <c r="S165" s="10">
        <f t="shared" si="40"/>
        <v>0</v>
      </c>
      <c r="T165" s="10">
        <v>100000</v>
      </c>
      <c r="U165" s="10">
        <f t="shared" ref="U165:U172" si="42">T165*S165</f>
        <v>0</v>
      </c>
      <c r="V165" s="4"/>
      <c r="W165" s="4"/>
      <c r="X165" s="11"/>
      <c r="Y165" s="4"/>
    </row>
    <row r="166" spans="2:25" ht="18.75" hidden="1">
      <c r="B166" s="58"/>
      <c r="C166" s="60"/>
      <c r="D166" s="53"/>
      <c r="E166" s="64"/>
      <c r="F166" s="12">
        <v>0.83333333333333337</v>
      </c>
      <c r="G166" s="67"/>
      <c r="H166" s="68"/>
      <c r="I166" s="36"/>
      <c r="J166" s="9" t="str">
        <f t="shared" si="39"/>
        <v/>
      </c>
      <c r="K166" s="41"/>
      <c r="L166" s="41"/>
      <c r="M166" s="41"/>
      <c r="N166" s="41"/>
      <c r="O166" s="41"/>
      <c r="P166" s="41"/>
      <c r="Q166" s="41"/>
      <c r="R166" s="41"/>
      <c r="S166" s="13">
        <f t="shared" si="40"/>
        <v>0</v>
      </c>
      <c r="T166" s="13">
        <v>100000</v>
      </c>
      <c r="U166" s="13">
        <f t="shared" si="42"/>
        <v>0</v>
      </c>
      <c r="V166" s="4"/>
      <c r="Y166" s="4"/>
    </row>
    <row r="167" spans="2:25" ht="18.75" hidden="1">
      <c r="B167" s="58"/>
      <c r="C167" s="60"/>
      <c r="D167" s="51"/>
      <c r="E167" s="62" t="s">
        <v>102</v>
      </c>
      <c r="F167" s="5">
        <v>0.91666666666666663</v>
      </c>
      <c r="G167" s="65"/>
      <c r="H167" s="66"/>
      <c r="I167" s="34"/>
      <c r="J167" s="6" t="str">
        <f t="shared" si="39"/>
        <v/>
      </c>
      <c r="K167" s="38"/>
      <c r="L167" s="38"/>
      <c r="M167" s="38"/>
      <c r="N167" s="38"/>
      <c r="O167" s="38"/>
      <c r="P167" s="38"/>
      <c r="Q167" s="38"/>
      <c r="R167" s="38"/>
      <c r="S167" s="7">
        <f t="shared" si="40"/>
        <v>0</v>
      </c>
      <c r="T167" s="7">
        <v>100000</v>
      </c>
      <c r="U167" s="7">
        <f t="shared" si="42"/>
        <v>0</v>
      </c>
      <c r="V167" s="4"/>
      <c r="Y167" s="4"/>
    </row>
    <row r="168" spans="2:25" ht="18.75" hidden="1">
      <c r="B168" s="58"/>
      <c r="C168" s="60"/>
      <c r="D168" s="52"/>
      <c r="E168" s="63"/>
      <c r="F168" s="8">
        <v>1</v>
      </c>
      <c r="G168" s="67"/>
      <c r="H168" s="68"/>
      <c r="I168" s="35"/>
      <c r="J168" s="9" t="str">
        <f t="shared" si="39"/>
        <v/>
      </c>
      <c r="K168" s="39"/>
      <c r="L168" s="39"/>
      <c r="M168" s="39"/>
      <c r="N168" s="39"/>
      <c r="O168" s="39"/>
      <c r="P168" s="39"/>
      <c r="Q168" s="39"/>
      <c r="R168" s="39"/>
      <c r="S168" s="10">
        <f t="shared" si="40"/>
        <v>0</v>
      </c>
      <c r="T168" s="10">
        <v>100000</v>
      </c>
      <c r="U168" s="10">
        <f t="shared" si="42"/>
        <v>0</v>
      </c>
      <c r="V168" s="4"/>
      <c r="Y168" s="4"/>
    </row>
    <row r="169" spans="2:25" ht="18.75" hidden="1">
      <c r="B169" s="58"/>
      <c r="C169" s="60"/>
      <c r="D169" s="52"/>
      <c r="E169" s="63"/>
      <c r="F169" s="8">
        <v>8.3333333333333329E-2</v>
      </c>
      <c r="G169" s="67"/>
      <c r="H169" s="68"/>
      <c r="I169" s="35"/>
      <c r="J169" s="9" t="str">
        <f t="shared" si="39"/>
        <v/>
      </c>
      <c r="K169" s="39"/>
      <c r="L169" s="39"/>
      <c r="M169" s="39"/>
      <c r="N169" s="39"/>
      <c r="O169" s="39"/>
      <c r="P169" s="39"/>
      <c r="Q169" s="39"/>
      <c r="R169" s="39"/>
      <c r="S169" s="10">
        <f t="shared" si="40"/>
        <v>0</v>
      </c>
      <c r="T169" s="10">
        <v>100000</v>
      </c>
      <c r="U169" s="10">
        <f t="shared" si="42"/>
        <v>0</v>
      </c>
      <c r="V169" s="4"/>
      <c r="Y169" s="4"/>
    </row>
    <row r="170" spans="2:25" ht="18.75" hidden="1">
      <c r="B170" s="58"/>
      <c r="C170" s="60"/>
      <c r="D170" s="52"/>
      <c r="E170" s="63"/>
      <c r="F170" s="8">
        <v>0.16666666666666666</v>
      </c>
      <c r="G170" s="67"/>
      <c r="H170" s="68"/>
      <c r="I170" s="35"/>
      <c r="J170" s="9" t="str">
        <f t="shared" si="39"/>
        <v/>
      </c>
      <c r="K170" s="39"/>
      <c r="L170" s="39"/>
      <c r="M170" s="39"/>
      <c r="N170" s="39"/>
      <c r="O170" s="39"/>
      <c r="P170" s="39"/>
      <c r="Q170" s="39"/>
      <c r="R170" s="39"/>
      <c r="S170" s="10">
        <f t="shared" si="40"/>
        <v>0</v>
      </c>
      <c r="T170" s="10">
        <v>100000</v>
      </c>
      <c r="U170" s="10">
        <f t="shared" si="42"/>
        <v>0</v>
      </c>
      <c r="V170" s="4"/>
      <c r="W170" s="4"/>
      <c r="X170" s="4"/>
      <c r="Y170" s="4"/>
    </row>
    <row r="171" spans="2:25" ht="18.75" hidden="1">
      <c r="B171" s="58"/>
      <c r="C171" s="60"/>
      <c r="D171" s="52"/>
      <c r="E171" s="63"/>
      <c r="F171" s="8">
        <v>0.25</v>
      </c>
      <c r="G171" s="67"/>
      <c r="H171" s="68"/>
      <c r="I171" s="35"/>
      <c r="J171" s="9" t="str">
        <f t="shared" si="39"/>
        <v/>
      </c>
      <c r="K171" s="39"/>
      <c r="L171" s="39"/>
      <c r="M171" s="39"/>
      <c r="N171" s="39"/>
      <c r="O171" s="39"/>
      <c r="P171" s="39"/>
      <c r="Q171" s="39"/>
      <c r="R171" s="39"/>
      <c r="S171" s="10">
        <f t="shared" si="40"/>
        <v>0</v>
      </c>
      <c r="T171" s="10">
        <v>100000</v>
      </c>
      <c r="U171" s="10">
        <f t="shared" si="42"/>
        <v>0</v>
      </c>
      <c r="V171" s="4"/>
      <c r="Y171" s="4"/>
    </row>
    <row r="172" spans="2:25" ht="18.75" hidden="1">
      <c r="B172" s="58"/>
      <c r="C172" s="61"/>
      <c r="D172" s="53"/>
      <c r="E172" s="69"/>
      <c r="F172" s="14">
        <v>0.33333333333333331</v>
      </c>
      <c r="G172" s="67"/>
      <c r="H172" s="68"/>
      <c r="I172" s="37"/>
      <c r="J172" s="15" t="str">
        <f t="shared" si="39"/>
        <v/>
      </c>
      <c r="K172" s="40"/>
      <c r="L172" s="40"/>
      <c r="M172" s="40"/>
      <c r="N172" s="40"/>
      <c r="O172" s="40"/>
      <c r="P172" s="40"/>
      <c r="Q172" s="40"/>
      <c r="R172" s="40"/>
      <c r="S172" s="16">
        <f t="shared" si="40"/>
        <v>0</v>
      </c>
      <c r="T172" s="16">
        <v>100000</v>
      </c>
      <c r="U172" s="16">
        <f t="shared" si="42"/>
        <v>0</v>
      </c>
      <c r="V172" s="4"/>
      <c r="W172" s="4"/>
      <c r="X172" s="4"/>
      <c r="Y172" s="4"/>
    </row>
    <row r="173" spans="2:25" ht="16.5" hidden="1" customHeight="1">
      <c r="B173" s="58">
        <v>46095</v>
      </c>
      <c r="C173" s="59" t="s">
        <v>15</v>
      </c>
      <c r="D173" s="51"/>
      <c r="E173" s="62" t="s">
        <v>101</v>
      </c>
      <c r="F173" s="5">
        <v>0.41666666666666669</v>
      </c>
      <c r="G173" s="65"/>
      <c r="H173" s="66"/>
      <c r="I173" s="34"/>
      <c r="J173" s="6" t="str">
        <f t="shared" si="39"/>
        <v/>
      </c>
      <c r="K173" s="38"/>
      <c r="L173" s="38"/>
      <c r="M173" s="38"/>
      <c r="N173" s="38"/>
      <c r="O173" s="38"/>
      <c r="P173" s="38"/>
      <c r="Q173" s="38"/>
      <c r="R173" s="38"/>
      <c r="S173" s="7">
        <f>SUM(K173:R173)</f>
        <v>0</v>
      </c>
      <c r="T173" s="7">
        <v>100000</v>
      </c>
      <c r="U173" s="7">
        <f>T173*S173</f>
        <v>0</v>
      </c>
      <c r="V173" s="4"/>
      <c r="W173" s="4"/>
      <c r="X173" s="4"/>
      <c r="Y173" s="4"/>
    </row>
    <row r="174" spans="2:25" ht="18.75" hidden="1">
      <c r="B174" s="58"/>
      <c r="C174" s="60"/>
      <c r="D174" s="52"/>
      <c r="E174" s="63"/>
      <c r="F174" s="8">
        <v>0.5</v>
      </c>
      <c r="G174" s="67"/>
      <c r="H174" s="68"/>
      <c r="I174" s="35"/>
      <c r="J174" s="9" t="str">
        <f t="shared" si="39"/>
        <v/>
      </c>
      <c r="K174" s="39"/>
      <c r="L174" s="39"/>
      <c r="M174" s="39"/>
      <c r="N174" s="39"/>
      <c r="O174" s="39"/>
      <c r="P174" s="39"/>
      <c r="Q174" s="39"/>
      <c r="R174" s="39"/>
      <c r="S174" s="10">
        <f t="shared" ref="S174:S184" si="43">SUM(K174:R174)</f>
        <v>0</v>
      </c>
      <c r="T174" s="10">
        <v>100000</v>
      </c>
      <c r="U174" s="10">
        <f t="shared" ref="U174:U175" si="44">T174*S174</f>
        <v>0</v>
      </c>
      <c r="V174" s="4"/>
      <c r="W174" s="4"/>
      <c r="X174" s="4"/>
      <c r="Y174" s="4"/>
    </row>
    <row r="175" spans="2:25" ht="18.75" hidden="1">
      <c r="B175" s="58"/>
      <c r="C175" s="60"/>
      <c r="D175" s="52"/>
      <c r="E175" s="63"/>
      <c r="F175" s="8">
        <v>0.58333333333333337</v>
      </c>
      <c r="G175" s="67"/>
      <c r="H175" s="68"/>
      <c r="I175" s="35"/>
      <c r="J175" s="9" t="str">
        <f t="shared" si="39"/>
        <v/>
      </c>
      <c r="K175" s="39"/>
      <c r="L175" s="39"/>
      <c r="M175" s="39"/>
      <c r="N175" s="39"/>
      <c r="O175" s="39"/>
      <c r="P175" s="39"/>
      <c r="Q175" s="39"/>
      <c r="R175" s="39"/>
      <c r="S175" s="10">
        <f t="shared" si="43"/>
        <v>0</v>
      </c>
      <c r="T175" s="10">
        <v>100000</v>
      </c>
      <c r="U175" s="10">
        <f t="shared" si="44"/>
        <v>0</v>
      </c>
      <c r="V175" s="4"/>
      <c r="W175" s="4"/>
      <c r="X175" s="4"/>
      <c r="Y175" s="4"/>
    </row>
    <row r="176" spans="2:25" ht="18.75" hidden="1">
      <c r="B176" s="58"/>
      <c r="C176" s="60"/>
      <c r="D176" s="52"/>
      <c r="E176" s="63"/>
      <c r="F176" s="8">
        <v>0.66666666666666663</v>
      </c>
      <c r="G176" s="67"/>
      <c r="H176" s="68"/>
      <c r="I176" s="35"/>
      <c r="J176" s="9" t="str">
        <f t="shared" si="39"/>
        <v/>
      </c>
      <c r="K176" s="39"/>
      <c r="L176" s="39"/>
      <c r="M176" s="39"/>
      <c r="N176" s="39"/>
      <c r="O176" s="39"/>
      <c r="P176" s="39"/>
      <c r="Q176" s="39"/>
      <c r="R176" s="39"/>
      <c r="S176" s="10">
        <f t="shared" si="43"/>
        <v>0</v>
      </c>
      <c r="T176" s="10">
        <v>100000</v>
      </c>
      <c r="U176" s="10">
        <f>T176*S176</f>
        <v>0</v>
      </c>
      <c r="V176" s="4"/>
      <c r="W176" s="4"/>
      <c r="X176" s="4"/>
      <c r="Y176" s="4"/>
    </row>
    <row r="177" spans="2:25" ht="18.75" hidden="1">
      <c r="B177" s="58"/>
      <c r="C177" s="60"/>
      <c r="D177" s="52"/>
      <c r="E177" s="63"/>
      <c r="F177" s="8">
        <v>0.75</v>
      </c>
      <c r="G177" s="67"/>
      <c r="H177" s="68"/>
      <c r="I177" s="35"/>
      <c r="J177" s="9" t="str">
        <f t="shared" si="39"/>
        <v/>
      </c>
      <c r="K177" s="39"/>
      <c r="L177" s="39"/>
      <c r="M177" s="39"/>
      <c r="N177" s="39"/>
      <c r="O177" s="39"/>
      <c r="P177" s="39"/>
      <c r="Q177" s="39"/>
      <c r="R177" s="39"/>
      <c r="S177" s="10">
        <f t="shared" si="43"/>
        <v>0</v>
      </c>
      <c r="T177" s="10">
        <v>100000</v>
      </c>
      <c r="U177" s="10">
        <f t="shared" ref="U177:U184" si="45">T177*S177</f>
        <v>0</v>
      </c>
      <c r="V177" s="4"/>
      <c r="W177" s="4"/>
      <c r="X177" s="11"/>
      <c r="Y177" s="4"/>
    </row>
    <row r="178" spans="2:25" ht="18.75" hidden="1">
      <c r="B178" s="58"/>
      <c r="C178" s="60"/>
      <c r="D178" s="53"/>
      <c r="E178" s="64"/>
      <c r="F178" s="12">
        <v>0.83333333333333337</v>
      </c>
      <c r="G178" s="67"/>
      <c r="H178" s="68"/>
      <c r="I178" s="36"/>
      <c r="J178" s="9" t="str">
        <f t="shared" si="39"/>
        <v/>
      </c>
      <c r="K178" s="41"/>
      <c r="L178" s="41"/>
      <c r="M178" s="41"/>
      <c r="N178" s="41"/>
      <c r="O178" s="41"/>
      <c r="P178" s="41"/>
      <c r="Q178" s="41"/>
      <c r="R178" s="41"/>
      <c r="S178" s="13">
        <f t="shared" si="43"/>
        <v>0</v>
      </c>
      <c r="T178" s="13">
        <v>100000</v>
      </c>
      <c r="U178" s="13">
        <f t="shared" si="45"/>
        <v>0</v>
      </c>
      <c r="V178" s="4"/>
      <c r="Y178" s="4"/>
    </row>
    <row r="179" spans="2:25" ht="18.75" hidden="1">
      <c r="B179" s="58"/>
      <c r="C179" s="60"/>
      <c r="D179" s="51"/>
      <c r="E179" s="62" t="s">
        <v>102</v>
      </c>
      <c r="F179" s="5">
        <v>0.91666666666666663</v>
      </c>
      <c r="G179" s="65"/>
      <c r="H179" s="66"/>
      <c r="I179" s="34"/>
      <c r="J179" s="6" t="str">
        <f t="shared" si="39"/>
        <v/>
      </c>
      <c r="K179" s="38"/>
      <c r="L179" s="38"/>
      <c r="M179" s="38"/>
      <c r="N179" s="38"/>
      <c r="O179" s="38"/>
      <c r="P179" s="38"/>
      <c r="Q179" s="38"/>
      <c r="R179" s="38"/>
      <c r="S179" s="7">
        <f t="shared" si="43"/>
        <v>0</v>
      </c>
      <c r="T179" s="7">
        <v>100000</v>
      </c>
      <c r="U179" s="7">
        <f t="shared" si="45"/>
        <v>0</v>
      </c>
      <c r="V179" s="4"/>
      <c r="Y179" s="4"/>
    </row>
    <row r="180" spans="2:25" ht="18.75" hidden="1">
      <c r="B180" s="58"/>
      <c r="C180" s="60"/>
      <c r="D180" s="52"/>
      <c r="E180" s="63"/>
      <c r="F180" s="8">
        <v>1</v>
      </c>
      <c r="G180" s="67"/>
      <c r="H180" s="68"/>
      <c r="I180" s="35"/>
      <c r="J180" s="9" t="str">
        <f t="shared" si="39"/>
        <v/>
      </c>
      <c r="K180" s="39"/>
      <c r="L180" s="39"/>
      <c r="M180" s="39"/>
      <c r="N180" s="39"/>
      <c r="O180" s="39"/>
      <c r="P180" s="39"/>
      <c r="Q180" s="39"/>
      <c r="R180" s="39"/>
      <c r="S180" s="10">
        <f t="shared" si="43"/>
        <v>0</v>
      </c>
      <c r="T180" s="10">
        <v>100000</v>
      </c>
      <c r="U180" s="10">
        <f t="shared" si="45"/>
        <v>0</v>
      </c>
      <c r="V180" s="4"/>
      <c r="Y180" s="4"/>
    </row>
    <row r="181" spans="2:25" ht="18.75" hidden="1">
      <c r="B181" s="58"/>
      <c r="C181" s="60"/>
      <c r="D181" s="52"/>
      <c r="E181" s="63"/>
      <c r="F181" s="8">
        <v>8.3333333333333329E-2</v>
      </c>
      <c r="G181" s="67"/>
      <c r="H181" s="68"/>
      <c r="I181" s="35"/>
      <c r="J181" s="9" t="str">
        <f t="shared" si="39"/>
        <v/>
      </c>
      <c r="K181" s="39"/>
      <c r="L181" s="39"/>
      <c r="M181" s="39"/>
      <c r="N181" s="39"/>
      <c r="O181" s="39"/>
      <c r="P181" s="39"/>
      <c r="Q181" s="39"/>
      <c r="R181" s="39"/>
      <c r="S181" s="10">
        <f t="shared" si="43"/>
        <v>0</v>
      </c>
      <c r="T181" s="10">
        <v>100000</v>
      </c>
      <c r="U181" s="10">
        <f t="shared" si="45"/>
        <v>0</v>
      </c>
      <c r="V181" s="4"/>
      <c r="Y181" s="4"/>
    </row>
    <row r="182" spans="2:25" ht="18.75" hidden="1">
      <c r="B182" s="58"/>
      <c r="C182" s="60"/>
      <c r="D182" s="52"/>
      <c r="E182" s="63"/>
      <c r="F182" s="8">
        <v>0.16666666666666666</v>
      </c>
      <c r="G182" s="67"/>
      <c r="H182" s="68"/>
      <c r="I182" s="35"/>
      <c r="J182" s="9" t="str">
        <f t="shared" si="39"/>
        <v/>
      </c>
      <c r="K182" s="39"/>
      <c r="L182" s="39"/>
      <c r="M182" s="39"/>
      <c r="N182" s="39"/>
      <c r="O182" s="39"/>
      <c r="P182" s="39"/>
      <c r="Q182" s="39"/>
      <c r="R182" s="39"/>
      <c r="S182" s="10">
        <f t="shared" si="43"/>
        <v>0</v>
      </c>
      <c r="T182" s="10">
        <v>100000</v>
      </c>
      <c r="U182" s="10">
        <f t="shared" si="45"/>
        <v>0</v>
      </c>
      <c r="V182" s="4"/>
      <c r="W182" s="4"/>
      <c r="X182" s="4"/>
      <c r="Y182" s="4"/>
    </row>
    <row r="183" spans="2:25" ht="18.75" hidden="1">
      <c r="B183" s="58"/>
      <c r="C183" s="60"/>
      <c r="D183" s="52"/>
      <c r="E183" s="63"/>
      <c r="F183" s="8">
        <v>0.25</v>
      </c>
      <c r="G183" s="67"/>
      <c r="H183" s="68"/>
      <c r="I183" s="35"/>
      <c r="J183" s="9" t="str">
        <f t="shared" si="39"/>
        <v/>
      </c>
      <c r="K183" s="39"/>
      <c r="L183" s="39"/>
      <c r="M183" s="39"/>
      <c r="N183" s="39"/>
      <c r="O183" s="39"/>
      <c r="P183" s="39"/>
      <c r="Q183" s="39"/>
      <c r="R183" s="39"/>
      <c r="S183" s="10">
        <f t="shared" si="43"/>
        <v>0</v>
      </c>
      <c r="T183" s="10">
        <v>100000</v>
      </c>
      <c r="U183" s="10">
        <f t="shared" si="45"/>
        <v>0</v>
      </c>
      <c r="V183" s="4"/>
      <c r="Y183" s="4"/>
    </row>
    <row r="184" spans="2:25" ht="18.75" hidden="1">
      <c r="B184" s="58"/>
      <c r="C184" s="61"/>
      <c r="D184" s="53"/>
      <c r="E184" s="69"/>
      <c r="F184" s="14">
        <v>0.33333333333333331</v>
      </c>
      <c r="G184" s="67"/>
      <c r="H184" s="68"/>
      <c r="I184" s="37"/>
      <c r="J184" s="15" t="str">
        <f t="shared" si="39"/>
        <v/>
      </c>
      <c r="K184" s="40"/>
      <c r="L184" s="40"/>
      <c r="M184" s="40"/>
      <c r="N184" s="40"/>
      <c r="O184" s="40"/>
      <c r="P184" s="40"/>
      <c r="Q184" s="40"/>
      <c r="R184" s="40"/>
      <c r="S184" s="16">
        <f t="shared" si="43"/>
        <v>0</v>
      </c>
      <c r="T184" s="16">
        <v>100000</v>
      </c>
      <c r="U184" s="16">
        <f t="shared" si="45"/>
        <v>0</v>
      </c>
      <c r="V184" s="4"/>
      <c r="W184" s="4"/>
      <c r="X184" s="4"/>
      <c r="Y184" s="4"/>
    </row>
    <row r="185" spans="2:25" ht="16.5" hidden="1" customHeight="1">
      <c r="B185" s="58">
        <v>46096</v>
      </c>
      <c r="C185" s="59" t="s">
        <v>15</v>
      </c>
      <c r="D185" s="51"/>
      <c r="E185" s="62" t="s">
        <v>101</v>
      </c>
      <c r="F185" s="5">
        <v>0.41666666666666669</v>
      </c>
      <c r="G185" s="65"/>
      <c r="H185" s="66"/>
      <c r="I185" s="34"/>
      <c r="J185" s="6" t="str">
        <f t="shared" ref="J185:J220" si="46">IFERROR(S185/I185,"")</f>
        <v/>
      </c>
      <c r="K185" s="38"/>
      <c r="L185" s="38"/>
      <c r="M185" s="38"/>
      <c r="N185" s="38"/>
      <c r="O185" s="38"/>
      <c r="P185" s="38"/>
      <c r="Q185" s="38"/>
      <c r="R185" s="38"/>
      <c r="S185" s="7">
        <f>SUM(K185:R185)</f>
        <v>0</v>
      </c>
      <c r="T185" s="7">
        <v>100000</v>
      </c>
      <c r="U185" s="7">
        <f>T185*S185</f>
        <v>0</v>
      </c>
      <c r="V185" s="4"/>
      <c r="W185" s="4"/>
      <c r="X185" s="4"/>
      <c r="Y185" s="4"/>
    </row>
    <row r="186" spans="2:25" ht="18.75" hidden="1">
      <c r="B186" s="58"/>
      <c r="C186" s="60"/>
      <c r="D186" s="52"/>
      <c r="E186" s="63"/>
      <c r="F186" s="8">
        <v>0.5</v>
      </c>
      <c r="G186" s="67"/>
      <c r="H186" s="68"/>
      <c r="I186" s="35"/>
      <c r="J186" s="9" t="str">
        <f t="shared" si="46"/>
        <v/>
      </c>
      <c r="K186" s="39"/>
      <c r="L186" s="39"/>
      <c r="M186" s="39"/>
      <c r="N186" s="39"/>
      <c r="O186" s="39"/>
      <c r="P186" s="39"/>
      <c r="Q186" s="39"/>
      <c r="R186" s="39"/>
      <c r="S186" s="10">
        <f t="shared" ref="S186:S196" si="47">SUM(K186:R186)</f>
        <v>0</v>
      </c>
      <c r="T186" s="10">
        <v>100000</v>
      </c>
      <c r="U186" s="10">
        <f t="shared" ref="U186:U187" si="48">T186*S186</f>
        <v>0</v>
      </c>
      <c r="V186" s="4"/>
      <c r="W186" s="4"/>
      <c r="X186" s="4"/>
      <c r="Y186" s="4"/>
    </row>
    <row r="187" spans="2:25" ht="18.75" hidden="1">
      <c r="B187" s="58"/>
      <c r="C187" s="60"/>
      <c r="D187" s="52"/>
      <c r="E187" s="63"/>
      <c r="F187" s="8">
        <v>0.58333333333333337</v>
      </c>
      <c r="G187" s="67"/>
      <c r="H187" s="68"/>
      <c r="I187" s="35"/>
      <c r="J187" s="9" t="str">
        <f t="shared" si="46"/>
        <v/>
      </c>
      <c r="K187" s="39"/>
      <c r="L187" s="39"/>
      <c r="M187" s="39"/>
      <c r="N187" s="39"/>
      <c r="O187" s="39"/>
      <c r="P187" s="39"/>
      <c r="Q187" s="39"/>
      <c r="R187" s="39"/>
      <c r="S187" s="10">
        <f t="shared" si="47"/>
        <v>0</v>
      </c>
      <c r="T187" s="10">
        <v>100000</v>
      </c>
      <c r="U187" s="10">
        <f t="shared" si="48"/>
        <v>0</v>
      </c>
      <c r="V187" s="4"/>
      <c r="W187" s="4"/>
      <c r="X187" s="4"/>
      <c r="Y187" s="4"/>
    </row>
    <row r="188" spans="2:25" ht="18.75" hidden="1">
      <c r="B188" s="58"/>
      <c r="C188" s="60"/>
      <c r="D188" s="52"/>
      <c r="E188" s="63"/>
      <c r="F188" s="8">
        <v>0.66666666666666663</v>
      </c>
      <c r="G188" s="67"/>
      <c r="H188" s="68"/>
      <c r="I188" s="35"/>
      <c r="J188" s="9" t="str">
        <f t="shared" si="46"/>
        <v/>
      </c>
      <c r="K188" s="39"/>
      <c r="L188" s="39"/>
      <c r="M188" s="39"/>
      <c r="N188" s="39"/>
      <c r="O188" s="39"/>
      <c r="P188" s="39"/>
      <c r="Q188" s="39"/>
      <c r="R188" s="39"/>
      <c r="S188" s="10">
        <f t="shared" si="47"/>
        <v>0</v>
      </c>
      <c r="T188" s="10">
        <v>100000</v>
      </c>
      <c r="U188" s="10">
        <f>T188*S188</f>
        <v>0</v>
      </c>
      <c r="V188" s="4"/>
      <c r="W188" s="4"/>
      <c r="X188" s="4"/>
      <c r="Y188" s="4"/>
    </row>
    <row r="189" spans="2:25" ht="18.75" hidden="1">
      <c r="B189" s="58"/>
      <c r="C189" s="60"/>
      <c r="D189" s="52"/>
      <c r="E189" s="63"/>
      <c r="F189" s="8">
        <v>0.75</v>
      </c>
      <c r="G189" s="67"/>
      <c r="H189" s="68"/>
      <c r="I189" s="35"/>
      <c r="J189" s="9" t="str">
        <f t="shared" si="46"/>
        <v/>
      </c>
      <c r="K189" s="39"/>
      <c r="L189" s="39"/>
      <c r="M189" s="39"/>
      <c r="N189" s="39"/>
      <c r="O189" s="39"/>
      <c r="P189" s="39"/>
      <c r="Q189" s="39"/>
      <c r="R189" s="39"/>
      <c r="S189" s="10">
        <f t="shared" si="47"/>
        <v>0</v>
      </c>
      <c r="T189" s="10">
        <v>100000</v>
      </c>
      <c r="U189" s="10">
        <f t="shared" ref="U189:U196" si="49">T189*S189</f>
        <v>0</v>
      </c>
      <c r="V189" s="4"/>
      <c r="W189" s="4"/>
      <c r="X189" s="11"/>
      <c r="Y189" s="4"/>
    </row>
    <row r="190" spans="2:25" ht="18.75" hidden="1">
      <c r="B190" s="58"/>
      <c r="C190" s="60"/>
      <c r="D190" s="53"/>
      <c r="E190" s="64"/>
      <c r="F190" s="12">
        <v>0.83333333333333337</v>
      </c>
      <c r="G190" s="67"/>
      <c r="H190" s="68"/>
      <c r="I190" s="36"/>
      <c r="J190" s="9" t="str">
        <f t="shared" si="46"/>
        <v/>
      </c>
      <c r="K190" s="41"/>
      <c r="L190" s="41"/>
      <c r="M190" s="41"/>
      <c r="N190" s="41"/>
      <c r="O190" s="41"/>
      <c r="P190" s="41"/>
      <c r="Q190" s="41"/>
      <c r="R190" s="41"/>
      <c r="S190" s="13">
        <f t="shared" si="47"/>
        <v>0</v>
      </c>
      <c r="T190" s="13">
        <v>100000</v>
      </c>
      <c r="U190" s="13">
        <f t="shared" si="49"/>
        <v>0</v>
      </c>
      <c r="V190" s="4"/>
      <c r="Y190" s="4"/>
    </row>
    <row r="191" spans="2:25" ht="18.75" hidden="1">
      <c r="B191" s="58"/>
      <c r="C191" s="60"/>
      <c r="D191" s="51"/>
      <c r="E191" s="62" t="s">
        <v>102</v>
      </c>
      <c r="F191" s="5">
        <v>0.91666666666666663</v>
      </c>
      <c r="G191" s="65"/>
      <c r="H191" s="66"/>
      <c r="I191" s="34"/>
      <c r="J191" s="6" t="str">
        <f t="shared" si="46"/>
        <v/>
      </c>
      <c r="K191" s="38"/>
      <c r="L191" s="38"/>
      <c r="M191" s="38"/>
      <c r="N191" s="38"/>
      <c r="O191" s="38"/>
      <c r="P191" s="38"/>
      <c r="Q191" s="38"/>
      <c r="R191" s="38"/>
      <c r="S191" s="7">
        <f t="shared" si="47"/>
        <v>0</v>
      </c>
      <c r="T191" s="7">
        <v>100000</v>
      </c>
      <c r="U191" s="7">
        <f t="shared" si="49"/>
        <v>0</v>
      </c>
      <c r="V191" s="4"/>
      <c r="Y191" s="4"/>
    </row>
    <row r="192" spans="2:25" ht="18.75" hidden="1">
      <c r="B192" s="58"/>
      <c r="C192" s="60"/>
      <c r="D192" s="52"/>
      <c r="E192" s="63"/>
      <c r="F192" s="8">
        <v>1</v>
      </c>
      <c r="G192" s="67"/>
      <c r="H192" s="68"/>
      <c r="I192" s="35"/>
      <c r="J192" s="9" t="str">
        <f t="shared" si="46"/>
        <v/>
      </c>
      <c r="K192" s="39"/>
      <c r="L192" s="39"/>
      <c r="M192" s="39"/>
      <c r="N192" s="39"/>
      <c r="O192" s="39"/>
      <c r="P192" s="39"/>
      <c r="Q192" s="39"/>
      <c r="R192" s="39"/>
      <c r="S192" s="10">
        <f t="shared" si="47"/>
        <v>0</v>
      </c>
      <c r="T192" s="10">
        <v>100000</v>
      </c>
      <c r="U192" s="10">
        <f t="shared" si="49"/>
        <v>0</v>
      </c>
      <c r="V192" s="4"/>
      <c r="Y192" s="4"/>
    </row>
    <row r="193" spans="2:25" ht="18.75" hidden="1">
      <c r="B193" s="58"/>
      <c r="C193" s="60"/>
      <c r="D193" s="52"/>
      <c r="E193" s="63"/>
      <c r="F193" s="8">
        <v>8.3333333333333329E-2</v>
      </c>
      <c r="G193" s="67"/>
      <c r="H193" s="68"/>
      <c r="I193" s="35"/>
      <c r="J193" s="9" t="str">
        <f t="shared" si="46"/>
        <v/>
      </c>
      <c r="K193" s="39"/>
      <c r="L193" s="39"/>
      <c r="M193" s="39"/>
      <c r="N193" s="39"/>
      <c r="O193" s="39"/>
      <c r="P193" s="39"/>
      <c r="Q193" s="39"/>
      <c r="R193" s="39"/>
      <c r="S193" s="10">
        <f t="shared" si="47"/>
        <v>0</v>
      </c>
      <c r="T193" s="10">
        <v>100000</v>
      </c>
      <c r="U193" s="10">
        <f t="shared" si="49"/>
        <v>0</v>
      </c>
      <c r="V193" s="4"/>
      <c r="Y193" s="4"/>
    </row>
    <row r="194" spans="2:25" ht="18.75" hidden="1">
      <c r="B194" s="58"/>
      <c r="C194" s="60"/>
      <c r="D194" s="52"/>
      <c r="E194" s="63"/>
      <c r="F194" s="8">
        <v>0.16666666666666666</v>
      </c>
      <c r="G194" s="67"/>
      <c r="H194" s="68"/>
      <c r="I194" s="35"/>
      <c r="J194" s="9" t="str">
        <f t="shared" si="46"/>
        <v/>
      </c>
      <c r="K194" s="39"/>
      <c r="L194" s="39"/>
      <c r="M194" s="39"/>
      <c r="N194" s="39"/>
      <c r="O194" s="39"/>
      <c r="P194" s="39"/>
      <c r="Q194" s="39"/>
      <c r="R194" s="39"/>
      <c r="S194" s="10">
        <f t="shared" si="47"/>
        <v>0</v>
      </c>
      <c r="T194" s="10">
        <v>100000</v>
      </c>
      <c r="U194" s="10">
        <f t="shared" si="49"/>
        <v>0</v>
      </c>
      <c r="V194" s="4"/>
      <c r="W194" s="4"/>
      <c r="X194" s="4"/>
      <c r="Y194" s="4"/>
    </row>
    <row r="195" spans="2:25" ht="18.75" hidden="1">
      <c r="B195" s="58"/>
      <c r="C195" s="60"/>
      <c r="D195" s="52"/>
      <c r="E195" s="63"/>
      <c r="F195" s="8">
        <v>0.25</v>
      </c>
      <c r="G195" s="67"/>
      <c r="H195" s="68"/>
      <c r="I195" s="35"/>
      <c r="J195" s="9" t="str">
        <f t="shared" si="46"/>
        <v/>
      </c>
      <c r="K195" s="39"/>
      <c r="L195" s="39"/>
      <c r="M195" s="39"/>
      <c r="N195" s="39"/>
      <c r="O195" s="39"/>
      <c r="P195" s="39"/>
      <c r="Q195" s="39"/>
      <c r="R195" s="39"/>
      <c r="S195" s="10">
        <f t="shared" si="47"/>
        <v>0</v>
      </c>
      <c r="T195" s="10">
        <v>100000</v>
      </c>
      <c r="U195" s="10">
        <f t="shared" si="49"/>
        <v>0</v>
      </c>
      <c r="V195" s="4"/>
      <c r="Y195" s="4"/>
    </row>
    <row r="196" spans="2:25" ht="18.75" hidden="1">
      <c r="B196" s="58"/>
      <c r="C196" s="61"/>
      <c r="D196" s="53"/>
      <c r="E196" s="69"/>
      <c r="F196" s="14">
        <v>0.33333333333333331</v>
      </c>
      <c r="G196" s="67"/>
      <c r="H196" s="68"/>
      <c r="I196" s="37"/>
      <c r="J196" s="15" t="str">
        <f t="shared" si="46"/>
        <v/>
      </c>
      <c r="K196" s="40"/>
      <c r="L196" s="40"/>
      <c r="M196" s="40"/>
      <c r="N196" s="40"/>
      <c r="O196" s="40"/>
      <c r="P196" s="40"/>
      <c r="Q196" s="40"/>
      <c r="R196" s="40"/>
      <c r="S196" s="16">
        <f t="shared" si="47"/>
        <v>0</v>
      </c>
      <c r="T196" s="16">
        <v>100000</v>
      </c>
      <c r="U196" s="16">
        <f t="shared" si="49"/>
        <v>0</v>
      </c>
      <c r="V196" s="4"/>
      <c r="W196" s="4"/>
      <c r="X196" s="4"/>
      <c r="Y196" s="4"/>
    </row>
    <row r="197" spans="2:25" ht="16.5" hidden="1" customHeight="1">
      <c r="B197" s="58">
        <v>46097</v>
      </c>
      <c r="C197" s="59" t="s">
        <v>15</v>
      </c>
      <c r="D197" s="51"/>
      <c r="E197" s="62" t="s">
        <v>101</v>
      </c>
      <c r="F197" s="5">
        <v>0.41666666666666669</v>
      </c>
      <c r="G197" s="65"/>
      <c r="H197" s="66"/>
      <c r="I197" s="34"/>
      <c r="J197" s="6" t="str">
        <f t="shared" si="46"/>
        <v/>
      </c>
      <c r="K197" s="38"/>
      <c r="L197" s="38"/>
      <c r="M197" s="38"/>
      <c r="N197" s="38"/>
      <c r="O197" s="38"/>
      <c r="P197" s="38"/>
      <c r="Q197" s="38"/>
      <c r="R197" s="38"/>
      <c r="S197" s="7">
        <f>SUM(K197:R197)</f>
        <v>0</v>
      </c>
      <c r="T197" s="7">
        <v>100000</v>
      </c>
      <c r="U197" s="7">
        <f>T197*S197</f>
        <v>0</v>
      </c>
      <c r="V197" s="4"/>
      <c r="W197" s="4"/>
      <c r="X197" s="4"/>
      <c r="Y197" s="4"/>
    </row>
    <row r="198" spans="2:25" ht="18.75" hidden="1">
      <c r="B198" s="58"/>
      <c r="C198" s="60"/>
      <c r="D198" s="52"/>
      <c r="E198" s="63"/>
      <c r="F198" s="8">
        <v>0.5</v>
      </c>
      <c r="G198" s="67"/>
      <c r="H198" s="68"/>
      <c r="I198" s="35"/>
      <c r="J198" s="9" t="str">
        <f t="shared" si="46"/>
        <v/>
      </c>
      <c r="K198" s="39"/>
      <c r="L198" s="39"/>
      <c r="M198" s="39"/>
      <c r="N198" s="39"/>
      <c r="O198" s="39"/>
      <c r="P198" s="39"/>
      <c r="Q198" s="39"/>
      <c r="R198" s="39"/>
      <c r="S198" s="10">
        <f t="shared" ref="S198:S208" si="50">SUM(K198:R198)</f>
        <v>0</v>
      </c>
      <c r="T198" s="10">
        <v>100000</v>
      </c>
      <c r="U198" s="10">
        <f t="shared" ref="U198:U199" si="51">T198*S198</f>
        <v>0</v>
      </c>
      <c r="V198" s="4"/>
      <c r="W198" s="4"/>
      <c r="X198" s="4"/>
      <c r="Y198" s="4"/>
    </row>
    <row r="199" spans="2:25" ht="18.75" hidden="1">
      <c r="B199" s="58"/>
      <c r="C199" s="60"/>
      <c r="D199" s="52"/>
      <c r="E199" s="63"/>
      <c r="F199" s="8">
        <v>0.58333333333333337</v>
      </c>
      <c r="G199" s="67"/>
      <c r="H199" s="68"/>
      <c r="I199" s="35"/>
      <c r="J199" s="9" t="str">
        <f t="shared" si="46"/>
        <v/>
      </c>
      <c r="K199" s="39"/>
      <c r="L199" s="39"/>
      <c r="M199" s="39"/>
      <c r="N199" s="39"/>
      <c r="O199" s="39"/>
      <c r="P199" s="39"/>
      <c r="Q199" s="39"/>
      <c r="R199" s="39"/>
      <c r="S199" s="10">
        <f t="shared" si="50"/>
        <v>0</v>
      </c>
      <c r="T199" s="10">
        <v>100000</v>
      </c>
      <c r="U199" s="10">
        <f t="shared" si="51"/>
        <v>0</v>
      </c>
      <c r="V199" s="4"/>
      <c r="W199" s="4"/>
      <c r="X199" s="4"/>
      <c r="Y199" s="4"/>
    </row>
    <row r="200" spans="2:25" ht="18.75" hidden="1">
      <c r="B200" s="58"/>
      <c r="C200" s="60"/>
      <c r="D200" s="52"/>
      <c r="E200" s="63"/>
      <c r="F200" s="8">
        <v>0.66666666666666663</v>
      </c>
      <c r="G200" s="67"/>
      <c r="H200" s="68"/>
      <c r="I200" s="35"/>
      <c r="J200" s="9" t="str">
        <f t="shared" si="46"/>
        <v/>
      </c>
      <c r="K200" s="39"/>
      <c r="L200" s="39"/>
      <c r="M200" s="39"/>
      <c r="N200" s="39"/>
      <c r="O200" s="39"/>
      <c r="P200" s="39"/>
      <c r="Q200" s="39"/>
      <c r="R200" s="39"/>
      <c r="S200" s="10">
        <f t="shared" si="50"/>
        <v>0</v>
      </c>
      <c r="T200" s="10">
        <v>100000</v>
      </c>
      <c r="U200" s="10">
        <f>T200*S200</f>
        <v>0</v>
      </c>
      <c r="V200" s="4"/>
      <c r="W200" s="4"/>
      <c r="X200" s="4"/>
      <c r="Y200" s="4"/>
    </row>
    <row r="201" spans="2:25" ht="18.75" hidden="1">
      <c r="B201" s="58"/>
      <c r="C201" s="60"/>
      <c r="D201" s="52"/>
      <c r="E201" s="63"/>
      <c r="F201" s="8">
        <v>0.75</v>
      </c>
      <c r="G201" s="67"/>
      <c r="H201" s="68"/>
      <c r="I201" s="35"/>
      <c r="J201" s="9" t="str">
        <f t="shared" si="46"/>
        <v/>
      </c>
      <c r="K201" s="39"/>
      <c r="L201" s="39"/>
      <c r="M201" s="39"/>
      <c r="N201" s="39"/>
      <c r="O201" s="39"/>
      <c r="P201" s="39"/>
      <c r="Q201" s="39"/>
      <c r="R201" s="39"/>
      <c r="S201" s="10">
        <f t="shared" si="50"/>
        <v>0</v>
      </c>
      <c r="T201" s="10">
        <v>100000</v>
      </c>
      <c r="U201" s="10">
        <f t="shared" ref="U201:U208" si="52">T201*S201</f>
        <v>0</v>
      </c>
      <c r="V201" s="4"/>
      <c r="W201" s="4"/>
      <c r="X201" s="11"/>
      <c r="Y201" s="4"/>
    </row>
    <row r="202" spans="2:25" ht="18.75" hidden="1">
      <c r="B202" s="58"/>
      <c r="C202" s="60"/>
      <c r="D202" s="53"/>
      <c r="E202" s="64"/>
      <c r="F202" s="12">
        <v>0.83333333333333337</v>
      </c>
      <c r="G202" s="67"/>
      <c r="H202" s="68"/>
      <c r="I202" s="36"/>
      <c r="J202" s="9" t="str">
        <f t="shared" si="46"/>
        <v/>
      </c>
      <c r="K202" s="41"/>
      <c r="L202" s="41"/>
      <c r="M202" s="41"/>
      <c r="N202" s="41"/>
      <c r="O202" s="41"/>
      <c r="P202" s="41"/>
      <c r="Q202" s="41"/>
      <c r="R202" s="41"/>
      <c r="S202" s="13">
        <f t="shared" si="50"/>
        <v>0</v>
      </c>
      <c r="T202" s="13">
        <v>100000</v>
      </c>
      <c r="U202" s="13">
        <f t="shared" si="52"/>
        <v>0</v>
      </c>
      <c r="V202" s="4"/>
      <c r="Y202" s="4"/>
    </row>
    <row r="203" spans="2:25" ht="18.75" hidden="1">
      <c r="B203" s="58"/>
      <c r="C203" s="60"/>
      <c r="D203" s="51"/>
      <c r="E203" s="62" t="s">
        <v>102</v>
      </c>
      <c r="F203" s="5">
        <v>0.91666666666666663</v>
      </c>
      <c r="G203" s="65"/>
      <c r="H203" s="66"/>
      <c r="I203" s="34"/>
      <c r="J203" s="6" t="str">
        <f t="shared" si="46"/>
        <v/>
      </c>
      <c r="K203" s="38"/>
      <c r="L203" s="38"/>
      <c r="M203" s="38"/>
      <c r="N203" s="38"/>
      <c r="O203" s="38"/>
      <c r="P203" s="38"/>
      <c r="Q203" s="38"/>
      <c r="R203" s="38"/>
      <c r="S203" s="7">
        <f t="shared" si="50"/>
        <v>0</v>
      </c>
      <c r="T203" s="7">
        <v>100000</v>
      </c>
      <c r="U203" s="7">
        <f t="shared" si="52"/>
        <v>0</v>
      </c>
      <c r="V203" s="4"/>
      <c r="Y203" s="4"/>
    </row>
    <row r="204" spans="2:25" ht="18.75" hidden="1">
      <c r="B204" s="58"/>
      <c r="C204" s="60"/>
      <c r="D204" s="52"/>
      <c r="E204" s="63"/>
      <c r="F204" s="8">
        <v>1</v>
      </c>
      <c r="G204" s="67"/>
      <c r="H204" s="68"/>
      <c r="I204" s="35"/>
      <c r="J204" s="9" t="str">
        <f t="shared" si="46"/>
        <v/>
      </c>
      <c r="K204" s="39"/>
      <c r="L204" s="39"/>
      <c r="M204" s="39"/>
      <c r="N204" s="39"/>
      <c r="O204" s="39"/>
      <c r="P204" s="39"/>
      <c r="Q204" s="39"/>
      <c r="R204" s="39"/>
      <c r="S204" s="10">
        <f t="shared" si="50"/>
        <v>0</v>
      </c>
      <c r="T204" s="10">
        <v>100000</v>
      </c>
      <c r="U204" s="10">
        <f t="shared" si="52"/>
        <v>0</v>
      </c>
      <c r="V204" s="4"/>
      <c r="Y204" s="4"/>
    </row>
    <row r="205" spans="2:25" ht="18.75" hidden="1">
      <c r="B205" s="58"/>
      <c r="C205" s="60"/>
      <c r="D205" s="52"/>
      <c r="E205" s="63"/>
      <c r="F205" s="8">
        <v>8.3333333333333329E-2</v>
      </c>
      <c r="G205" s="67"/>
      <c r="H205" s="68"/>
      <c r="I205" s="35"/>
      <c r="J205" s="9" t="str">
        <f t="shared" si="46"/>
        <v/>
      </c>
      <c r="K205" s="39"/>
      <c r="L205" s="39"/>
      <c r="M205" s="39"/>
      <c r="N205" s="39"/>
      <c r="O205" s="39"/>
      <c r="P205" s="39"/>
      <c r="Q205" s="39"/>
      <c r="R205" s="39"/>
      <c r="S205" s="10">
        <f t="shared" si="50"/>
        <v>0</v>
      </c>
      <c r="T205" s="10">
        <v>100000</v>
      </c>
      <c r="U205" s="10">
        <f t="shared" si="52"/>
        <v>0</v>
      </c>
      <c r="V205" s="4"/>
      <c r="Y205" s="4"/>
    </row>
    <row r="206" spans="2:25" ht="18.75" hidden="1">
      <c r="B206" s="58"/>
      <c r="C206" s="60"/>
      <c r="D206" s="52"/>
      <c r="E206" s="63"/>
      <c r="F206" s="8">
        <v>0.16666666666666666</v>
      </c>
      <c r="G206" s="67"/>
      <c r="H206" s="68"/>
      <c r="I206" s="35"/>
      <c r="J206" s="9" t="str">
        <f t="shared" si="46"/>
        <v/>
      </c>
      <c r="K206" s="39"/>
      <c r="L206" s="39"/>
      <c r="M206" s="39"/>
      <c r="N206" s="39"/>
      <c r="O206" s="39"/>
      <c r="P206" s="39"/>
      <c r="Q206" s="39"/>
      <c r="R206" s="39"/>
      <c r="S206" s="10">
        <f t="shared" si="50"/>
        <v>0</v>
      </c>
      <c r="T206" s="10">
        <v>100000</v>
      </c>
      <c r="U206" s="10">
        <f t="shared" si="52"/>
        <v>0</v>
      </c>
      <c r="V206" s="4"/>
      <c r="W206" s="4"/>
      <c r="X206" s="4"/>
      <c r="Y206" s="4"/>
    </row>
    <row r="207" spans="2:25" ht="18.75" hidden="1">
      <c r="B207" s="58"/>
      <c r="C207" s="60"/>
      <c r="D207" s="52"/>
      <c r="E207" s="63"/>
      <c r="F207" s="8">
        <v>0.25</v>
      </c>
      <c r="G207" s="67"/>
      <c r="H207" s="68"/>
      <c r="I207" s="35"/>
      <c r="J207" s="9" t="str">
        <f t="shared" si="46"/>
        <v/>
      </c>
      <c r="K207" s="39"/>
      <c r="L207" s="39"/>
      <c r="M207" s="39"/>
      <c r="N207" s="39"/>
      <c r="O207" s="39"/>
      <c r="P207" s="39"/>
      <c r="Q207" s="39"/>
      <c r="R207" s="39"/>
      <c r="S207" s="10">
        <f t="shared" si="50"/>
        <v>0</v>
      </c>
      <c r="T207" s="10">
        <v>100000</v>
      </c>
      <c r="U207" s="10">
        <f t="shared" si="52"/>
        <v>0</v>
      </c>
      <c r="V207" s="4"/>
      <c r="Y207" s="4"/>
    </row>
    <row r="208" spans="2:25" ht="18.75" hidden="1">
      <c r="B208" s="58"/>
      <c r="C208" s="61"/>
      <c r="D208" s="53"/>
      <c r="E208" s="69"/>
      <c r="F208" s="14">
        <v>0.33333333333333331</v>
      </c>
      <c r="G208" s="67"/>
      <c r="H208" s="68"/>
      <c r="I208" s="37"/>
      <c r="J208" s="15" t="str">
        <f t="shared" si="46"/>
        <v/>
      </c>
      <c r="K208" s="40"/>
      <c r="L208" s="40"/>
      <c r="M208" s="40"/>
      <c r="N208" s="40"/>
      <c r="O208" s="40"/>
      <c r="P208" s="40"/>
      <c r="Q208" s="40"/>
      <c r="R208" s="40"/>
      <c r="S208" s="16">
        <f t="shared" si="50"/>
        <v>0</v>
      </c>
      <c r="T208" s="16">
        <v>100000</v>
      </c>
      <c r="U208" s="16">
        <f t="shared" si="52"/>
        <v>0</v>
      </c>
      <c r="V208" s="4"/>
      <c r="W208" s="4"/>
      <c r="X208" s="4"/>
      <c r="Y208" s="4"/>
    </row>
    <row r="209" spans="2:25" ht="16.5" hidden="1" customHeight="1">
      <c r="B209" s="58">
        <v>46098</v>
      </c>
      <c r="C209" s="59" t="s">
        <v>15</v>
      </c>
      <c r="D209" s="51"/>
      <c r="E209" s="62" t="s">
        <v>101</v>
      </c>
      <c r="F209" s="5">
        <v>0.41666666666666669</v>
      </c>
      <c r="G209" s="65"/>
      <c r="H209" s="66"/>
      <c r="I209" s="34"/>
      <c r="J209" s="6" t="str">
        <f t="shared" si="46"/>
        <v/>
      </c>
      <c r="K209" s="38"/>
      <c r="L209" s="38"/>
      <c r="M209" s="38"/>
      <c r="N209" s="38"/>
      <c r="O209" s="38"/>
      <c r="P209" s="38"/>
      <c r="Q209" s="38"/>
      <c r="R209" s="38"/>
      <c r="S209" s="7">
        <f>SUM(K209:R209)</f>
        <v>0</v>
      </c>
      <c r="T209" s="7">
        <v>100000</v>
      </c>
      <c r="U209" s="7">
        <f>T209*S209</f>
        <v>0</v>
      </c>
      <c r="V209" s="4"/>
      <c r="W209" s="4"/>
      <c r="X209" s="4"/>
      <c r="Y209" s="4"/>
    </row>
    <row r="210" spans="2:25" ht="18.75" hidden="1">
      <c r="B210" s="58"/>
      <c r="C210" s="60"/>
      <c r="D210" s="52"/>
      <c r="E210" s="63"/>
      <c r="F210" s="8">
        <v>0.5</v>
      </c>
      <c r="G210" s="67"/>
      <c r="H210" s="68"/>
      <c r="I210" s="35"/>
      <c r="J210" s="9" t="str">
        <f t="shared" si="46"/>
        <v/>
      </c>
      <c r="K210" s="39"/>
      <c r="L210" s="39"/>
      <c r="M210" s="39"/>
      <c r="N210" s="39"/>
      <c r="O210" s="39"/>
      <c r="P210" s="39"/>
      <c r="Q210" s="39"/>
      <c r="R210" s="39"/>
      <c r="S210" s="10">
        <f t="shared" ref="S210:S220" si="53">SUM(K210:R210)</f>
        <v>0</v>
      </c>
      <c r="T210" s="10">
        <v>100000</v>
      </c>
      <c r="U210" s="10">
        <f t="shared" ref="U210:U211" si="54">T210*S210</f>
        <v>0</v>
      </c>
      <c r="V210" s="4"/>
      <c r="W210" s="4"/>
      <c r="X210" s="4"/>
      <c r="Y210" s="4"/>
    </row>
    <row r="211" spans="2:25" ht="18.75" hidden="1">
      <c r="B211" s="58"/>
      <c r="C211" s="60"/>
      <c r="D211" s="52"/>
      <c r="E211" s="63"/>
      <c r="F211" s="8">
        <v>0.58333333333333337</v>
      </c>
      <c r="G211" s="67"/>
      <c r="H211" s="68"/>
      <c r="I211" s="35"/>
      <c r="J211" s="9" t="str">
        <f t="shared" si="46"/>
        <v/>
      </c>
      <c r="K211" s="39"/>
      <c r="L211" s="39"/>
      <c r="M211" s="39"/>
      <c r="N211" s="39"/>
      <c r="O211" s="39"/>
      <c r="P211" s="39"/>
      <c r="Q211" s="39"/>
      <c r="R211" s="39"/>
      <c r="S211" s="10">
        <f t="shared" si="53"/>
        <v>0</v>
      </c>
      <c r="T211" s="10">
        <v>100000</v>
      </c>
      <c r="U211" s="10">
        <f t="shared" si="54"/>
        <v>0</v>
      </c>
      <c r="V211" s="4"/>
      <c r="W211" s="4"/>
      <c r="X211" s="4"/>
      <c r="Y211" s="4"/>
    </row>
    <row r="212" spans="2:25" ht="18.75" hidden="1">
      <c r="B212" s="58"/>
      <c r="C212" s="60"/>
      <c r="D212" s="52"/>
      <c r="E212" s="63"/>
      <c r="F212" s="8">
        <v>0.66666666666666663</v>
      </c>
      <c r="G212" s="67"/>
      <c r="H212" s="68"/>
      <c r="I212" s="35"/>
      <c r="J212" s="9" t="str">
        <f t="shared" si="46"/>
        <v/>
      </c>
      <c r="K212" s="39"/>
      <c r="L212" s="39"/>
      <c r="M212" s="39"/>
      <c r="N212" s="39"/>
      <c r="O212" s="39"/>
      <c r="P212" s="39"/>
      <c r="Q212" s="39"/>
      <c r="R212" s="39"/>
      <c r="S212" s="10">
        <f t="shared" si="53"/>
        <v>0</v>
      </c>
      <c r="T212" s="10">
        <v>100000</v>
      </c>
      <c r="U212" s="10">
        <f>T212*S212</f>
        <v>0</v>
      </c>
      <c r="V212" s="4"/>
      <c r="W212" s="4"/>
      <c r="X212" s="4"/>
      <c r="Y212" s="4"/>
    </row>
    <row r="213" spans="2:25" ht="18.75" hidden="1">
      <c r="B213" s="58"/>
      <c r="C213" s="60"/>
      <c r="D213" s="52"/>
      <c r="E213" s="63"/>
      <c r="F213" s="8">
        <v>0.75</v>
      </c>
      <c r="G213" s="67"/>
      <c r="H213" s="68"/>
      <c r="I213" s="35"/>
      <c r="J213" s="9" t="str">
        <f t="shared" si="46"/>
        <v/>
      </c>
      <c r="K213" s="39"/>
      <c r="L213" s="39"/>
      <c r="M213" s="39"/>
      <c r="N213" s="39"/>
      <c r="O213" s="39"/>
      <c r="P213" s="39"/>
      <c r="Q213" s="39"/>
      <c r="R213" s="39"/>
      <c r="S213" s="10">
        <f t="shared" si="53"/>
        <v>0</v>
      </c>
      <c r="T213" s="10">
        <v>100000</v>
      </c>
      <c r="U213" s="10">
        <f t="shared" ref="U213:U220" si="55">T213*S213</f>
        <v>0</v>
      </c>
      <c r="V213" s="4"/>
      <c r="W213" s="4"/>
      <c r="X213" s="11"/>
      <c r="Y213" s="4"/>
    </row>
    <row r="214" spans="2:25" ht="18.75" hidden="1">
      <c r="B214" s="58"/>
      <c r="C214" s="60"/>
      <c r="D214" s="53"/>
      <c r="E214" s="64"/>
      <c r="F214" s="12">
        <v>0.83333333333333337</v>
      </c>
      <c r="G214" s="67"/>
      <c r="H214" s="68"/>
      <c r="I214" s="36"/>
      <c r="J214" s="9" t="str">
        <f t="shared" si="46"/>
        <v/>
      </c>
      <c r="K214" s="41"/>
      <c r="L214" s="41"/>
      <c r="M214" s="41"/>
      <c r="N214" s="41"/>
      <c r="O214" s="41"/>
      <c r="P214" s="41"/>
      <c r="Q214" s="41"/>
      <c r="R214" s="41"/>
      <c r="S214" s="13">
        <f t="shared" si="53"/>
        <v>0</v>
      </c>
      <c r="T214" s="13">
        <v>100000</v>
      </c>
      <c r="U214" s="13">
        <f t="shared" si="55"/>
        <v>0</v>
      </c>
      <c r="V214" s="4"/>
      <c r="Y214" s="4"/>
    </row>
    <row r="215" spans="2:25" ht="18.75" hidden="1">
      <c r="B215" s="58"/>
      <c r="C215" s="60"/>
      <c r="D215" s="51"/>
      <c r="E215" s="62" t="s">
        <v>102</v>
      </c>
      <c r="F215" s="5">
        <v>0.91666666666666663</v>
      </c>
      <c r="G215" s="65"/>
      <c r="H215" s="66"/>
      <c r="I215" s="34"/>
      <c r="J215" s="6" t="str">
        <f t="shared" si="46"/>
        <v/>
      </c>
      <c r="K215" s="38"/>
      <c r="L215" s="38"/>
      <c r="M215" s="38"/>
      <c r="N215" s="38"/>
      <c r="O215" s="38"/>
      <c r="P215" s="38"/>
      <c r="Q215" s="38"/>
      <c r="R215" s="38"/>
      <c r="S215" s="7">
        <f t="shared" si="53"/>
        <v>0</v>
      </c>
      <c r="T215" s="7">
        <v>100000</v>
      </c>
      <c r="U215" s="7">
        <f t="shared" si="55"/>
        <v>0</v>
      </c>
      <c r="V215" s="4"/>
      <c r="Y215" s="4"/>
    </row>
    <row r="216" spans="2:25" ht="18.75" hidden="1">
      <c r="B216" s="58"/>
      <c r="C216" s="60"/>
      <c r="D216" s="52"/>
      <c r="E216" s="63"/>
      <c r="F216" s="8">
        <v>1</v>
      </c>
      <c r="G216" s="67"/>
      <c r="H216" s="68"/>
      <c r="I216" s="35"/>
      <c r="J216" s="9" t="str">
        <f t="shared" si="46"/>
        <v/>
      </c>
      <c r="K216" s="39"/>
      <c r="L216" s="39"/>
      <c r="M216" s="39"/>
      <c r="N216" s="39"/>
      <c r="O216" s="39"/>
      <c r="P216" s="39"/>
      <c r="Q216" s="39"/>
      <c r="R216" s="39"/>
      <c r="S216" s="10">
        <f t="shared" si="53"/>
        <v>0</v>
      </c>
      <c r="T216" s="10">
        <v>100000</v>
      </c>
      <c r="U216" s="10">
        <f t="shared" si="55"/>
        <v>0</v>
      </c>
      <c r="V216" s="4"/>
      <c r="Y216" s="4"/>
    </row>
    <row r="217" spans="2:25" ht="18.75" hidden="1">
      <c r="B217" s="58"/>
      <c r="C217" s="60"/>
      <c r="D217" s="52"/>
      <c r="E217" s="63"/>
      <c r="F217" s="8">
        <v>8.3333333333333329E-2</v>
      </c>
      <c r="G217" s="67"/>
      <c r="H217" s="68"/>
      <c r="I217" s="35"/>
      <c r="J217" s="9" t="str">
        <f t="shared" si="46"/>
        <v/>
      </c>
      <c r="K217" s="39"/>
      <c r="L217" s="39"/>
      <c r="M217" s="39"/>
      <c r="N217" s="39"/>
      <c r="O217" s="39"/>
      <c r="P217" s="39"/>
      <c r="Q217" s="39"/>
      <c r="R217" s="39"/>
      <c r="S217" s="10">
        <f t="shared" si="53"/>
        <v>0</v>
      </c>
      <c r="T217" s="10">
        <v>100000</v>
      </c>
      <c r="U217" s="10">
        <f t="shared" si="55"/>
        <v>0</v>
      </c>
      <c r="V217" s="4"/>
      <c r="Y217" s="4"/>
    </row>
    <row r="218" spans="2:25" ht="18.75" hidden="1">
      <c r="B218" s="58"/>
      <c r="C218" s="60"/>
      <c r="D218" s="52"/>
      <c r="E218" s="63"/>
      <c r="F218" s="8">
        <v>0.16666666666666666</v>
      </c>
      <c r="G218" s="67"/>
      <c r="H218" s="68"/>
      <c r="I218" s="35"/>
      <c r="J218" s="9" t="str">
        <f t="shared" si="46"/>
        <v/>
      </c>
      <c r="K218" s="39"/>
      <c r="L218" s="39"/>
      <c r="M218" s="39"/>
      <c r="N218" s="39"/>
      <c r="O218" s="39"/>
      <c r="P218" s="39"/>
      <c r="Q218" s="39"/>
      <c r="R218" s="39"/>
      <c r="S218" s="10">
        <f t="shared" si="53"/>
        <v>0</v>
      </c>
      <c r="T218" s="10">
        <v>100000</v>
      </c>
      <c r="U218" s="10">
        <f t="shared" si="55"/>
        <v>0</v>
      </c>
      <c r="V218" s="4"/>
      <c r="W218" s="4"/>
      <c r="X218" s="4"/>
      <c r="Y218" s="4"/>
    </row>
    <row r="219" spans="2:25" ht="18.75" hidden="1">
      <c r="B219" s="58"/>
      <c r="C219" s="60"/>
      <c r="D219" s="52"/>
      <c r="E219" s="63"/>
      <c r="F219" s="8">
        <v>0.25</v>
      </c>
      <c r="G219" s="67"/>
      <c r="H219" s="68"/>
      <c r="I219" s="35"/>
      <c r="J219" s="9" t="str">
        <f t="shared" si="46"/>
        <v/>
      </c>
      <c r="K219" s="39"/>
      <c r="L219" s="39"/>
      <c r="M219" s="39"/>
      <c r="N219" s="39"/>
      <c r="O219" s="39"/>
      <c r="P219" s="39"/>
      <c r="Q219" s="39"/>
      <c r="R219" s="39"/>
      <c r="S219" s="10">
        <f t="shared" si="53"/>
        <v>0</v>
      </c>
      <c r="T219" s="10">
        <v>100000</v>
      </c>
      <c r="U219" s="10">
        <f t="shared" si="55"/>
        <v>0</v>
      </c>
      <c r="V219" s="4"/>
      <c r="Y219" s="4"/>
    </row>
    <row r="220" spans="2:25" ht="18.75" hidden="1">
      <c r="B220" s="58"/>
      <c r="C220" s="61"/>
      <c r="D220" s="53"/>
      <c r="E220" s="69"/>
      <c r="F220" s="14">
        <v>0.33333333333333331</v>
      </c>
      <c r="G220" s="67"/>
      <c r="H220" s="68"/>
      <c r="I220" s="37"/>
      <c r="J220" s="15" t="str">
        <f t="shared" si="46"/>
        <v/>
      </c>
      <c r="K220" s="40"/>
      <c r="L220" s="40"/>
      <c r="M220" s="40"/>
      <c r="N220" s="40"/>
      <c r="O220" s="40"/>
      <c r="P220" s="40"/>
      <c r="Q220" s="40"/>
      <c r="R220" s="40"/>
      <c r="S220" s="16">
        <f t="shared" si="53"/>
        <v>0</v>
      </c>
      <c r="T220" s="16">
        <v>100000</v>
      </c>
      <c r="U220" s="16">
        <f t="shared" si="55"/>
        <v>0</v>
      </c>
      <c r="V220" s="4"/>
      <c r="W220" s="4"/>
      <c r="X220" s="4"/>
      <c r="Y220" s="4"/>
    </row>
    <row r="221" spans="2:25" ht="16.5" hidden="1" customHeight="1">
      <c r="B221" s="58">
        <v>46099</v>
      </c>
      <c r="C221" s="59" t="s">
        <v>15</v>
      </c>
      <c r="D221" s="51"/>
      <c r="E221" s="62" t="s">
        <v>101</v>
      </c>
      <c r="F221" s="5">
        <v>0.41666666666666669</v>
      </c>
      <c r="G221" s="65"/>
      <c r="H221" s="66"/>
      <c r="I221" s="34"/>
      <c r="J221" s="6" t="str">
        <f t="shared" ref="J221:J284" si="56">IFERROR(S221/I221,"")</f>
        <v/>
      </c>
      <c r="K221" s="38"/>
      <c r="L221" s="38"/>
      <c r="M221" s="38"/>
      <c r="N221" s="38"/>
      <c r="O221" s="38"/>
      <c r="P221" s="38"/>
      <c r="Q221" s="38"/>
      <c r="R221" s="38"/>
      <c r="S221" s="7">
        <f>SUM(K221:R221)</f>
        <v>0</v>
      </c>
      <c r="T221" s="7">
        <v>100000</v>
      </c>
      <c r="U221" s="7">
        <f>T221*S221</f>
        <v>0</v>
      </c>
      <c r="V221" s="4"/>
      <c r="W221" s="4"/>
      <c r="X221" s="4"/>
      <c r="Y221" s="4"/>
    </row>
    <row r="222" spans="2:25" ht="18.75" hidden="1">
      <c r="B222" s="58"/>
      <c r="C222" s="60"/>
      <c r="D222" s="52"/>
      <c r="E222" s="63"/>
      <c r="F222" s="8">
        <v>0.5</v>
      </c>
      <c r="G222" s="67"/>
      <c r="H222" s="68"/>
      <c r="I222" s="35"/>
      <c r="J222" s="9" t="str">
        <f t="shared" si="56"/>
        <v/>
      </c>
      <c r="K222" s="39"/>
      <c r="L222" s="39"/>
      <c r="M222" s="39"/>
      <c r="N222" s="39"/>
      <c r="O222" s="39"/>
      <c r="P222" s="39"/>
      <c r="Q222" s="39"/>
      <c r="R222" s="39"/>
      <c r="S222" s="10">
        <f t="shared" ref="S222:S232" si="57">SUM(K222:R222)</f>
        <v>0</v>
      </c>
      <c r="T222" s="10">
        <v>100000</v>
      </c>
      <c r="U222" s="10">
        <f t="shared" ref="U222:U223" si="58">T222*S222</f>
        <v>0</v>
      </c>
      <c r="V222" s="4"/>
      <c r="W222" s="4"/>
      <c r="X222" s="4"/>
      <c r="Y222" s="4"/>
    </row>
    <row r="223" spans="2:25" ht="18.75" hidden="1">
      <c r="B223" s="58"/>
      <c r="C223" s="60"/>
      <c r="D223" s="52"/>
      <c r="E223" s="63"/>
      <c r="F223" s="8">
        <v>0.58333333333333337</v>
      </c>
      <c r="G223" s="67"/>
      <c r="H223" s="68"/>
      <c r="I223" s="35"/>
      <c r="J223" s="9" t="str">
        <f t="shared" si="56"/>
        <v/>
      </c>
      <c r="K223" s="39"/>
      <c r="L223" s="39"/>
      <c r="M223" s="39"/>
      <c r="N223" s="39"/>
      <c r="O223" s="39"/>
      <c r="P223" s="39"/>
      <c r="Q223" s="39"/>
      <c r="R223" s="39"/>
      <c r="S223" s="10">
        <f t="shared" si="57"/>
        <v>0</v>
      </c>
      <c r="T223" s="10">
        <v>100000</v>
      </c>
      <c r="U223" s="10">
        <f t="shared" si="58"/>
        <v>0</v>
      </c>
      <c r="V223" s="4"/>
      <c r="W223" s="4"/>
      <c r="X223" s="4"/>
      <c r="Y223" s="4"/>
    </row>
    <row r="224" spans="2:25" ht="18.75" hidden="1">
      <c r="B224" s="58"/>
      <c r="C224" s="60"/>
      <c r="D224" s="52"/>
      <c r="E224" s="63"/>
      <c r="F224" s="8">
        <v>0.66666666666666663</v>
      </c>
      <c r="G224" s="67"/>
      <c r="H224" s="68"/>
      <c r="I224" s="35"/>
      <c r="J224" s="9" t="str">
        <f t="shared" si="56"/>
        <v/>
      </c>
      <c r="K224" s="39"/>
      <c r="L224" s="39"/>
      <c r="M224" s="39"/>
      <c r="N224" s="39"/>
      <c r="O224" s="39"/>
      <c r="P224" s="39"/>
      <c r="Q224" s="39"/>
      <c r="R224" s="39"/>
      <c r="S224" s="10">
        <f t="shared" si="57"/>
        <v>0</v>
      </c>
      <c r="T224" s="10">
        <v>100000</v>
      </c>
      <c r="U224" s="10">
        <f>T224*S224</f>
        <v>0</v>
      </c>
      <c r="V224" s="4"/>
      <c r="W224" s="4"/>
      <c r="X224" s="4"/>
      <c r="Y224" s="4"/>
    </row>
    <row r="225" spans="2:25" ht="18.75" hidden="1">
      <c r="B225" s="58"/>
      <c r="C225" s="60"/>
      <c r="D225" s="52"/>
      <c r="E225" s="63"/>
      <c r="F225" s="8">
        <v>0.75</v>
      </c>
      <c r="G225" s="67"/>
      <c r="H225" s="68"/>
      <c r="I225" s="35"/>
      <c r="J225" s="9" t="str">
        <f t="shared" si="56"/>
        <v/>
      </c>
      <c r="K225" s="39"/>
      <c r="L225" s="39"/>
      <c r="M225" s="39"/>
      <c r="N225" s="39"/>
      <c r="O225" s="39"/>
      <c r="P225" s="39"/>
      <c r="Q225" s="39"/>
      <c r="R225" s="39"/>
      <c r="S225" s="10">
        <f t="shared" si="57"/>
        <v>0</v>
      </c>
      <c r="T225" s="10">
        <v>100000</v>
      </c>
      <c r="U225" s="10">
        <f t="shared" ref="U225:U232" si="59">T225*S225</f>
        <v>0</v>
      </c>
      <c r="V225" s="4"/>
      <c r="W225" s="4"/>
      <c r="X225" s="11"/>
      <c r="Y225" s="4"/>
    </row>
    <row r="226" spans="2:25" ht="18.75" hidden="1">
      <c r="B226" s="58"/>
      <c r="C226" s="60"/>
      <c r="D226" s="53"/>
      <c r="E226" s="64"/>
      <c r="F226" s="12">
        <v>0.83333333333333337</v>
      </c>
      <c r="G226" s="67"/>
      <c r="H226" s="68"/>
      <c r="I226" s="36"/>
      <c r="J226" s="9" t="str">
        <f t="shared" si="56"/>
        <v/>
      </c>
      <c r="K226" s="41"/>
      <c r="L226" s="41"/>
      <c r="M226" s="41"/>
      <c r="N226" s="41"/>
      <c r="O226" s="41"/>
      <c r="P226" s="41"/>
      <c r="Q226" s="41"/>
      <c r="R226" s="41"/>
      <c r="S226" s="13">
        <f t="shared" si="57"/>
        <v>0</v>
      </c>
      <c r="T226" s="13">
        <v>100000</v>
      </c>
      <c r="U226" s="13">
        <f t="shared" si="59"/>
        <v>0</v>
      </c>
      <c r="V226" s="4"/>
      <c r="Y226" s="4"/>
    </row>
    <row r="227" spans="2:25" ht="18.75" hidden="1">
      <c r="B227" s="58"/>
      <c r="C227" s="60"/>
      <c r="D227" s="51"/>
      <c r="E227" s="62" t="s">
        <v>102</v>
      </c>
      <c r="F227" s="5">
        <v>0.91666666666666663</v>
      </c>
      <c r="G227" s="65"/>
      <c r="H227" s="66"/>
      <c r="I227" s="34"/>
      <c r="J227" s="6" t="str">
        <f t="shared" si="56"/>
        <v/>
      </c>
      <c r="K227" s="38"/>
      <c r="L227" s="38"/>
      <c r="M227" s="38"/>
      <c r="N227" s="38"/>
      <c r="O227" s="38"/>
      <c r="P227" s="38"/>
      <c r="Q227" s="38"/>
      <c r="R227" s="38"/>
      <c r="S227" s="7">
        <f t="shared" si="57"/>
        <v>0</v>
      </c>
      <c r="T227" s="7">
        <v>100000</v>
      </c>
      <c r="U227" s="7">
        <f t="shared" si="59"/>
        <v>0</v>
      </c>
      <c r="V227" s="4"/>
      <c r="Y227" s="4"/>
    </row>
    <row r="228" spans="2:25" ht="18.75" hidden="1">
      <c r="B228" s="58"/>
      <c r="C228" s="60"/>
      <c r="D228" s="52"/>
      <c r="E228" s="63"/>
      <c r="F228" s="8">
        <v>1</v>
      </c>
      <c r="G228" s="67"/>
      <c r="H228" s="68"/>
      <c r="I228" s="35"/>
      <c r="J228" s="9" t="str">
        <f t="shared" si="56"/>
        <v/>
      </c>
      <c r="K228" s="39"/>
      <c r="L228" s="39"/>
      <c r="M228" s="39"/>
      <c r="N228" s="39"/>
      <c r="O228" s="39"/>
      <c r="P228" s="39"/>
      <c r="Q228" s="39"/>
      <c r="R228" s="39"/>
      <c r="S228" s="10">
        <f t="shared" si="57"/>
        <v>0</v>
      </c>
      <c r="T228" s="10">
        <v>100000</v>
      </c>
      <c r="U228" s="10">
        <f t="shared" si="59"/>
        <v>0</v>
      </c>
      <c r="V228" s="4"/>
      <c r="Y228" s="4"/>
    </row>
    <row r="229" spans="2:25" ht="18.75" hidden="1">
      <c r="B229" s="58"/>
      <c r="C229" s="60"/>
      <c r="D229" s="52"/>
      <c r="E229" s="63"/>
      <c r="F229" s="8">
        <v>8.3333333333333329E-2</v>
      </c>
      <c r="G229" s="67"/>
      <c r="H229" s="68"/>
      <c r="I229" s="35"/>
      <c r="J229" s="9" t="str">
        <f t="shared" si="56"/>
        <v/>
      </c>
      <c r="K229" s="39"/>
      <c r="L229" s="39"/>
      <c r="M229" s="39"/>
      <c r="N229" s="39"/>
      <c r="O229" s="39"/>
      <c r="P229" s="39"/>
      <c r="Q229" s="39"/>
      <c r="R229" s="39"/>
      <c r="S229" s="10">
        <f t="shared" si="57"/>
        <v>0</v>
      </c>
      <c r="T229" s="10">
        <v>100000</v>
      </c>
      <c r="U229" s="10">
        <f t="shared" si="59"/>
        <v>0</v>
      </c>
      <c r="V229" s="4"/>
      <c r="Y229" s="4"/>
    </row>
    <row r="230" spans="2:25" ht="18.75" hidden="1">
      <c r="B230" s="58"/>
      <c r="C230" s="60"/>
      <c r="D230" s="52"/>
      <c r="E230" s="63"/>
      <c r="F230" s="8">
        <v>0.16666666666666666</v>
      </c>
      <c r="G230" s="67"/>
      <c r="H230" s="68"/>
      <c r="I230" s="35"/>
      <c r="J230" s="9" t="str">
        <f t="shared" si="56"/>
        <v/>
      </c>
      <c r="K230" s="39"/>
      <c r="L230" s="39"/>
      <c r="M230" s="39"/>
      <c r="N230" s="39"/>
      <c r="O230" s="39"/>
      <c r="P230" s="39"/>
      <c r="Q230" s="39"/>
      <c r="R230" s="39"/>
      <c r="S230" s="10">
        <f t="shared" si="57"/>
        <v>0</v>
      </c>
      <c r="T230" s="10">
        <v>100000</v>
      </c>
      <c r="U230" s="10">
        <f t="shared" si="59"/>
        <v>0</v>
      </c>
      <c r="V230" s="4"/>
      <c r="W230" s="4"/>
      <c r="X230" s="4"/>
      <c r="Y230" s="4"/>
    </row>
    <row r="231" spans="2:25" ht="18.75" hidden="1">
      <c r="B231" s="58"/>
      <c r="C231" s="60"/>
      <c r="D231" s="52"/>
      <c r="E231" s="63"/>
      <c r="F231" s="8">
        <v>0.25</v>
      </c>
      <c r="G231" s="67"/>
      <c r="H231" s="68"/>
      <c r="I231" s="35"/>
      <c r="J231" s="9" t="str">
        <f t="shared" si="56"/>
        <v/>
      </c>
      <c r="K231" s="39"/>
      <c r="L231" s="39"/>
      <c r="M231" s="39"/>
      <c r="N231" s="39"/>
      <c r="O231" s="39"/>
      <c r="P231" s="39"/>
      <c r="Q231" s="39"/>
      <c r="R231" s="39"/>
      <c r="S231" s="10">
        <f t="shared" si="57"/>
        <v>0</v>
      </c>
      <c r="T231" s="10">
        <v>100000</v>
      </c>
      <c r="U231" s="10">
        <f t="shared" si="59"/>
        <v>0</v>
      </c>
      <c r="V231" s="4"/>
      <c r="Y231" s="4"/>
    </row>
    <row r="232" spans="2:25" ht="18.75" hidden="1">
      <c r="B232" s="58"/>
      <c r="C232" s="61"/>
      <c r="D232" s="53"/>
      <c r="E232" s="69"/>
      <c r="F232" s="14">
        <v>0.33333333333333331</v>
      </c>
      <c r="G232" s="67"/>
      <c r="H232" s="68"/>
      <c r="I232" s="37"/>
      <c r="J232" s="15" t="str">
        <f t="shared" si="56"/>
        <v/>
      </c>
      <c r="K232" s="40"/>
      <c r="L232" s="40"/>
      <c r="M232" s="40"/>
      <c r="N232" s="40"/>
      <c r="O232" s="40"/>
      <c r="P232" s="40"/>
      <c r="Q232" s="40"/>
      <c r="R232" s="40"/>
      <c r="S232" s="16">
        <f t="shared" si="57"/>
        <v>0</v>
      </c>
      <c r="T232" s="16">
        <v>100000</v>
      </c>
      <c r="U232" s="16">
        <f t="shared" si="59"/>
        <v>0</v>
      </c>
      <c r="V232" s="4"/>
      <c r="W232" s="4"/>
      <c r="X232" s="4"/>
      <c r="Y232" s="4"/>
    </row>
    <row r="233" spans="2:25" ht="16.5" hidden="1" customHeight="1">
      <c r="B233" s="58">
        <v>46100</v>
      </c>
      <c r="C233" s="59" t="s">
        <v>15</v>
      </c>
      <c r="D233" s="51"/>
      <c r="E233" s="62" t="s">
        <v>101</v>
      </c>
      <c r="F233" s="5">
        <v>0.41666666666666669</v>
      </c>
      <c r="G233" s="65"/>
      <c r="H233" s="66"/>
      <c r="I233" s="34"/>
      <c r="J233" s="6" t="str">
        <f t="shared" si="56"/>
        <v/>
      </c>
      <c r="K233" s="38"/>
      <c r="L233" s="38"/>
      <c r="M233" s="38"/>
      <c r="N233" s="38"/>
      <c r="O233" s="38"/>
      <c r="P233" s="38"/>
      <c r="Q233" s="38"/>
      <c r="R233" s="38"/>
      <c r="S233" s="7">
        <f>SUM(K233:R233)</f>
        <v>0</v>
      </c>
      <c r="T233" s="7">
        <v>100000</v>
      </c>
      <c r="U233" s="7">
        <f>T233*S233</f>
        <v>0</v>
      </c>
      <c r="V233" s="4"/>
      <c r="W233" s="4"/>
      <c r="X233" s="4"/>
      <c r="Y233" s="4"/>
    </row>
    <row r="234" spans="2:25" ht="18.75" hidden="1">
      <c r="B234" s="58"/>
      <c r="C234" s="60"/>
      <c r="D234" s="52"/>
      <c r="E234" s="63"/>
      <c r="F234" s="8">
        <v>0.5</v>
      </c>
      <c r="G234" s="67"/>
      <c r="H234" s="68"/>
      <c r="I234" s="35"/>
      <c r="J234" s="9" t="str">
        <f t="shared" si="56"/>
        <v/>
      </c>
      <c r="K234" s="39"/>
      <c r="L234" s="39"/>
      <c r="M234" s="39"/>
      <c r="N234" s="39"/>
      <c r="O234" s="39"/>
      <c r="P234" s="39"/>
      <c r="Q234" s="39"/>
      <c r="R234" s="39"/>
      <c r="S234" s="10">
        <f t="shared" ref="S234:S244" si="60">SUM(K234:R234)</f>
        <v>0</v>
      </c>
      <c r="T234" s="10">
        <v>100000</v>
      </c>
      <c r="U234" s="10">
        <f t="shared" ref="U234:U235" si="61">T234*S234</f>
        <v>0</v>
      </c>
      <c r="V234" s="4"/>
      <c r="W234" s="4"/>
      <c r="X234" s="4"/>
      <c r="Y234" s="4"/>
    </row>
    <row r="235" spans="2:25" ht="18.75" hidden="1">
      <c r="B235" s="58"/>
      <c r="C235" s="60"/>
      <c r="D235" s="52"/>
      <c r="E235" s="63"/>
      <c r="F235" s="8">
        <v>0.58333333333333337</v>
      </c>
      <c r="G235" s="67"/>
      <c r="H235" s="68"/>
      <c r="I235" s="35"/>
      <c r="J235" s="9" t="str">
        <f t="shared" si="56"/>
        <v/>
      </c>
      <c r="K235" s="39"/>
      <c r="L235" s="39"/>
      <c r="M235" s="39"/>
      <c r="N235" s="39"/>
      <c r="O235" s="39"/>
      <c r="P235" s="39"/>
      <c r="Q235" s="39"/>
      <c r="R235" s="39"/>
      <c r="S235" s="10">
        <f t="shared" si="60"/>
        <v>0</v>
      </c>
      <c r="T235" s="10">
        <v>100000</v>
      </c>
      <c r="U235" s="10">
        <f t="shared" si="61"/>
        <v>0</v>
      </c>
      <c r="V235" s="4"/>
      <c r="W235" s="4"/>
      <c r="X235" s="4"/>
      <c r="Y235" s="4"/>
    </row>
    <row r="236" spans="2:25" ht="18.75" hidden="1">
      <c r="B236" s="58"/>
      <c r="C236" s="60"/>
      <c r="D236" s="52"/>
      <c r="E236" s="63"/>
      <c r="F236" s="8">
        <v>0.66666666666666663</v>
      </c>
      <c r="G236" s="67"/>
      <c r="H236" s="68"/>
      <c r="I236" s="35"/>
      <c r="J236" s="9" t="str">
        <f t="shared" si="56"/>
        <v/>
      </c>
      <c r="K236" s="39"/>
      <c r="L236" s="39"/>
      <c r="M236" s="39"/>
      <c r="N236" s="39"/>
      <c r="O236" s="39"/>
      <c r="P236" s="39"/>
      <c r="Q236" s="39"/>
      <c r="R236" s="39"/>
      <c r="S236" s="10">
        <f t="shared" si="60"/>
        <v>0</v>
      </c>
      <c r="T236" s="10">
        <v>100000</v>
      </c>
      <c r="U236" s="10">
        <f>T236*S236</f>
        <v>0</v>
      </c>
      <c r="V236" s="4"/>
      <c r="W236" s="4"/>
      <c r="X236" s="4"/>
      <c r="Y236" s="4"/>
    </row>
    <row r="237" spans="2:25" ht="18.75" hidden="1">
      <c r="B237" s="58"/>
      <c r="C237" s="60"/>
      <c r="D237" s="52"/>
      <c r="E237" s="63"/>
      <c r="F237" s="8">
        <v>0.75</v>
      </c>
      <c r="G237" s="67"/>
      <c r="H237" s="68"/>
      <c r="I237" s="35"/>
      <c r="J237" s="9" t="str">
        <f t="shared" si="56"/>
        <v/>
      </c>
      <c r="K237" s="39"/>
      <c r="L237" s="39"/>
      <c r="M237" s="39"/>
      <c r="N237" s="39"/>
      <c r="O237" s="39"/>
      <c r="P237" s="39"/>
      <c r="Q237" s="39"/>
      <c r="R237" s="39"/>
      <c r="S237" s="10">
        <f t="shared" si="60"/>
        <v>0</v>
      </c>
      <c r="T237" s="10">
        <v>100000</v>
      </c>
      <c r="U237" s="10">
        <f t="shared" ref="U237:U244" si="62">T237*S237</f>
        <v>0</v>
      </c>
      <c r="V237" s="4"/>
      <c r="W237" s="4"/>
      <c r="X237" s="11"/>
      <c r="Y237" s="4"/>
    </row>
    <row r="238" spans="2:25" ht="18.75" hidden="1">
      <c r="B238" s="58"/>
      <c r="C238" s="60"/>
      <c r="D238" s="53"/>
      <c r="E238" s="64"/>
      <c r="F238" s="12">
        <v>0.83333333333333337</v>
      </c>
      <c r="G238" s="67"/>
      <c r="H238" s="68"/>
      <c r="I238" s="36"/>
      <c r="J238" s="9" t="str">
        <f t="shared" si="56"/>
        <v/>
      </c>
      <c r="K238" s="41"/>
      <c r="L238" s="41"/>
      <c r="M238" s="41"/>
      <c r="N238" s="41"/>
      <c r="O238" s="41"/>
      <c r="P238" s="41"/>
      <c r="Q238" s="41"/>
      <c r="R238" s="41"/>
      <c r="S238" s="13">
        <f t="shared" si="60"/>
        <v>0</v>
      </c>
      <c r="T238" s="13">
        <v>100000</v>
      </c>
      <c r="U238" s="13">
        <f t="shared" si="62"/>
        <v>0</v>
      </c>
      <c r="V238" s="4"/>
      <c r="Y238" s="4"/>
    </row>
    <row r="239" spans="2:25" ht="18.75" hidden="1">
      <c r="B239" s="58"/>
      <c r="C239" s="60"/>
      <c r="D239" s="51"/>
      <c r="E239" s="62" t="s">
        <v>102</v>
      </c>
      <c r="F239" s="5">
        <v>0.91666666666666663</v>
      </c>
      <c r="G239" s="65"/>
      <c r="H239" s="66"/>
      <c r="I239" s="34"/>
      <c r="J239" s="6" t="str">
        <f t="shared" si="56"/>
        <v/>
      </c>
      <c r="K239" s="38"/>
      <c r="L239" s="38"/>
      <c r="M239" s="38"/>
      <c r="N239" s="38"/>
      <c r="O239" s="38"/>
      <c r="P239" s="38"/>
      <c r="Q239" s="38"/>
      <c r="R239" s="38"/>
      <c r="S239" s="7">
        <f t="shared" si="60"/>
        <v>0</v>
      </c>
      <c r="T239" s="7">
        <v>100000</v>
      </c>
      <c r="U239" s="7">
        <f t="shared" si="62"/>
        <v>0</v>
      </c>
      <c r="V239" s="4"/>
      <c r="Y239" s="4"/>
    </row>
    <row r="240" spans="2:25" ht="18.75" hidden="1">
      <c r="B240" s="58"/>
      <c r="C240" s="60"/>
      <c r="D240" s="52"/>
      <c r="E240" s="63"/>
      <c r="F240" s="8">
        <v>1</v>
      </c>
      <c r="G240" s="67"/>
      <c r="H240" s="68"/>
      <c r="I240" s="35"/>
      <c r="J240" s="9" t="str">
        <f t="shared" si="56"/>
        <v/>
      </c>
      <c r="K240" s="39"/>
      <c r="L240" s="39"/>
      <c r="M240" s="39"/>
      <c r="N240" s="39"/>
      <c r="O240" s="39"/>
      <c r="P240" s="39"/>
      <c r="Q240" s="39"/>
      <c r="R240" s="39"/>
      <c r="S240" s="10">
        <f t="shared" si="60"/>
        <v>0</v>
      </c>
      <c r="T240" s="10">
        <v>100000</v>
      </c>
      <c r="U240" s="10">
        <f t="shared" si="62"/>
        <v>0</v>
      </c>
      <c r="V240" s="4"/>
      <c r="Y240" s="4"/>
    </row>
    <row r="241" spans="2:25" ht="18.75" hidden="1">
      <c r="B241" s="58"/>
      <c r="C241" s="60"/>
      <c r="D241" s="52"/>
      <c r="E241" s="63"/>
      <c r="F241" s="8">
        <v>8.3333333333333329E-2</v>
      </c>
      <c r="G241" s="67"/>
      <c r="H241" s="68"/>
      <c r="I241" s="35"/>
      <c r="J241" s="9" t="str">
        <f t="shared" si="56"/>
        <v/>
      </c>
      <c r="K241" s="39"/>
      <c r="L241" s="39"/>
      <c r="M241" s="39"/>
      <c r="N241" s="39"/>
      <c r="O241" s="39"/>
      <c r="P241" s="39"/>
      <c r="Q241" s="39"/>
      <c r="R241" s="39"/>
      <c r="S241" s="10">
        <f t="shared" si="60"/>
        <v>0</v>
      </c>
      <c r="T241" s="10">
        <v>100000</v>
      </c>
      <c r="U241" s="10">
        <f t="shared" si="62"/>
        <v>0</v>
      </c>
      <c r="V241" s="4"/>
      <c r="Y241" s="4"/>
    </row>
    <row r="242" spans="2:25" ht="18.75" hidden="1">
      <c r="B242" s="58"/>
      <c r="C242" s="60"/>
      <c r="D242" s="52"/>
      <c r="E242" s="63"/>
      <c r="F242" s="8">
        <v>0.16666666666666666</v>
      </c>
      <c r="G242" s="67"/>
      <c r="H242" s="68"/>
      <c r="I242" s="35"/>
      <c r="J242" s="9" t="str">
        <f t="shared" si="56"/>
        <v/>
      </c>
      <c r="K242" s="39"/>
      <c r="L242" s="39"/>
      <c r="M242" s="39"/>
      <c r="N242" s="39"/>
      <c r="O242" s="39"/>
      <c r="P242" s="39"/>
      <c r="Q242" s="39"/>
      <c r="R242" s="39"/>
      <c r="S242" s="10">
        <f t="shared" si="60"/>
        <v>0</v>
      </c>
      <c r="T242" s="10">
        <v>100000</v>
      </c>
      <c r="U242" s="10">
        <f t="shared" si="62"/>
        <v>0</v>
      </c>
      <c r="V242" s="4"/>
      <c r="W242" s="4"/>
      <c r="X242" s="4"/>
      <c r="Y242" s="4"/>
    </row>
    <row r="243" spans="2:25" ht="18.75" hidden="1">
      <c r="B243" s="58"/>
      <c r="C243" s="60"/>
      <c r="D243" s="52"/>
      <c r="E243" s="63"/>
      <c r="F243" s="8">
        <v>0.25</v>
      </c>
      <c r="G243" s="67"/>
      <c r="H243" s="68"/>
      <c r="I243" s="35"/>
      <c r="J243" s="9" t="str">
        <f t="shared" si="56"/>
        <v/>
      </c>
      <c r="K243" s="39"/>
      <c r="L243" s="39"/>
      <c r="M243" s="39"/>
      <c r="N243" s="39"/>
      <c r="O243" s="39"/>
      <c r="P243" s="39"/>
      <c r="Q243" s="39"/>
      <c r="R243" s="39"/>
      <c r="S243" s="10">
        <f t="shared" si="60"/>
        <v>0</v>
      </c>
      <c r="T243" s="10">
        <v>100000</v>
      </c>
      <c r="U243" s="10">
        <f t="shared" si="62"/>
        <v>0</v>
      </c>
      <c r="V243" s="4"/>
      <c r="Y243" s="4"/>
    </row>
    <row r="244" spans="2:25" ht="18.75" hidden="1">
      <c r="B244" s="58"/>
      <c r="C244" s="61"/>
      <c r="D244" s="53"/>
      <c r="E244" s="69"/>
      <c r="F244" s="14">
        <v>0.33333333333333331</v>
      </c>
      <c r="G244" s="67"/>
      <c r="H244" s="68"/>
      <c r="I244" s="37"/>
      <c r="J244" s="15" t="str">
        <f t="shared" si="56"/>
        <v/>
      </c>
      <c r="K244" s="40"/>
      <c r="L244" s="40"/>
      <c r="M244" s="40"/>
      <c r="N244" s="40"/>
      <c r="O244" s="40"/>
      <c r="P244" s="40"/>
      <c r="Q244" s="40"/>
      <c r="R244" s="40"/>
      <c r="S244" s="16">
        <f t="shared" si="60"/>
        <v>0</v>
      </c>
      <c r="T244" s="16">
        <v>100000</v>
      </c>
      <c r="U244" s="16">
        <f t="shared" si="62"/>
        <v>0</v>
      </c>
      <c r="V244" s="4"/>
      <c r="W244" s="4"/>
      <c r="X244" s="4"/>
      <c r="Y244" s="4"/>
    </row>
    <row r="245" spans="2:25" ht="16.5" hidden="1" customHeight="1">
      <c r="B245" s="58">
        <v>46101</v>
      </c>
      <c r="C245" s="59" t="s">
        <v>15</v>
      </c>
      <c r="D245" s="51"/>
      <c r="E245" s="62" t="s">
        <v>101</v>
      </c>
      <c r="F245" s="5">
        <v>0.41666666666666669</v>
      </c>
      <c r="G245" s="65"/>
      <c r="H245" s="66"/>
      <c r="I245" s="34"/>
      <c r="J245" s="6" t="str">
        <f t="shared" si="56"/>
        <v/>
      </c>
      <c r="K245" s="38"/>
      <c r="L245" s="38"/>
      <c r="M245" s="38"/>
      <c r="N245" s="38"/>
      <c r="O245" s="38"/>
      <c r="P245" s="38"/>
      <c r="Q245" s="38"/>
      <c r="R245" s="38"/>
      <c r="S245" s="7">
        <f>SUM(K245:R245)</f>
        <v>0</v>
      </c>
      <c r="T245" s="7">
        <v>100000</v>
      </c>
      <c r="U245" s="7">
        <f>T245*S245</f>
        <v>0</v>
      </c>
      <c r="V245" s="4"/>
      <c r="W245" s="4"/>
      <c r="X245" s="4"/>
      <c r="Y245" s="4"/>
    </row>
    <row r="246" spans="2:25" ht="18.75" hidden="1">
      <c r="B246" s="58"/>
      <c r="C246" s="60"/>
      <c r="D246" s="52"/>
      <c r="E246" s="63"/>
      <c r="F246" s="8">
        <v>0.5</v>
      </c>
      <c r="G246" s="67"/>
      <c r="H246" s="68"/>
      <c r="I246" s="35"/>
      <c r="J246" s="9" t="str">
        <f t="shared" si="56"/>
        <v/>
      </c>
      <c r="K246" s="39"/>
      <c r="L246" s="39"/>
      <c r="M246" s="39"/>
      <c r="N246" s="39"/>
      <c r="O246" s="39"/>
      <c r="P246" s="39"/>
      <c r="Q246" s="39"/>
      <c r="R246" s="39"/>
      <c r="S246" s="10">
        <f t="shared" ref="S246:S256" si="63">SUM(K246:R246)</f>
        <v>0</v>
      </c>
      <c r="T246" s="10">
        <v>100000</v>
      </c>
      <c r="U246" s="10">
        <f t="shared" ref="U246:U247" si="64">T246*S246</f>
        <v>0</v>
      </c>
      <c r="V246" s="4"/>
      <c r="W246" s="4"/>
      <c r="X246" s="4"/>
      <c r="Y246" s="4"/>
    </row>
    <row r="247" spans="2:25" ht="18.75" hidden="1">
      <c r="B247" s="58"/>
      <c r="C247" s="60"/>
      <c r="D247" s="52"/>
      <c r="E247" s="63"/>
      <c r="F247" s="8">
        <v>0.58333333333333337</v>
      </c>
      <c r="G247" s="67"/>
      <c r="H247" s="68"/>
      <c r="I247" s="35"/>
      <c r="J247" s="9" t="str">
        <f t="shared" si="56"/>
        <v/>
      </c>
      <c r="K247" s="39"/>
      <c r="L247" s="39"/>
      <c r="M247" s="39"/>
      <c r="N247" s="39"/>
      <c r="O247" s="39"/>
      <c r="P247" s="39"/>
      <c r="Q247" s="39"/>
      <c r="R247" s="39"/>
      <c r="S247" s="10">
        <f t="shared" si="63"/>
        <v>0</v>
      </c>
      <c r="T247" s="10">
        <v>100000</v>
      </c>
      <c r="U247" s="10">
        <f t="shared" si="64"/>
        <v>0</v>
      </c>
      <c r="V247" s="4"/>
      <c r="W247" s="4"/>
      <c r="X247" s="4"/>
      <c r="Y247" s="4"/>
    </row>
    <row r="248" spans="2:25" ht="18.75" hidden="1">
      <c r="B248" s="58"/>
      <c r="C248" s="60"/>
      <c r="D248" s="52"/>
      <c r="E248" s="63"/>
      <c r="F248" s="8">
        <v>0.66666666666666663</v>
      </c>
      <c r="G248" s="67"/>
      <c r="H248" s="68"/>
      <c r="I248" s="35"/>
      <c r="J248" s="9" t="str">
        <f t="shared" si="56"/>
        <v/>
      </c>
      <c r="K248" s="39"/>
      <c r="L248" s="39"/>
      <c r="M248" s="39"/>
      <c r="N248" s="39"/>
      <c r="O248" s="39"/>
      <c r="P248" s="39"/>
      <c r="Q248" s="39"/>
      <c r="R248" s="39"/>
      <c r="S248" s="10">
        <f t="shared" si="63"/>
        <v>0</v>
      </c>
      <c r="T248" s="10">
        <v>100000</v>
      </c>
      <c r="U248" s="10">
        <f>T248*S248</f>
        <v>0</v>
      </c>
      <c r="V248" s="4"/>
      <c r="W248" s="4"/>
      <c r="X248" s="4"/>
      <c r="Y248" s="4"/>
    </row>
    <row r="249" spans="2:25" ht="18.75" hidden="1">
      <c r="B249" s="58"/>
      <c r="C249" s="60"/>
      <c r="D249" s="52"/>
      <c r="E249" s="63"/>
      <c r="F249" s="8">
        <v>0.75</v>
      </c>
      <c r="G249" s="67"/>
      <c r="H249" s="68"/>
      <c r="I249" s="35"/>
      <c r="J249" s="9" t="str">
        <f t="shared" si="56"/>
        <v/>
      </c>
      <c r="K249" s="39"/>
      <c r="L249" s="39"/>
      <c r="M249" s="39"/>
      <c r="N249" s="39"/>
      <c r="O249" s="39"/>
      <c r="P249" s="39"/>
      <c r="Q249" s="39"/>
      <c r="R249" s="39"/>
      <c r="S249" s="10">
        <f t="shared" si="63"/>
        <v>0</v>
      </c>
      <c r="T249" s="10">
        <v>100000</v>
      </c>
      <c r="U249" s="10">
        <f t="shared" ref="U249:U256" si="65">T249*S249</f>
        <v>0</v>
      </c>
      <c r="V249" s="4"/>
      <c r="W249" s="4"/>
      <c r="X249" s="11"/>
      <c r="Y249" s="4"/>
    </row>
    <row r="250" spans="2:25" ht="18.75" hidden="1">
      <c r="B250" s="58"/>
      <c r="C250" s="60"/>
      <c r="D250" s="53"/>
      <c r="E250" s="64"/>
      <c r="F250" s="12">
        <v>0.83333333333333337</v>
      </c>
      <c r="G250" s="67"/>
      <c r="H250" s="68"/>
      <c r="I250" s="36"/>
      <c r="J250" s="9" t="str">
        <f t="shared" si="56"/>
        <v/>
      </c>
      <c r="K250" s="41"/>
      <c r="L250" s="41"/>
      <c r="M250" s="41"/>
      <c r="N250" s="41"/>
      <c r="O250" s="41"/>
      <c r="P250" s="41"/>
      <c r="Q250" s="41"/>
      <c r="R250" s="41"/>
      <c r="S250" s="13">
        <f t="shared" si="63"/>
        <v>0</v>
      </c>
      <c r="T250" s="13">
        <v>100000</v>
      </c>
      <c r="U250" s="13">
        <f t="shared" si="65"/>
        <v>0</v>
      </c>
      <c r="V250" s="4"/>
      <c r="Y250" s="4"/>
    </row>
    <row r="251" spans="2:25" ht="18.75" hidden="1">
      <c r="B251" s="58"/>
      <c r="C251" s="60"/>
      <c r="D251" s="51"/>
      <c r="E251" s="62" t="s">
        <v>102</v>
      </c>
      <c r="F251" s="5">
        <v>0.91666666666666663</v>
      </c>
      <c r="G251" s="65"/>
      <c r="H251" s="66"/>
      <c r="I251" s="34"/>
      <c r="J251" s="6" t="str">
        <f t="shared" si="56"/>
        <v/>
      </c>
      <c r="K251" s="38"/>
      <c r="L251" s="38"/>
      <c r="M251" s="38"/>
      <c r="N251" s="38"/>
      <c r="O251" s="38"/>
      <c r="P251" s="38"/>
      <c r="Q251" s="38"/>
      <c r="R251" s="38"/>
      <c r="S251" s="7">
        <f t="shared" si="63"/>
        <v>0</v>
      </c>
      <c r="T251" s="7">
        <v>100000</v>
      </c>
      <c r="U251" s="7">
        <f t="shared" si="65"/>
        <v>0</v>
      </c>
      <c r="V251" s="4"/>
      <c r="Y251" s="4"/>
    </row>
    <row r="252" spans="2:25" ht="18.75" hidden="1">
      <c r="B252" s="58"/>
      <c r="C252" s="60"/>
      <c r="D252" s="52"/>
      <c r="E252" s="63"/>
      <c r="F252" s="8">
        <v>1</v>
      </c>
      <c r="G252" s="67"/>
      <c r="H252" s="68"/>
      <c r="I252" s="35"/>
      <c r="J252" s="9" t="str">
        <f t="shared" si="56"/>
        <v/>
      </c>
      <c r="K252" s="39"/>
      <c r="L252" s="39"/>
      <c r="M252" s="39"/>
      <c r="N252" s="39"/>
      <c r="O252" s="39"/>
      <c r="P252" s="39"/>
      <c r="Q252" s="39"/>
      <c r="R252" s="39"/>
      <c r="S252" s="10">
        <f t="shared" si="63"/>
        <v>0</v>
      </c>
      <c r="T252" s="10">
        <v>100000</v>
      </c>
      <c r="U252" s="10">
        <f t="shared" si="65"/>
        <v>0</v>
      </c>
      <c r="V252" s="4"/>
      <c r="Y252" s="4"/>
    </row>
    <row r="253" spans="2:25" ht="18.75" hidden="1">
      <c r="B253" s="58"/>
      <c r="C253" s="60"/>
      <c r="D253" s="52"/>
      <c r="E253" s="63"/>
      <c r="F253" s="8">
        <v>8.3333333333333329E-2</v>
      </c>
      <c r="G253" s="67"/>
      <c r="H253" s="68"/>
      <c r="I253" s="35"/>
      <c r="J253" s="9" t="str">
        <f t="shared" si="56"/>
        <v/>
      </c>
      <c r="K253" s="39"/>
      <c r="L253" s="39"/>
      <c r="M253" s="39"/>
      <c r="N253" s="39"/>
      <c r="O253" s="39"/>
      <c r="P253" s="39"/>
      <c r="Q253" s="39"/>
      <c r="R253" s="39"/>
      <c r="S253" s="10">
        <f t="shared" si="63"/>
        <v>0</v>
      </c>
      <c r="T253" s="10">
        <v>100000</v>
      </c>
      <c r="U253" s="10">
        <f t="shared" si="65"/>
        <v>0</v>
      </c>
      <c r="V253" s="4"/>
      <c r="Y253" s="4"/>
    </row>
    <row r="254" spans="2:25" ht="18.75" hidden="1">
      <c r="B254" s="58"/>
      <c r="C254" s="60"/>
      <c r="D254" s="52"/>
      <c r="E254" s="63"/>
      <c r="F254" s="8">
        <v>0.16666666666666666</v>
      </c>
      <c r="G254" s="67"/>
      <c r="H254" s="68"/>
      <c r="I254" s="35"/>
      <c r="J254" s="9" t="str">
        <f t="shared" si="56"/>
        <v/>
      </c>
      <c r="K254" s="39"/>
      <c r="L254" s="39"/>
      <c r="M254" s="39"/>
      <c r="N254" s="39"/>
      <c r="O254" s="39"/>
      <c r="P254" s="39"/>
      <c r="Q254" s="39"/>
      <c r="R254" s="39"/>
      <c r="S254" s="10">
        <f t="shared" si="63"/>
        <v>0</v>
      </c>
      <c r="T254" s="10">
        <v>100000</v>
      </c>
      <c r="U254" s="10">
        <f t="shared" si="65"/>
        <v>0</v>
      </c>
      <c r="V254" s="4"/>
      <c r="W254" s="4"/>
      <c r="X254" s="4"/>
      <c r="Y254" s="4"/>
    </row>
    <row r="255" spans="2:25" ht="18.75" hidden="1">
      <c r="B255" s="58"/>
      <c r="C255" s="60"/>
      <c r="D255" s="52"/>
      <c r="E255" s="63"/>
      <c r="F255" s="8">
        <v>0.25</v>
      </c>
      <c r="G255" s="67"/>
      <c r="H255" s="68"/>
      <c r="I255" s="35"/>
      <c r="J255" s="9" t="str">
        <f t="shared" si="56"/>
        <v/>
      </c>
      <c r="K255" s="39"/>
      <c r="L255" s="39"/>
      <c r="M255" s="39"/>
      <c r="N255" s="39"/>
      <c r="O255" s="39"/>
      <c r="P255" s="39"/>
      <c r="Q255" s="39"/>
      <c r="R255" s="39"/>
      <c r="S255" s="10">
        <f t="shared" si="63"/>
        <v>0</v>
      </c>
      <c r="T255" s="10">
        <v>100000</v>
      </c>
      <c r="U255" s="10">
        <f t="shared" si="65"/>
        <v>0</v>
      </c>
      <c r="V255" s="4"/>
      <c r="Y255" s="4"/>
    </row>
    <row r="256" spans="2:25" ht="18.75" hidden="1">
      <c r="B256" s="58"/>
      <c r="C256" s="61"/>
      <c r="D256" s="53"/>
      <c r="E256" s="69"/>
      <c r="F256" s="14">
        <v>0.33333333333333331</v>
      </c>
      <c r="G256" s="67"/>
      <c r="H256" s="68"/>
      <c r="I256" s="37"/>
      <c r="J256" s="15" t="str">
        <f t="shared" si="56"/>
        <v/>
      </c>
      <c r="K256" s="40"/>
      <c r="L256" s="40"/>
      <c r="M256" s="40"/>
      <c r="N256" s="40"/>
      <c r="O256" s="40"/>
      <c r="P256" s="40"/>
      <c r="Q256" s="40"/>
      <c r="R256" s="40"/>
      <c r="S256" s="16">
        <f t="shared" si="63"/>
        <v>0</v>
      </c>
      <c r="T256" s="16">
        <v>100000</v>
      </c>
      <c r="U256" s="16">
        <f t="shared" si="65"/>
        <v>0</v>
      </c>
      <c r="V256" s="4"/>
      <c r="W256" s="4"/>
      <c r="X256" s="4"/>
      <c r="Y256" s="4"/>
    </row>
    <row r="257" spans="2:25" ht="16.5" hidden="1" customHeight="1">
      <c r="B257" s="58">
        <v>46102</v>
      </c>
      <c r="C257" s="59" t="s">
        <v>15</v>
      </c>
      <c r="D257" s="51"/>
      <c r="E257" s="62" t="s">
        <v>101</v>
      </c>
      <c r="F257" s="5">
        <v>0.41666666666666669</v>
      </c>
      <c r="G257" s="65"/>
      <c r="H257" s="66"/>
      <c r="I257" s="34"/>
      <c r="J257" s="6" t="str">
        <f t="shared" si="56"/>
        <v/>
      </c>
      <c r="K257" s="38"/>
      <c r="L257" s="38"/>
      <c r="M257" s="38"/>
      <c r="N257" s="38"/>
      <c r="O257" s="38"/>
      <c r="P257" s="38"/>
      <c r="Q257" s="38"/>
      <c r="R257" s="38"/>
      <c r="S257" s="7">
        <f>SUM(K257:R257)</f>
        <v>0</v>
      </c>
      <c r="T257" s="7">
        <v>100000</v>
      </c>
      <c r="U257" s="7">
        <f>T257*S257</f>
        <v>0</v>
      </c>
      <c r="V257" s="4"/>
      <c r="W257" s="4"/>
      <c r="X257" s="4"/>
      <c r="Y257" s="4"/>
    </row>
    <row r="258" spans="2:25" ht="18.75" hidden="1">
      <c r="B258" s="58"/>
      <c r="C258" s="60"/>
      <c r="D258" s="52"/>
      <c r="E258" s="63"/>
      <c r="F258" s="8">
        <v>0.5</v>
      </c>
      <c r="G258" s="67"/>
      <c r="H258" s="68"/>
      <c r="I258" s="35"/>
      <c r="J258" s="9" t="str">
        <f t="shared" si="56"/>
        <v/>
      </c>
      <c r="K258" s="39"/>
      <c r="L258" s="39"/>
      <c r="M258" s="39"/>
      <c r="N258" s="39"/>
      <c r="O258" s="39"/>
      <c r="P258" s="39"/>
      <c r="Q258" s="39"/>
      <c r="R258" s="39"/>
      <c r="S258" s="10">
        <f t="shared" ref="S258:S268" si="66">SUM(K258:R258)</f>
        <v>0</v>
      </c>
      <c r="T258" s="10">
        <v>100000</v>
      </c>
      <c r="U258" s="10">
        <f t="shared" ref="U258:U259" si="67">T258*S258</f>
        <v>0</v>
      </c>
      <c r="V258" s="4"/>
      <c r="W258" s="4"/>
      <c r="X258" s="4"/>
      <c r="Y258" s="4"/>
    </row>
    <row r="259" spans="2:25" ht="18.75" hidden="1">
      <c r="B259" s="58"/>
      <c r="C259" s="60"/>
      <c r="D259" s="52"/>
      <c r="E259" s="63"/>
      <c r="F259" s="8">
        <v>0.58333333333333337</v>
      </c>
      <c r="G259" s="67"/>
      <c r="H259" s="68"/>
      <c r="I259" s="35"/>
      <c r="J259" s="9" t="str">
        <f t="shared" si="56"/>
        <v/>
      </c>
      <c r="K259" s="39"/>
      <c r="L259" s="39"/>
      <c r="M259" s="39"/>
      <c r="N259" s="39"/>
      <c r="O259" s="39"/>
      <c r="P259" s="39"/>
      <c r="Q259" s="39"/>
      <c r="R259" s="39"/>
      <c r="S259" s="10">
        <f t="shared" si="66"/>
        <v>0</v>
      </c>
      <c r="T259" s="10">
        <v>100000</v>
      </c>
      <c r="U259" s="10">
        <f t="shared" si="67"/>
        <v>0</v>
      </c>
      <c r="V259" s="4"/>
      <c r="W259" s="4"/>
      <c r="X259" s="4"/>
      <c r="Y259" s="4"/>
    </row>
    <row r="260" spans="2:25" ht="18.75" hidden="1">
      <c r="B260" s="58"/>
      <c r="C260" s="60"/>
      <c r="D260" s="52"/>
      <c r="E260" s="63"/>
      <c r="F260" s="8">
        <v>0.66666666666666663</v>
      </c>
      <c r="G260" s="67"/>
      <c r="H260" s="68"/>
      <c r="I260" s="35"/>
      <c r="J260" s="9" t="str">
        <f t="shared" si="56"/>
        <v/>
      </c>
      <c r="K260" s="39"/>
      <c r="L260" s="39"/>
      <c r="M260" s="39"/>
      <c r="N260" s="39"/>
      <c r="O260" s="39"/>
      <c r="P260" s="39"/>
      <c r="Q260" s="39"/>
      <c r="R260" s="39"/>
      <c r="S260" s="10">
        <f t="shared" si="66"/>
        <v>0</v>
      </c>
      <c r="T260" s="10">
        <v>100000</v>
      </c>
      <c r="U260" s="10">
        <f>T260*S260</f>
        <v>0</v>
      </c>
      <c r="V260" s="4"/>
      <c r="W260" s="4"/>
      <c r="X260" s="4"/>
      <c r="Y260" s="4"/>
    </row>
    <row r="261" spans="2:25" ht="18.75" hidden="1">
      <c r="B261" s="58"/>
      <c r="C261" s="60"/>
      <c r="D261" s="52"/>
      <c r="E261" s="63"/>
      <c r="F261" s="8">
        <v>0.75</v>
      </c>
      <c r="G261" s="67"/>
      <c r="H261" s="68"/>
      <c r="I261" s="35"/>
      <c r="J261" s="9" t="str">
        <f t="shared" si="56"/>
        <v/>
      </c>
      <c r="K261" s="39"/>
      <c r="L261" s="39"/>
      <c r="M261" s="39"/>
      <c r="N261" s="39"/>
      <c r="O261" s="39"/>
      <c r="P261" s="39"/>
      <c r="Q261" s="39"/>
      <c r="R261" s="39"/>
      <c r="S261" s="10">
        <f t="shared" si="66"/>
        <v>0</v>
      </c>
      <c r="T261" s="10">
        <v>100000</v>
      </c>
      <c r="U261" s="10">
        <f t="shared" ref="U261:U268" si="68">T261*S261</f>
        <v>0</v>
      </c>
      <c r="V261" s="4"/>
      <c r="W261" s="4"/>
      <c r="X261" s="11"/>
      <c r="Y261" s="4"/>
    </row>
    <row r="262" spans="2:25" ht="18.75" hidden="1">
      <c r="B262" s="58"/>
      <c r="C262" s="60"/>
      <c r="D262" s="53"/>
      <c r="E262" s="64"/>
      <c r="F262" s="12">
        <v>0.83333333333333337</v>
      </c>
      <c r="G262" s="67"/>
      <c r="H262" s="68"/>
      <c r="I262" s="36"/>
      <c r="J262" s="9" t="str">
        <f t="shared" si="56"/>
        <v/>
      </c>
      <c r="K262" s="41"/>
      <c r="L262" s="41"/>
      <c r="M262" s="41"/>
      <c r="N262" s="41"/>
      <c r="O262" s="41"/>
      <c r="P262" s="41"/>
      <c r="Q262" s="41"/>
      <c r="R262" s="41"/>
      <c r="S262" s="13">
        <f t="shared" si="66"/>
        <v>0</v>
      </c>
      <c r="T262" s="13">
        <v>100000</v>
      </c>
      <c r="U262" s="13">
        <f t="shared" si="68"/>
        <v>0</v>
      </c>
      <c r="V262" s="4"/>
      <c r="Y262" s="4"/>
    </row>
    <row r="263" spans="2:25" ht="18.75" hidden="1">
      <c r="B263" s="58"/>
      <c r="C263" s="60"/>
      <c r="D263" s="51"/>
      <c r="E263" s="62" t="s">
        <v>102</v>
      </c>
      <c r="F263" s="5">
        <v>0.91666666666666663</v>
      </c>
      <c r="G263" s="65"/>
      <c r="H263" s="66"/>
      <c r="I263" s="34"/>
      <c r="J263" s="6" t="str">
        <f t="shared" si="56"/>
        <v/>
      </c>
      <c r="K263" s="38"/>
      <c r="L263" s="38"/>
      <c r="M263" s="38"/>
      <c r="N263" s="38"/>
      <c r="O263" s="38"/>
      <c r="P263" s="38"/>
      <c r="Q263" s="38"/>
      <c r="R263" s="38"/>
      <c r="S263" s="7">
        <f t="shared" si="66"/>
        <v>0</v>
      </c>
      <c r="T263" s="7">
        <v>100000</v>
      </c>
      <c r="U263" s="7">
        <f t="shared" si="68"/>
        <v>0</v>
      </c>
      <c r="V263" s="4"/>
      <c r="Y263" s="4"/>
    </row>
    <row r="264" spans="2:25" ht="18.75" hidden="1">
      <c r="B264" s="58"/>
      <c r="C264" s="60"/>
      <c r="D264" s="52"/>
      <c r="E264" s="63"/>
      <c r="F264" s="8">
        <v>1</v>
      </c>
      <c r="G264" s="67"/>
      <c r="H264" s="68"/>
      <c r="I264" s="35"/>
      <c r="J264" s="9" t="str">
        <f t="shared" si="56"/>
        <v/>
      </c>
      <c r="K264" s="39"/>
      <c r="L264" s="39"/>
      <c r="M264" s="39"/>
      <c r="N264" s="39"/>
      <c r="O264" s="39"/>
      <c r="P264" s="39"/>
      <c r="Q264" s="39"/>
      <c r="R264" s="39"/>
      <c r="S264" s="10">
        <f t="shared" si="66"/>
        <v>0</v>
      </c>
      <c r="T264" s="10">
        <v>100000</v>
      </c>
      <c r="U264" s="10">
        <f t="shared" si="68"/>
        <v>0</v>
      </c>
      <c r="V264" s="4"/>
      <c r="Y264" s="4"/>
    </row>
    <row r="265" spans="2:25" ht="18.75" hidden="1">
      <c r="B265" s="58"/>
      <c r="C265" s="60"/>
      <c r="D265" s="52"/>
      <c r="E265" s="63"/>
      <c r="F265" s="8">
        <v>8.3333333333333329E-2</v>
      </c>
      <c r="G265" s="67"/>
      <c r="H265" s="68"/>
      <c r="I265" s="35"/>
      <c r="J265" s="9" t="str">
        <f t="shared" si="56"/>
        <v/>
      </c>
      <c r="K265" s="39"/>
      <c r="L265" s="39"/>
      <c r="M265" s="39"/>
      <c r="N265" s="39"/>
      <c r="O265" s="39"/>
      <c r="P265" s="39"/>
      <c r="Q265" s="39"/>
      <c r="R265" s="39"/>
      <c r="S265" s="10">
        <f t="shared" si="66"/>
        <v>0</v>
      </c>
      <c r="T265" s="10">
        <v>100000</v>
      </c>
      <c r="U265" s="10">
        <f t="shared" si="68"/>
        <v>0</v>
      </c>
      <c r="V265" s="4"/>
      <c r="Y265" s="4"/>
    </row>
    <row r="266" spans="2:25" ht="18.75" hidden="1">
      <c r="B266" s="58"/>
      <c r="C266" s="60"/>
      <c r="D266" s="52"/>
      <c r="E266" s="63"/>
      <c r="F266" s="8">
        <v>0.16666666666666666</v>
      </c>
      <c r="G266" s="67"/>
      <c r="H266" s="68"/>
      <c r="I266" s="35"/>
      <c r="J266" s="9" t="str">
        <f t="shared" si="56"/>
        <v/>
      </c>
      <c r="K266" s="39"/>
      <c r="L266" s="39"/>
      <c r="M266" s="39"/>
      <c r="N266" s="39"/>
      <c r="O266" s="39"/>
      <c r="P266" s="39"/>
      <c r="Q266" s="39"/>
      <c r="R266" s="39"/>
      <c r="S266" s="10">
        <f t="shared" si="66"/>
        <v>0</v>
      </c>
      <c r="T266" s="10">
        <v>100000</v>
      </c>
      <c r="U266" s="10">
        <f t="shared" si="68"/>
        <v>0</v>
      </c>
      <c r="V266" s="4"/>
      <c r="W266" s="4"/>
      <c r="X266" s="4"/>
      <c r="Y266" s="4"/>
    </row>
    <row r="267" spans="2:25" ht="18.75" hidden="1">
      <c r="B267" s="58"/>
      <c r="C267" s="60"/>
      <c r="D267" s="52"/>
      <c r="E267" s="63"/>
      <c r="F267" s="8">
        <v>0.25</v>
      </c>
      <c r="G267" s="67"/>
      <c r="H267" s="68"/>
      <c r="I267" s="35"/>
      <c r="J267" s="9" t="str">
        <f t="shared" si="56"/>
        <v/>
      </c>
      <c r="K267" s="39"/>
      <c r="L267" s="39"/>
      <c r="M267" s="39"/>
      <c r="N267" s="39"/>
      <c r="O267" s="39"/>
      <c r="P267" s="39"/>
      <c r="Q267" s="39"/>
      <c r="R267" s="39"/>
      <c r="S267" s="10">
        <f t="shared" si="66"/>
        <v>0</v>
      </c>
      <c r="T267" s="10">
        <v>100000</v>
      </c>
      <c r="U267" s="10">
        <f t="shared" si="68"/>
        <v>0</v>
      </c>
      <c r="V267" s="4"/>
      <c r="Y267" s="4"/>
    </row>
    <row r="268" spans="2:25" ht="18.75" hidden="1">
      <c r="B268" s="58"/>
      <c r="C268" s="61"/>
      <c r="D268" s="53"/>
      <c r="E268" s="69"/>
      <c r="F268" s="14">
        <v>0.33333333333333331</v>
      </c>
      <c r="G268" s="67"/>
      <c r="H268" s="68"/>
      <c r="I268" s="37"/>
      <c r="J268" s="15" t="str">
        <f t="shared" si="56"/>
        <v/>
      </c>
      <c r="K268" s="40"/>
      <c r="L268" s="40"/>
      <c r="M268" s="40"/>
      <c r="N268" s="40"/>
      <c r="O268" s="40"/>
      <c r="P268" s="40"/>
      <c r="Q268" s="40"/>
      <c r="R268" s="40"/>
      <c r="S268" s="16">
        <f t="shared" si="66"/>
        <v>0</v>
      </c>
      <c r="T268" s="16">
        <v>100000</v>
      </c>
      <c r="U268" s="16">
        <f t="shared" si="68"/>
        <v>0</v>
      </c>
      <c r="V268" s="4"/>
      <c r="W268" s="4"/>
      <c r="X268" s="4"/>
      <c r="Y268" s="4"/>
    </row>
    <row r="269" spans="2:25" ht="16.5" hidden="1" customHeight="1">
      <c r="B269" s="58">
        <v>46103</v>
      </c>
      <c r="C269" s="59" t="s">
        <v>15</v>
      </c>
      <c r="D269" s="51"/>
      <c r="E269" s="62" t="s">
        <v>101</v>
      </c>
      <c r="F269" s="5">
        <v>0.41666666666666669</v>
      </c>
      <c r="G269" s="65"/>
      <c r="H269" s="66"/>
      <c r="I269" s="34"/>
      <c r="J269" s="6" t="str">
        <f t="shared" si="56"/>
        <v/>
      </c>
      <c r="K269" s="38"/>
      <c r="L269" s="38"/>
      <c r="M269" s="38"/>
      <c r="N269" s="38"/>
      <c r="O269" s="38"/>
      <c r="P269" s="38"/>
      <c r="Q269" s="38"/>
      <c r="R269" s="38"/>
      <c r="S269" s="7">
        <f>SUM(K269:R269)</f>
        <v>0</v>
      </c>
      <c r="T269" s="7">
        <v>100000</v>
      </c>
      <c r="U269" s="7">
        <f>T269*S269</f>
        <v>0</v>
      </c>
      <c r="V269" s="4"/>
      <c r="W269" s="4"/>
      <c r="X269" s="4"/>
      <c r="Y269" s="4"/>
    </row>
    <row r="270" spans="2:25" ht="18.75" hidden="1">
      <c r="B270" s="58"/>
      <c r="C270" s="60"/>
      <c r="D270" s="52"/>
      <c r="E270" s="63"/>
      <c r="F270" s="8">
        <v>0.5</v>
      </c>
      <c r="G270" s="67"/>
      <c r="H270" s="68"/>
      <c r="I270" s="35"/>
      <c r="J270" s="9" t="str">
        <f t="shared" si="56"/>
        <v/>
      </c>
      <c r="K270" s="39"/>
      <c r="L270" s="39"/>
      <c r="M270" s="39"/>
      <c r="N270" s="39"/>
      <c r="O270" s="39"/>
      <c r="P270" s="39"/>
      <c r="Q270" s="39"/>
      <c r="R270" s="39"/>
      <c r="S270" s="10">
        <f t="shared" ref="S270:S280" si="69">SUM(K270:R270)</f>
        <v>0</v>
      </c>
      <c r="T270" s="10">
        <v>100000</v>
      </c>
      <c r="U270" s="10">
        <f t="shared" ref="U270:U271" si="70">T270*S270</f>
        <v>0</v>
      </c>
      <c r="V270" s="4"/>
      <c r="W270" s="4"/>
      <c r="X270" s="4"/>
      <c r="Y270" s="4"/>
    </row>
    <row r="271" spans="2:25" ht="18.75" hidden="1">
      <c r="B271" s="58"/>
      <c r="C271" s="60"/>
      <c r="D271" s="52"/>
      <c r="E271" s="63"/>
      <c r="F271" s="8">
        <v>0.58333333333333337</v>
      </c>
      <c r="G271" s="67"/>
      <c r="H271" s="68"/>
      <c r="I271" s="35"/>
      <c r="J271" s="9" t="str">
        <f t="shared" si="56"/>
        <v/>
      </c>
      <c r="K271" s="39"/>
      <c r="L271" s="39"/>
      <c r="M271" s="39"/>
      <c r="N271" s="39"/>
      <c r="O271" s="39"/>
      <c r="P271" s="39"/>
      <c r="Q271" s="39"/>
      <c r="R271" s="39"/>
      <c r="S271" s="10">
        <f t="shared" si="69"/>
        <v>0</v>
      </c>
      <c r="T271" s="10">
        <v>100000</v>
      </c>
      <c r="U271" s="10">
        <f t="shared" si="70"/>
        <v>0</v>
      </c>
      <c r="V271" s="4"/>
      <c r="W271" s="4"/>
      <c r="X271" s="4"/>
      <c r="Y271" s="4"/>
    </row>
    <row r="272" spans="2:25" ht="18.75" hidden="1">
      <c r="B272" s="58"/>
      <c r="C272" s="60"/>
      <c r="D272" s="52"/>
      <c r="E272" s="63"/>
      <c r="F272" s="8">
        <v>0.66666666666666663</v>
      </c>
      <c r="G272" s="67"/>
      <c r="H272" s="68"/>
      <c r="I272" s="35"/>
      <c r="J272" s="9" t="str">
        <f t="shared" si="56"/>
        <v/>
      </c>
      <c r="K272" s="39"/>
      <c r="L272" s="39"/>
      <c r="M272" s="39"/>
      <c r="N272" s="39"/>
      <c r="O272" s="39"/>
      <c r="P272" s="39"/>
      <c r="Q272" s="39"/>
      <c r="R272" s="39"/>
      <c r="S272" s="10">
        <f t="shared" si="69"/>
        <v>0</v>
      </c>
      <c r="T272" s="10">
        <v>100000</v>
      </c>
      <c r="U272" s="10">
        <f>T272*S272</f>
        <v>0</v>
      </c>
      <c r="V272" s="4"/>
      <c r="W272" s="4"/>
      <c r="X272" s="4"/>
      <c r="Y272" s="4"/>
    </row>
    <row r="273" spans="2:25" ht="18.75" hidden="1">
      <c r="B273" s="58"/>
      <c r="C273" s="60"/>
      <c r="D273" s="52"/>
      <c r="E273" s="63"/>
      <c r="F273" s="8">
        <v>0.75</v>
      </c>
      <c r="G273" s="67"/>
      <c r="H273" s="68"/>
      <c r="I273" s="35"/>
      <c r="J273" s="9" t="str">
        <f t="shared" si="56"/>
        <v/>
      </c>
      <c r="K273" s="39"/>
      <c r="L273" s="39"/>
      <c r="M273" s="39"/>
      <c r="N273" s="39"/>
      <c r="O273" s="39"/>
      <c r="P273" s="39"/>
      <c r="Q273" s="39"/>
      <c r="R273" s="39"/>
      <c r="S273" s="10">
        <f t="shared" si="69"/>
        <v>0</v>
      </c>
      <c r="T273" s="10">
        <v>100000</v>
      </c>
      <c r="U273" s="10">
        <f t="shared" ref="U273:U280" si="71">T273*S273</f>
        <v>0</v>
      </c>
      <c r="V273" s="4"/>
      <c r="W273" s="4"/>
      <c r="X273" s="11"/>
      <c r="Y273" s="4"/>
    </row>
    <row r="274" spans="2:25" ht="18.75" hidden="1">
      <c r="B274" s="58"/>
      <c r="C274" s="60"/>
      <c r="D274" s="53"/>
      <c r="E274" s="64"/>
      <c r="F274" s="12">
        <v>0.83333333333333337</v>
      </c>
      <c r="G274" s="67"/>
      <c r="H274" s="68"/>
      <c r="I274" s="36"/>
      <c r="J274" s="9" t="str">
        <f t="shared" si="56"/>
        <v/>
      </c>
      <c r="K274" s="41"/>
      <c r="L274" s="41"/>
      <c r="M274" s="41"/>
      <c r="N274" s="41"/>
      <c r="O274" s="41"/>
      <c r="P274" s="41"/>
      <c r="Q274" s="41"/>
      <c r="R274" s="41"/>
      <c r="S274" s="13">
        <f t="shared" si="69"/>
        <v>0</v>
      </c>
      <c r="T274" s="13">
        <v>100000</v>
      </c>
      <c r="U274" s="13">
        <f t="shared" si="71"/>
        <v>0</v>
      </c>
      <c r="V274" s="4"/>
      <c r="Y274" s="4"/>
    </row>
    <row r="275" spans="2:25" ht="18.75" hidden="1">
      <c r="B275" s="58"/>
      <c r="C275" s="60"/>
      <c r="D275" s="51"/>
      <c r="E275" s="62" t="s">
        <v>102</v>
      </c>
      <c r="F275" s="5">
        <v>0.91666666666666663</v>
      </c>
      <c r="G275" s="65"/>
      <c r="H275" s="66"/>
      <c r="I275" s="34"/>
      <c r="J275" s="6" t="str">
        <f t="shared" si="56"/>
        <v/>
      </c>
      <c r="K275" s="38"/>
      <c r="L275" s="38"/>
      <c r="M275" s="38"/>
      <c r="N275" s="38"/>
      <c r="O275" s="38"/>
      <c r="P275" s="38"/>
      <c r="Q275" s="38"/>
      <c r="R275" s="38"/>
      <c r="S275" s="7">
        <f t="shared" si="69"/>
        <v>0</v>
      </c>
      <c r="T275" s="7">
        <v>100000</v>
      </c>
      <c r="U275" s="7">
        <f t="shared" si="71"/>
        <v>0</v>
      </c>
      <c r="V275" s="4"/>
      <c r="Y275" s="4"/>
    </row>
    <row r="276" spans="2:25" ht="18.75" hidden="1">
      <c r="B276" s="58"/>
      <c r="C276" s="60"/>
      <c r="D276" s="52"/>
      <c r="E276" s="63"/>
      <c r="F276" s="8">
        <v>1</v>
      </c>
      <c r="G276" s="67"/>
      <c r="H276" s="68"/>
      <c r="I276" s="35"/>
      <c r="J276" s="9" t="str">
        <f t="shared" si="56"/>
        <v/>
      </c>
      <c r="K276" s="39"/>
      <c r="L276" s="39"/>
      <c r="M276" s="39"/>
      <c r="N276" s="39"/>
      <c r="O276" s="39"/>
      <c r="P276" s="39"/>
      <c r="Q276" s="39"/>
      <c r="R276" s="39"/>
      <c r="S276" s="10">
        <f t="shared" si="69"/>
        <v>0</v>
      </c>
      <c r="T276" s="10">
        <v>100000</v>
      </c>
      <c r="U276" s="10">
        <f t="shared" si="71"/>
        <v>0</v>
      </c>
      <c r="V276" s="4"/>
      <c r="Y276" s="4"/>
    </row>
    <row r="277" spans="2:25" ht="18.75" hidden="1">
      <c r="B277" s="58"/>
      <c r="C277" s="60"/>
      <c r="D277" s="52"/>
      <c r="E277" s="63"/>
      <c r="F277" s="8">
        <v>8.3333333333333329E-2</v>
      </c>
      <c r="G277" s="67"/>
      <c r="H277" s="68"/>
      <c r="I277" s="35"/>
      <c r="J277" s="9" t="str">
        <f t="shared" si="56"/>
        <v/>
      </c>
      <c r="K277" s="39"/>
      <c r="L277" s="39"/>
      <c r="M277" s="39"/>
      <c r="N277" s="39"/>
      <c r="O277" s="39"/>
      <c r="P277" s="39"/>
      <c r="Q277" s="39"/>
      <c r="R277" s="39"/>
      <c r="S277" s="10">
        <f t="shared" si="69"/>
        <v>0</v>
      </c>
      <c r="T277" s="10">
        <v>100000</v>
      </c>
      <c r="U277" s="10">
        <f t="shared" si="71"/>
        <v>0</v>
      </c>
      <c r="V277" s="4"/>
      <c r="Y277" s="4"/>
    </row>
    <row r="278" spans="2:25" ht="18.75" hidden="1">
      <c r="B278" s="58"/>
      <c r="C278" s="60"/>
      <c r="D278" s="52"/>
      <c r="E278" s="63"/>
      <c r="F278" s="8">
        <v>0.16666666666666666</v>
      </c>
      <c r="G278" s="67"/>
      <c r="H278" s="68"/>
      <c r="I278" s="35"/>
      <c r="J278" s="9" t="str">
        <f t="shared" si="56"/>
        <v/>
      </c>
      <c r="K278" s="39"/>
      <c r="L278" s="39"/>
      <c r="M278" s="39"/>
      <c r="N278" s="39"/>
      <c r="O278" s="39"/>
      <c r="P278" s="39"/>
      <c r="Q278" s="39"/>
      <c r="R278" s="39"/>
      <c r="S278" s="10">
        <f t="shared" si="69"/>
        <v>0</v>
      </c>
      <c r="T278" s="10">
        <v>100000</v>
      </c>
      <c r="U278" s="10">
        <f t="shared" si="71"/>
        <v>0</v>
      </c>
      <c r="V278" s="4"/>
      <c r="W278" s="4"/>
      <c r="X278" s="4"/>
      <c r="Y278" s="4"/>
    </row>
    <row r="279" spans="2:25" ht="18.75" hidden="1">
      <c r="B279" s="58"/>
      <c r="C279" s="60"/>
      <c r="D279" s="52"/>
      <c r="E279" s="63"/>
      <c r="F279" s="8">
        <v>0.25</v>
      </c>
      <c r="G279" s="67"/>
      <c r="H279" s="68"/>
      <c r="I279" s="35"/>
      <c r="J279" s="9" t="str">
        <f t="shared" si="56"/>
        <v/>
      </c>
      <c r="K279" s="39"/>
      <c r="L279" s="39"/>
      <c r="M279" s="39"/>
      <c r="N279" s="39"/>
      <c r="O279" s="39"/>
      <c r="P279" s="39"/>
      <c r="Q279" s="39"/>
      <c r="R279" s="39"/>
      <c r="S279" s="10">
        <f t="shared" si="69"/>
        <v>0</v>
      </c>
      <c r="T279" s="10">
        <v>100000</v>
      </c>
      <c r="U279" s="10">
        <f t="shared" si="71"/>
        <v>0</v>
      </c>
      <c r="V279" s="4"/>
      <c r="Y279" s="4"/>
    </row>
    <row r="280" spans="2:25" ht="18.75" hidden="1">
      <c r="B280" s="58"/>
      <c r="C280" s="61"/>
      <c r="D280" s="53"/>
      <c r="E280" s="69"/>
      <c r="F280" s="14">
        <v>0.33333333333333331</v>
      </c>
      <c r="G280" s="67"/>
      <c r="H280" s="68"/>
      <c r="I280" s="37"/>
      <c r="J280" s="15" t="str">
        <f t="shared" si="56"/>
        <v/>
      </c>
      <c r="K280" s="40"/>
      <c r="L280" s="40"/>
      <c r="M280" s="40"/>
      <c r="N280" s="40"/>
      <c r="O280" s="40"/>
      <c r="P280" s="40"/>
      <c r="Q280" s="40"/>
      <c r="R280" s="40"/>
      <c r="S280" s="16">
        <f t="shared" si="69"/>
        <v>0</v>
      </c>
      <c r="T280" s="16">
        <v>100000</v>
      </c>
      <c r="U280" s="16">
        <f t="shared" si="71"/>
        <v>0</v>
      </c>
      <c r="V280" s="4"/>
      <c r="W280" s="4"/>
      <c r="X280" s="4"/>
      <c r="Y280" s="4"/>
    </row>
    <row r="281" spans="2:25" ht="16.5" hidden="1" customHeight="1">
      <c r="B281" s="58">
        <v>46104</v>
      </c>
      <c r="C281" s="59" t="s">
        <v>15</v>
      </c>
      <c r="D281" s="51" t="s">
        <v>57</v>
      </c>
      <c r="E281" s="62" t="s">
        <v>101</v>
      </c>
      <c r="F281" s="5">
        <v>0.41666666666666669</v>
      </c>
      <c r="G281" s="65" t="s">
        <v>83</v>
      </c>
      <c r="H281" s="66"/>
      <c r="I281" s="34"/>
      <c r="J281" s="6" t="str">
        <f t="shared" si="56"/>
        <v/>
      </c>
      <c r="K281" s="38"/>
      <c r="L281" s="38"/>
      <c r="M281" s="38"/>
      <c r="N281" s="38"/>
      <c r="O281" s="38"/>
      <c r="P281" s="38"/>
      <c r="Q281" s="38"/>
      <c r="R281" s="38"/>
      <c r="S281" s="7">
        <f>SUM(K281:R281)</f>
        <v>0</v>
      </c>
      <c r="T281" s="7">
        <v>100000</v>
      </c>
      <c r="U281" s="7">
        <f>T281*S281</f>
        <v>0</v>
      </c>
      <c r="V281" s="4"/>
      <c r="W281" s="4"/>
      <c r="X281" s="4"/>
      <c r="Y281" s="4"/>
    </row>
    <row r="282" spans="2:25" ht="18.75" hidden="1">
      <c r="B282" s="58"/>
      <c r="C282" s="60"/>
      <c r="D282" s="52" t="s">
        <v>57</v>
      </c>
      <c r="E282" s="63"/>
      <c r="F282" s="8">
        <v>0.5</v>
      </c>
      <c r="G282" s="67" t="s">
        <v>83</v>
      </c>
      <c r="H282" s="68"/>
      <c r="I282" s="35">
        <v>72</v>
      </c>
      <c r="J282" s="9">
        <f t="shared" si="56"/>
        <v>0.1388888888888889</v>
      </c>
      <c r="K282" s="39"/>
      <c r="L282" s="39"/>
      <c r="M282" s="39"/>
      <c r="N282" s="39"/>
      <c r="O282" s="39"/>
      <c r="P282" s="39"/>
      <c r="Q282" s="39">
        <v>10</v>
      </c>
      <c r="R282" s="39"/>
      <c r="S282" s="10">
        <f t="shared" ref="S282:S292" si="72">SUM(K282:R282)</f>
        <v>10</v>
      </c>
      <c r="T282" s="10">
        <v>100000</v>
      </c>
      <c r="U282" s="10">
        <f t="shared" ref="U282:U283" si="73">T282*S282</f>
        <v>1000000</v>
      </c>
      <c r="V282" s="4"/>
      <c r="W282" s="4"/>
      <c r="X282" s="4"/>
      <c r="Y282" s="4"/>
    </row>
    <row r="283" spans="2:25" ht="18.75" hidden="1">
      <c r="B283" s="58"/>
      <c r="C283" s="60"/>
      <c r="D283" s="52" t="s">
        <v>57</v>
      </c>
      <c r="E283" s="63"/>
      <c r="F283" s="8">
        <v>0.58333333333333337</v>
      </c>
      <c r="G283" s="67" t="s">
        <v>83</v>
      </c>
      <c r="H283" s="68"/>
      <c r="I283" s="35">
        <v>72</v>
      </c>
      <c r="J283" s="9">
        <f t="shared" si="56"/>
        <v>0</v>
      </c>
      <c r="K283" s="39"/>
      <c r="L283" s="39"/>
      <c r="M283" s="39"/>
      <c r="N283" s="39"/>
      <c r="O283" s="39"/>
      <c r="P283" s="39"/>
      <c r="Q283" s="39"/>
      <c r="R283" s="39"/>
      <c r="S283" s="10">
        <f t="shared" si="72"/>
        <v>0</v>
      </c>
      <c r="T283" s="10">
        <v>100000</v>
      </c>
      <c r="U283" s="10">
        <f t="shared" si="73"/>
        <v>0</v>
      </c>
      <c r="V283" s="4"/>
      <c r="W283" s="4"/>
      <c r="X283" s="4"/>
      <c r="Y283" s="4"/>
    </row>
    <row r="284" spans="2:25" ht="18.75" hidden="1">
      <c r="B284" s="58"/>
      <c r="C284" s="60"/>
      <c r="D284" s="52" t="s">
        <v>57</v>
      </c>
      <c r="E284" s="63"/>
      <c r="F284" s="8">
        <v>0.66666666666666663</v>
      </c>
      <c r="G284" s="67" t="s">
        <v>83</v>
      </c>
      <c r="H284" s="68"/>
      <c r="I284" s="35">
        <v>72</v>
      </c>
      <c r="J284" s="9">
        <f t="shared" si="56"/>
        <v>0</v>
      </c>
      <c r="K284" s="39"/>
      <c r="L284" s="39"/>
      <c r="M284" s="39"/>
      <c r="N284" s="39"/>
      <c r="O284" s="39"/>
      <c r="P284" s="39"/>
      <c r="Q284" s="39"/>
      <c r="R284" s="39"/>
      <c r="S284" s="10">
        <f t="shared" si="72"/>
        <v>0</v>
      </c>
      <c r="T284" s="10">
        <v>100000</v>
      </c>
      <c r="U284" s="10">
        <f>T284*S284</f>
        <v>0</v>
      </c>
      <c r="V284" s="4"/>
      <c r="W284" s="4"/>
      <c r="X284" s="4"/>
      <c r="Y284" s="4"/>
    </row>
    <row r="285" spans="2:25" ht="18.75" hidden="1">
      <c r="B285" s="58"/>
      <c r="C285" s="60"/>
      <c r="D285" s="52" t="s">
        <v>57</v>
      </c>
      <c r="E285" s="63"/>
      <c r="F285" s="8">
        <v>0.75</v>
      </c>
      <c r="G285" s="67" t="s">
        <v>83</v>
      </c>
      <c r="H285" s="68"/>
      <c r="I285" s="35">
        <v>72</v>
      </c>
      <c r="J285" s="9">
        <f t="shared" ref="J285:J296" si="74">IFERROR(S285/I285,"")</f>
        <v>0</v>
      </c>
      <c r="K285" s="39"/>
      <c r="L285" s="39"/>
      <c r="M285" s="39"/>
      <c r="N285" s="39"/>
      <c r="O285" s="39"/>
      <c r="P285" s="39"/>
      <c r="Q285" s="39"/>
      <c r="R285" s="39"/>
      <c r="S285" s="10">
        <f t="shared" si="72"/>
        <v>0</v>
      </c>
      <c r="T285" s="10">
        <v>100000</v>
      </c>
      <c r="U285" s="10">
        <f t="shared" ref="U285:U292" si="75">T285*S285</f>
        <v>0</v>
      </c>
      <c r="V285" s="4"/>
      <c r="W285" s="4"/>
      <c r="X285" s="11"/>
      <c r="Y285" s="4"/>
    </row>
    <row r="286" spans="2:25" ht="18.75" hidden="1">
      <c r="B286" s="58"/>
      <c r="C286" s="60"/>
      <c r="D286" s="53" t="s">
        <v>57</v>
      </c>
      <c r="E286" s="64"/>
      <c r="F286" s="12">
        <v>0.83333333333333337</v>
      </c>
      <c r="G286" s="67" t="s">
        <v>83</v>
      </c>
      <c r="H286" s="68"/>
      <c r="I286" s="36">
        <v>72</v>
      </c>
      <c r="J286" s="9">
        <f t="shared" si="74"/>
        <v>0</v>
      </c>
      <c r="K286" s="41"/>
      <c r="L286" s="41"/>
      <c r="M286" s="41"/>
      <c r="N286" s="41"/>
      <c r="O286" s="41"/>
      <c r="P286" s="41"/>
      <c r="Q286" s="41"/>
      <c r="R286" s="41"/>
      <c r="S286" s="13">
        <f t="shared" si="72"/>
        <v>0</v>
      </c>
      <c r="T286" s="13">
        <v>100000</v>
      </c>
      <c r="U286" s="13">
        <f t="shared" si="75"/>
        <v>0</v>
      </c>
      <c r="V286" s="4"/>
      <c r="Y286" s="4"/>
    </row>
    <row r="287" spans="2:25" ht="18.75" hidden="1">
      <c r="B287" s="58"/>
      <c r="C287" s="60"/>
      <c r="D287" s="51"/>
      <c r="E287" s="62" t="s">
        <v>102</v>
      </c>
      <c r="F287" s="5">
        <v>0.91666666666666663</v>
      </c>
      <c r="G287" s="65"/>
      <c r="H287" s="66"/>
      <c r="I287" s="34"/>
      <c r="J287" s="6" t="str">
        <f t="shared" si="74"/>
        <v/>
      </c>
      <c r="K287" s="38"/>
      <c r="L287" s="38"/>
      <c r="M287" s="38"/>
      <c r="N287" s="38"/>
      <c r="O287" s="38"/>
      <c r="P287" s="38"/>
      <c r="Q287" s="38"/>
      <c r="R287" s="38"/>
      <c r="S287" s="7">
        <f t="shared" si="72"/>
        <v>0</v>
      </c>
      <c r="T287" s="7">
        <v>100000</v>
      </c>
      <c r="U287" s="7">
        <f t="shared" si="75"/>
        <v>0</v>
      </c>
      <c r="V287" s="4"/>
      <c r="Y287" s="4"/>
    </row>
    <row r="288" spans="2:25" ht="18.75" hidden="1">
      <c r="B288" s="58"/>
      <c r="C288" s="60"/>
      <c r="D288" s="52"/>
      <c r="E288" s="63"/>
      <c r="F288" s="8">
        <v>1</v>
      </c>
      <c r="G288" s="67"/>
      <c r="H288" s="68"/>
      <c r="I288" s="35"/>
      <c r="J288" s="9" t="str">
        <f t="shared" si="74"/>
        <v/>
      </c>
      <c r="K288" s="39"/>
      <c r="L288" s="39"/>
      <c r="M288" s="39"/>
      <c r="N288" s="39"/>
      <c r="O288" s="39"/>
      <c r="P288" s="39"/>
      <c r="Q288" s="39"/>
      <c r="R288" s="39"/>
      <c r="S288" s="10">
        <f t="shared" si="72"/>
        <v>0</v>
      </c>
      <c r="T288" s="10">
        <v>100000</v>
      </c>
      <c r="U288" s="10">
        <f t="shared" si="75"/>
        <v>0</v>
      </c>
      <c r="V288" s="4"/>
      <c r="Y288" s="4"/>
    </row>
    <row r="289" spans="2:25" ht="18.75" hidden="1">
      <c r="B289" s="58"/>
      <c r="C289" s="60"/>
      <c r="D289" s="52"/>
      <c r="E289" s="63"/>
      <c r="F289" s="8">
        <v>8.3333333333333329E-2</v>
      </c>
      <c r="G289" s="67"/>
      <c r="H289" s="68"/>
      <c r="I289" s="35"/>
      <c r="J289" s="9" t="str">
        <f t="shared" si="74"/>
        <v/>
      </c>
      <c r="K289" s="39"/>
      <c r="L289" s="39"/>
      <c r="M289" s="39"/>
      <c r="N289" s="39"/>
      <c r="O289" s="39"/>
      <c r="P289" s="39"/>
      <c r="Q289" s="39"/>
      <c r="R289" s="39"/>
      <c r="S289" s="10">
        <f t="shared" si="72"/>
        <v>0</v>
      </c>
      <c r="T289" s="10">
        <v>100000</v>
      </c>
      <c r="U289" s="10">
        <f t="shared" si="75"/>
        <v>0</v>
      </c>
      <c r="V289" s="4"/>
      <c r="Y289" s="4"/>
    </row>
    <row r="290" spans="2:25" ht="18.75" hidden="1">
      <c r="B290" s="58"/>
      <c r="C290" s="60"/>
      <c r="D290" s="52"/>
      <c r="E290" s="63"/>
      <c r="F290" s="8">
        <v>0.16666666666666666</v>
      </c>
      <c r="G290" s="67"/>
      <c r="H290" s="68"/>
      <c r="I290" s="35"/>
      <c r="J290" s="9" t="str">
        <f t="shared" si="74"/>
        <v/>
      </c>
      <c r="K290" s="39"/>
      <c r="L290" s="39"/>
      <c r="M290" s="39"/>
      <c r="N290" s="39"/>
      <c r="O290" s="39"/>
      <c r="P290" s="39"/>
      <c r="Q290" s="39"/>
      <c r="R290" s="39"/>
      <c r="S290" s="10">
        <f t="shared" si="72"/>
        <v>0</v>
      </c>
      <c r="T290" s="10">
        <v>100000</v>
      </c>
      <c r="U290" s="10">
        <f t="shared" si="75"/>
        <v>0</v>
      </c>
      <c r="V290" s="4"/>
      <c r="W290" s="4"/>
      <c r="X290" s="4"/>
      <c r="Y290" s="4"/>
    </row>
    <row r="291" spans="2:25" ht="18.75" hidden="1">
      <c r="B291" s="58"/>
      <c r="C291" s="60"/>
      <c r="D291" s="52"/>
      <c r="E291" s="63"/>
      <c r="F291" s="8">
        <v>0.25</v>
      </c>
      <c r="G291" s="67"/>
      <c r="H291" s="68"/>
      <c r="I291" s="35"/>
      <c r="J291" s="9" t="str">
        <f t="shared" si="74"/>
        <v/>
      </c>
      <c r="K291" s="39"/>
      <c r="L291" s="39"/>
      <c r="M291" s="39"/>
      <c r="N291" s="39"/>
      <c r="O291" s="39"/>
      <c r="P291" s="39"/>
      <c r="Q291" s="39"/>
      <c r="R291" s="39"/>
      <c r="S291" s="10">
        <f t="shared" si="72"/>
        <v>0</v>
      </c>
      <c r="T291" s="10">
        <v>100000</v>
      </c>
      <c r="U291" s="10">
        <f t="shared" si="75"/>
        <v>0</v>
      </c>
      <c r="V291" s="4"/>
      <c r="Y291" s="4"/>
    </row>
    <row r="292" spans="2:25" ht="18.75" hidden="1">
      <c r="B292" s="58"/>
      <c r="C292" s="61"/>
      <c r="D292" s="53"/>
      <c r="E292" s="69"/>
      <c r="F292" s="14">
        <v>0.33333333333333331</v>
      </c>
      <c r="G292" s="67"/>
      <c r="H292" s="68"/>
      <c r="I292" s="37"/>
      <c r="J292" s="15" t="str">
        <f t="shared" si="74"/>
        <v/>
      </c>
      <c r="K292" s="40"/>
      <c r="L292" s="40"/>
      <c r="M292" s="40"/>
      <c r="N292" s="40"/>
      <c r="O292" s="40"/>
      <c r="P292" s="40"/>
      <c r="Q292" s="40"/>
      <c r="R292" s="40"/>
      <c r="S292" s="16">
        <f t="shared" si="72"/>
        <v>0</v>
      </c>
      <c r="T292" s="16">
        <v>100000</v>
      </c>
      <c r="U292" s="16">
        <f t="shared" si="75"/>
        <v>0</v>
      </c>
      <c r="V292" s="4"/>
      <c r="W292" s="4"/>
      <c r="X292" s="4"/>
      <c r="Y292" s="4"/>
    </row>
    <row r="293" spans="2:25" ht="16.5" hidden="1" customHeight="1">
      <c r="B293" s="58">
        <v>46105</v>
      </c>
      <c r="C293" s="59" t="s">
        <v>15</v>
      </c>
      <c r="D293" s="51" t="s">
        <v>57</v>
      </c>
      <c r="E293" s="62" t="s">
        <v>101</v>
      </c>
      <c r="F293" s="5">
        <v>0.41666666666666669</v>
      </c>
      <c r="G293" s="65" t="s">
        <v>83</v>
      </c>
      <c r="H293" s="66"/>
      <c r="I293" s="34">
        <v>70</v>
      </c>
      <c r="J293" s="6">
        <f t="shared" si="74"/>
        <v>2.8571428571428571E-2</v>
      </c>
      <c r="K293" s="38"/>
      <c r="L293" s="38"/>
      <c r="M293" s="38">
        <v>2</v>
      </c>
      <c r="N293" s="38"/>
      <c r="O293" s="38"/>
      <c r="P293" s="38"/>
      <c r="Q293" s="38"/>
      <c r="R293" s="38"/>
      <c r="S293" s="7">
        <f>SUM(K293:R293)</f>
        <v>2</v>
      </c>
      <c r="T293" s="7">
        <v>100000</v>
      </c>
      <c r="U293" s="7">
        <f>T293*S293</f>
        <v>200000</v>
      </c>
      <c r="V293" s="4"/>
      <c r="W293" s="4"/>
      <c r="X293" s="4"/>
      <c r="Y293" s="4"/>
    </row>
    <row r="294" spans="2:25" ht="18.75" hidden="1">
      <c r="B294" s="58"/>
      <c r="C294" s="60"/>
      <c r="D294" s="52" t="s">
        <v>57</v>
      </c>
      <c r="E294" s="63"/>
      <c r="F294" s="8">
        <v>0.5</v>
      </c>
      <c r="G294" s="67" t="s">
        <v>83</v>
      </c>
      <c r="H294" s="68"/>
      <c r="I294" s="35">
        <v>50</v>
      </c>
      <c r="J294" s="9">
        <f t="shared" si="74"/>
        <v>0.16</v>
      </c>
      <c r="K294" s="39"/>
      <c r="L294" s="39"/>
      <c r="M294" s="39">
        <v>8</v>
      </c>
      <c r="N294" s="39"/>
      <c r="O294" s="39"/>
      <c r="P294" s="39"/>
      <c r="Q294" s="39"/>
      <c r="R294" s="39"/>
      <c r="S294" s="10">
        <f t="shared" ref="S294:S304" si="76">SUM(K294:R294)</f>
        <v>8</v>
      </c>
      <c r="T294" s="10">
        <v>100000</v>
      </c>
      <c r="U294" s="10">
        <f t="shared" ref="U294:U295" si="77">T294*S294</f>
        <v>800000</v>
      </c>
      <c r="V294" s="4"/>
      <c r="W294" s="4"/>
      <c r="X294" s="4"/>
      <c r="Y294" s="4"/>
    </row>
    <row r="295" spans="2:25" ht="18.75" hidden="1">
      <c r="B295" s="58"/>
      <c r="C295" s="60"/>
      <c r="D295" s="52" t="s">
        <v>57</v>
      </c>
      <c r="E295" s="63"/>
      <c r="F295" s="8">
        <v>0.58333333333333337</v>
      </c>
      <c r="G295" s="67" t="s">
        <v>83</v>
      </c>
      <c r="H295" s="68"/>
      <c r="I295" s="35">
        <v>72</v>
      </c>
      <c r="J295" s="9">
        <f t="shared" si="74"/>
        <v>0</v>
      </c>
      <c r="K295" s="39"/>
      <c r="L295" s="39"/>
      <c r="M295" s="39"/>
      <c r="N295" s="39"/>
      <c r="O295" s="39"/>
      <c r="P295" s="39"/>
      <c r="Q295" s="39"/>
      <c r="R295" s="39"/>
      <c r="S295" s="10">
        <f t="shared" si="76"/>
        <v>0</v>
      </c>
      <c r="T295" s="10">
        <v>100000</v>
      </c>
      <c r="U295" s="10">
        <f t="shared" si="77"/>
        <v>0</v>
      </c>
      <c r="V295" s="4"/>
      <c r="W295" s="4"/>
      <c r="X295" s="4"/>
      <c r="Y295" s="4"/>
    </row>
    <row r="296" spans="2:25" ht="18.75" hidden="1">
      <c r="B296" s="58"/>
      <c r="C296" s="60"/>
      <c r="D296" s="52" t="s">
        <v>57</v>
      </c>
      <c r="E296" s="63"/>
      <c r="F296" s="8">
        <v>0.66666666666666663</v>
      </c>
      <c r="G296" s="67" t="s">
        <v>83</v>
      </c>
      <c r="H296" s="68"/>
      <c r="I296" s="35">
        <v>72</v>
      </c>
      <c r="J296" s="9">
        <f t="shared" si="74"/>
        <v>0</v>
      </c>
      <c r="K296" s="39"/>
      <c r="L296" s="39"/>
      <c r="M296" s="39"/>
      <c r="N296" s="39"/>
      <c r="O296" s="39"/>
      <c r="P296" s="39"/>
      <c r="Q296" s="39"/>
      <c r="R296" s="39"/>
      <c r="S296" s="10">
        <f t="shared" si="76"/>
        <v>0</v>
      </c>
      <c r="T296" s="10">
        <v>100000</v>
      </c>
      <c r="U296" s="10">
        <f>T296*S296</f>
        <v>0</v>
      </c>
      <c r="V296" s="4"/>
      <c r="W296" s="4"/>
      <c r="X296" s="4"/>
      <c r="Y296" s="4"/>
    </row>
    <row r="297" spans="2:25" ht="18.75" hidden="1">
      <c r="B297" s="58"/>
      <c r="C297" s="60"/>
      <c r="D297" s="52" t="s">
        <v>57</v>
      </c>
      <c r="E297" s="63"/>
      <c r="F297" s="8">
        <v>0.75</v>
      </c>
      <c r="G297" s="67" t="s">
        <v>83</v>
      </c>
      <c r="H297" s="68"/>
      <c r="I297" s="35">
        <v>72</v>
      </c>
      <c r="J297" s="9">
        <f t="shared" ref="J297:J308" si="78">IFERROR(S297/I297,"")</f>
        <v>0</v>
      </c>
      <c r="K297" s="39"/>
      <c r="L297" s="39"/>
      <c r="M297" s="39"/>
      <c r="N297" s="39"/>
      <c r="O297" s="39"/>
      <c r="P297" s="39"/>
      <c r="Q297" s="39"/>
      <c r="R297" s="39"/>
      <c r="S297" s="10">
        <f t="shared" si="76"/>
        <v>0</v>
      </c>
      <c r="T297" s="10">
        <v>100000</v>
      </c>
      <c r="U297" s="10">
        <f t="shared" ref="U297:U304" si="79">T297*S297</f>
        <v>0</v>
      </c>
      <c r="V297" s="4"/>
      <c r="W297" s="4"/>
      <c r="X297" s="11"/>
      <c r="Y297" s="4"/>
    </row>
    <row r="298" spans="2:25" ht="18.75" hidden="1">
      <c r="B298" s="58"/>
      <c r="C298" s="60"/>
      <c r="D298" s="53" t="s">
        <v>57</v>
      </c>
      <c r="E298" s="64"/>
      <c r="F298" s="12">
        <v>0.83333333333333337</v>
      </c>
      <c r="G298" s="67" t="s">
        <v>83</v>
      </c>
      <c r="H298" s="68"/>
      <c r="I298" s="36">
        <v>72</v>
      </c>
      <c r="J298" s="9">
        <f t="shared" si="78"/>
        <v>0</v>
      </c>
      <c r="K298" s="41"/>
      <c r="L298" s="41"/>
      <c r="M298" s="41"/>
      <c r="N298" s="41"/>
      <c r="O298" s="41"/>
      <c r="P298" s="41"/>
      <c r="Q298" s="41"/>
      <c r="R298" s="41"/>
      <c r="S298" s="13">
        <f t="shared" si="76"/>
        <v>0</v>
      </c>
      <c r="T298" s="13">
        <v>100000</v>
      </c>
      <c r="U298" s="13">
        <f t="shared" si="79"/>
        <v>0</v>
      </c>
      <c r="V298" s="4"/>
      <c r="Y298" s="4"/>
    </row>
    <row r="299" spans="2:25" ht="18.75" hidden="1">
      <c r="B299" s="58"/>
      <c r="C299" s="60"/>
      <c r="D299" s="51" t="s">
        <v>57</v>
      </c>
      <c r="E299" s="62" t="s">
        <v>102</v>
      </c>
      <c r="F299" s="5">
        <v>0.91666666666666663</v>
      </c>
      <c r="G299" s="65" t="s">
        <v>84</v>
      </c>
      <c r="H299" s="66"/>
      <c r="I299" s="34">
        <v>64</v>
      </c>
      <c r="J299" s="6">
        <f t="shared" si="78"/>
        <v>3.125E-2</v>
      </c>
      <c r="K299" s="38"/>
      <c r="L299" s="38"/>
      <c r="M299" s="38">
        <v>2</v>
      </c>
      <c r="N299" s="38"/>
      <c r="O299" s="38"/>
      <c r="P299" s="38"/>
      <c r="Q299" s="38"/>
      <c r="R299" s="38"/>
      <c r="S299" s="7">
        <f t="shared" si="76"/>
        <v>2</v>
      </c>
      <c r="T299" s="7">
        <v>100000</v>
      </c>
      <c r="U299" s="7">
        <f t="shared" si="79"/>
        <v>200000</v>
      </c>
      <c r="V299" s="4"/>
      <c r="Y299" s="4"/>
    </row>
    <row r="300" spans="2:25" ht="18.75" hidden="1">
      <c r="B300" s="58"/>
      <c r="C300" s="60"/>
      <c r="D300" s="52" t="s">
        <v>57</v>
      </c>
      <c r="E300" s="63"/>
      <c r="F300" s="8">
        <v>1</v>
      </c>
      <c r="G300" s="67" t="s">
        <v>84</v>
      </c>
      <c r="H300" s="68"/>
      <c r="I300" s="35">
        <v>64</v>
      </c>
      <c r="J300" s="9">
        <f t="shared" si="78"/>
        <v>4.6875E-2</v>
      </c>
      <c r="K300" s="39"/>
      <c r="L300" s="39"/>
      <c r="M300" s="39"/>
      <c r="N300" s="39"/>
      <c r="O300" s="39"/>
      <c r="P300" s="39"/>
      <c r="Q300" s="39"/>
      <c r="R300" s="39">
        <v>3</v>
      </c>
      <c r="S300" s="10">
        <f t="shared" si="76"/>
        <v>3</v>
      </c>
      <c r="T300" s="10">
        <v>100000</v>
      </c>
      <c r="U300" s="10">
        <f t="shared" si="79"/>
        <v>300000</v>
      </c>
      <c r="V300" s="4"/>
      <c r="Y300" s="4"/>
    </row>
    <row r="301" spans="2:25" ht="18.75" hidden="1">
      <c r="B301" s="58"/>
      <c r="C301" s="60"/>
      <c r="D301" s="52" t="s">
        <v>57</v>
      </c>
      <c r="E301" s="63"/>
      <c r="F301" s="8">
        <v>8.3333333333333329E-2</v>
      </c>
      <c r="G301" s="67" t="s">
        <v>84</v>
      </c>
      <c r="H301" s="68"/>
      <c r="I301" s="35">
        <v>64</v>
      </c>
      <c r="J301" s="9">
        <f t="shared" si="78"/>
        <v>4.6875E-2</v>
      </c>
      <c r="K301" s="39"/>
      <c r="L301" s="39"/>
      <c r="M301" s="39"/>
      <c r="N301" s="39"/>
      <c r="O301" s="39"/>
      <c r="P301" s="39"/>
      <c r="Q301" s="39"/>
      <c r="R301" s="39">
        <v>3</v>
      </c>
      <c r="S301" s="10">
        <f t="shared" si="76"/>
        <v>3</v>
      </c>
      <c r="T301" s="10">
        <v>100000</v>
      </c>
      <c r="U301" s="10">
        <f t="shared" si="79"/>
        <v>300000</v>
      </c>
      <c r="V301" s="4"/>
      <c r="Y301" s="4"/>
    </row>
    <row r="302" spans="2:25" ht="18.75" hidden="1">
      <c r="B302" s="58"/>
      <c r="C302" s="60"/>
      <c r="D302" s="52" t="s">
        <v>57</v>
      </c>
      <c r="E302" s="63"/>
      <c r="F302" s="8">
        <v>0.16666666666666666</v>
      </c>
      <c r="G302" s="67" t="s">
        <v>84</v>
      </c>
      <c r="H302" s="68"/>
      <c r="I302" s="35">
        <v>64</v>
      </c>
      <c r="J302" s="9">
        <f t="shared" si="78"/>
        <v>1.5625E-2</v>
      </c>
      <c r="K302" s="39"/>
      <c r="L302" s="39"/>
      <c r="M302" s="39">
        <v>1</v>
      </c>
      <c r="N302" s="39"/>
      <c r="O302" s="39"/>
      <c r="P302" s="39"/>
      <c r="Q302" s="39"/>
      <c r="R302" s="39"/>
      <c r="S302" s="10">
        <f t="shared" si="76"/>
        <v>1</v>
      </c>
      <c r="T302" s="10">
        <v>100000</v>
      </c>
      <c r="U302" s="10">
        <f t="shared" si="79"/>
        <v>100000</v>
      </c>
      <c r="V302" s="4"/>
      <c r="W302" s="4"/>
      <c r="X302" s="4"/>
      <c r="Y302" s="4"/>
    </row>
    <row r="303" spans="2:25" ht="18.75" hidden="1">
      <c r="B303" s="58"/>
      <c r="C303" s="60"/>
      <c r="D303" s="52" t="s">
        <v>57</v>
      </c>
      <c r="E303" s="63"/>
      <c r="F303" s="8">
        <v>0.25</v>
      </c>
      <c r="G303" s="67" t="s">
        <v>84</v>
      </c>
      <c r="H303" s="68"/>
      <c r="I303" s="35">
        <v>64</v>
      </c>
      <c r="J303" s="9">
        <f t="shared" si="78"/>
        <v>0</v>
      </c>
      <c r="K303" s="39"/>
      <c r="L303" s="39"/>
      <c r="M303" s="39"/>
      <c r="N303" s="39"/>
      <c r="O303" s="39"/>
      <c r="P303" s="39"/>
      <c r="Q303" s="39"/>
      <c r="R303" s="39"/>
      <c r="S303" s="10">
        <f t="shared" si="76"/>
        <v>0</v>
      </c>
      <c r="T303" s="10">
        <v>100000</v>
      </c>
      <c r="U303" s="10">
        <f t="shared" si="79"/>
        <v>0</v>
      </c>
      <c r="V303" s="4"/>
      <c r="Y303" s="4"/>
    </row>
    <row r="304" spans="2:25" ht="18.75" hidden="1">
      <c r="B304" s="58"/>
      <c r="C304" s="61"/>
      <c r="D304" s="53" t="s">
        <v>57</v>
      </c>
      <c r="E304" s="69"/>
      <c r="F304" s="14">
        <v>0.33333333333333331</v>
      </c>
      <c r="G304" s="67" t="s">
        <v>84</v>
      </c>
      <c r="H304" s="68"/>
      <c r="I304" s="37">
        <v>64</v>
      </c>
      <c r="J304" s="15">
        <f t="shared" si="78"/>
        <v>0</v>
      </c>
      <c r="K304" s="40"/>
      <c r="L304" s="40"/>
      <c r="M304" s="40"/>
      <c r="N304" s="40"/>
      <c r="O304" s="40"/>
      <c r="P304" s="40"/>
      <c r="Q304" s="40"/>
      <c r="R304" s="40"/>
      <c r="S304" s="16">
        <f t="shared" si="76"/>
        <v>0</v>
      </c>
      <c r="T304" s="16">
        <v>100000</v>
      </c>
      <c r="U304" s="16">
        <f t="shared" si="79"/>
        <v>0</v>
      </c>
      <c r="V304" s="4"/>
      <c r="W304" s="4"/>
      <c r="X304" s="4"/>
      <c r="Y304" s="4"/>
    </row>
    <row r="305" spans="2:25" ht="16.5" hidden="1" customHeight="1">
      <c r="B305" s="58">
        <v>46106</v>
      </c>
      <c r="C305" s="59" t="s">
        <v>15</v>
      </c>
      <c r="D305" s="51" t="s">
        <v>57</v>
      </c>
      <c r="E305" s="62" t="s">
        <v>101</v>
      </c>
      <c r="F305" s="5">
        <v>0.41666666666666669</v>
      </c>
      <c r="G305" s="65" t="s">
        <v>75</v>
      </c>
      <c r="H305" s="66"/>
      <c r="I305" s="34">
        <v>68</v>
      </c>
      <c r="J305" s="6">
        <f t="shared" si="78"/>
        <v>0</v>
      </c>
      <c r="K305" s="38"/>
      <c r="L305" s="38"/>
      <c r="M305" s="38"/>
      <c r="N305" s="38"/>
      <c r="O305" s="38"/>
      <c r="P305" s="38"/>
      <c r="Q305" s="38"/>
      <c r="R305" s="38"/>
      <c r="S305" s="7">
        <f>SUM(K305:R305)</f>
        <v>0</v>
      </c>
      <c r="T305" s="7">
        <v>100000</v>
      </c>
      <c r="U305" s="7">
        <f>T305*S305</f>
        <v>0</v>
      </c>
      <c r="V305" s="4"/>
      <c r="W305" s="4"/>
      <c r="X305" s="4"/>
      <c r="Y305" s="4"/>
    </row>
    <row r="306" spans="2:25" ht="18.75" hidden="1">
      <c r="B306" s="58"/>
      <c r="C306" s="60"/>
      <c r="D306" s="52" t="s">
        <v>57</v>
      </c>
      <c r="E306" s="63"/>
      <c r="F306" s="8">
        <v>0.5</v>
      </c>
      <c r="G306" s="67" t="s">
        <v>75</v>
      </c>
      <c r="H306" s="68"/>
      <c r="I306" s="35">
        <v>68</v>
      </c>
      <c r="J306" s="9">
        <f t="shared" si="78"/>
        <v>0</v>
      </c>
      <c r="K306" s="39"/>
      <c r="L306" s="39"/>
      <c r="M306" s="39"/>
      <c r="N306" s="39"/>
      <c r="O306" s="39"/>
      <c r="P306" s="39"/>
      <c r="Q306" s="39"/>
      <c r="R306" s="39"/>
      <c r="S306" s="10">
        <f t="shared" ref="S306:S316" si="80">SUM(K306:R306)</f>
        <v>0</v>
      </c>
      <c r="T306" s="10">
        <v>100000</v>
      </c>
      <c r="U306" s="10">
        <f t="shared" ref="U306:U307" si="81">T306*S306</f>
        <v>0</v>
      </c>
      <c r="V306" s="4"/>
      <c r="W306" s="4"/>
      <c r="X306" s="4"/>
      <c r="Y306" s="4"/>
    </row>
    <row r="307" spans="2:25" ht="18.75" hidden="1">
      <c r="B307" s="58"/>
      <c r="C307" s="60"/>
      <c r="D307" s="52" t="s">
        <v>57</v>
      </c>
      <c r="E307" s="63"/>
      <c r="F307" s="8">
        <v>0.58333333333333337</v>
      </c>
      <c r="G307" s="67" t="s">
        <v>75</v>
      </c>
      <c r="H307" s="68"/>
      <c r="I307" s="35">
        <v>68</v>
      </c>
      <c r="J307" s="9">
        <f t="shared" si="78"/>
        <v>0</v>
      </c>
      <c r="K307" s="39"/>
      <c r="L307" s="39"/>
      <c r="M307" s="39"/>
      <c r="N307" s="39"/>
      <c r="O307" s="39"/>
      <c r="P307" s="39"/>
      <c r="Q307" s="39"/>
      <c r="R307" s="39"/>
      <c r="S307" s="10">
        <f t="shared" si="80"/>
        <v>0</v>
      </c>
      <c r="T307" s="10">
        <v>100000</v>
      </c>
      <c r="U307" s="10">
        <f t="shared" si="81"/>
        <v>0</v>
      </c>
      <c r="V307" s="4"/>
      <c r="W307" s="4"/>
      <c r="X307" s="4"/>
      <c r="Y307" s="4"/>
    </row>
    <row r="308" spans="2:25" ht="18.75" hidden="1">
      <c r="B308" s="58"/>
      <c r="C308" s="60"/>
      <c r="D308" s="52" t="s">
        <v>57</v>
      </c>
      <c r="E308" s="63"/>
      <c r="F308" s="8">
        <v>0.66666666666666663</v>
      </c>
      <c r="G308" s="67" t="s">
        <v>75</v>
      </c>
      <c r="H308" s="68"/>
      <c r="I308" s="35">
        <v>68</v>
      </c>
      <c r="J308" s="9">
        <f t="shared" si="78"/>
        <v>0</v>
      </c>
      <c r="K308" s="39"/>
      <c r="L308" s="39"/>
      <c r="M308" s="39"/>
      <c r="N308" s="39"/>
      <c r="O308" s="39"/>
      <c r="P308" s="39"/>
      <c r="Q308" s="39"/>
      <c r="R308" s="39"/>
      <c r="S308" s="10">
        <f t="shared" si="80"/>
        <v>0</v>
      </c>
      <c r="T308" s="10">
        <v>100000</v>
      </c>
      <c r="U308" s="10">
        <f>T308*S308</f>
        <v>0</v>
      </c>
      <c r="V308" s="4"/>
      <c r="W308" s="4"/>
      <c r="X308" s="4"/>
      <c r="Y308" s="4"/>
    </row>
    <row r="309" spans="2:25" ht="18.75" hidden="1">
      <c r="B309" s="58"/>
      <c r="C309" s="60"/>
      <c r="D309" s="52" t="s">
        <v>57</v>
      </c>
      <c r="E309" s="63"/>
      <c r="F309" s="8">
        <v>0.75</v>
      </c>
      <c r="G309" s="67" t="s">
        <v>75</v>
      </c>
      <c r="H309" s="68"/>
      <c r="I309" s="35">
        <v>40</v>
      </c>
      <c r="J309" s="9">
        <f t="shared" ref="J309:J328" si="82">IFERROR(S309/I309,"")</f>
        <v>2.5000000000000001E-2</v>
      </c>
      <c r="K309" s="39"/>
      <c r="L309" s="39"/>
      <c r="M309" s="39"/>
      <c r="N309" s="39"/>
      <c r="O309" s="39"/>
      <c r="P309" s="39"/>
      <c r="Q309" s="39"/>
      <c r="R309" s="39">
        <v>1</v>
      </c>
      <c r="S309" s="10">
        <f t="shared" si="80"/>
        <v>1</v>
      </c>
      <c r="T309" s="10">
        <v>100000</v>
      </c>
      <c r="U309" s="10">
        <f t="shared" ref="U309:U316" si="83">T309*S309</f>
        <v>100000</v>
      </c>
      <c r="V309" s="4"/>
      <c r="W309" s="4"/>
      <c r="X309" s="11"/>
      <c r="Y309" s="4"/>
    </row>
    <row r="310" spans="2:25" ht="18.75" hidden="1">
      <c r="B310" s="58"/>
      <c r="C310" s="60"/>
      <c r="D310" s="53" t="s">
        <v>57</v>
      </c>
      <c r="E310" s="64"/>
      <c r="F310" s="12">
        <v>0.83333333333333337</v>
      </c>
      <c r="G310" s="67" t="s">
        <v>75</v>
      </c>
      <c r="H310" s="68"/>
      <c r="I310" s="36"/>
      <c r="J310" s="9" t="str">
        <f t="shared" si="82"/>
        <v/>
      </c>
      <c r="K310" s="41"/>
      <c r="L310" s="41"/>
      <c r="M310" s="41"/>
      <c r="N310" s="41"/>
      <c r="O310" s="41"/>
      <c r="P310" s="41"/>
      <c r="Q310" s="41"/>
      <c r="R310" s="41"/>
      <c r="S310" s="13">
        <f t="shared" si="80"/>
        <v>0</v>
      </c>
      <c r="T310" s="13">
        <v>100000</v>
      </c>
      <c r="U310" s="13">
        <f t="shared" si="83"/>
        <v>0</v>
      </c>
      <c r="V310" s="4"/>
      <c r="Y310" s="4"/>
    </row>
    <row r="311" spans="2:25" ht="18.75" hidden="1">
      <c r="B311" s="58"/>
      <c r="C311" s="60"/>
      <c r="D311" s="51" t="s">
        <v>57</v>
      </c>
      <c r="E311" s="62" t="s">
        <v>102</v>
      </c>
      <c r="F311" s="5">
        <v>0.91666666666666663</v>
      </c>
      <c r="G311" s="65" t="s">
        <v>105</v>
      </c>
      <c r="H311" s="66"/>
      <c r="I311" s="34">
        <v>56</v>
      </c>
      <c r="J311" s="6">
        <f t="shared" si="82"/>
        <v>5.3571428571428568E-2</v>
      </c>
      <c r="K311" s="38"/>
      <c r="L311" s="38"/>
      <c r="M311" s="38"/>
      <c r="N311" s="38"/>
      <c r="O311" s="38"/>
      <c r="P311" s="38"/>
      <c r="Q311" s="38"/>
      <c r="R311" s="38">
        <v>3</v>
      </c>
      <c r="S311" s="7">
        <f t="shared" si="80"/>
        <v>3</v>
      </c>
      <c r="T311" s="7">
        <v>100000</v>
      </c>
      <c r="U311" s="7">
        <f t="shared" si="83"/>
        <v>300000</v>
      </c>
      <c r="V311" s="4"/>
      <c r="Y311" s="4"/>
    </row>
    <row r="312" spans="2:25" ht="18.75" hidden="1">
      <c r="B312" s="58"/>
      <c r="C312" s="60"/>
      <c r="D312" s="52" t="s">
        <v>57</v>
      </c>
      <c r="E312" s="63"/>
      <c r="F312" s="8">
        <v>1</v>
      </c>
      <c r="G312" s="67" t="s">
        <v>105</v>
      </c>
      <c r="H312" s="68"/>
      <c r="I312" s="35">
        <v>56</v>
      </c>
      <c r="J312" s="9">
        <f t="shared" si="82"/>
        <v>5.3571428571428568E-2</v>
      </c>
      <c r="K312" s="39"/>
      <c r="L312" s="39"/>
      <c r="M312" s="39"/>
      <c r="N312" s="39"/>
      <c r="O312" s="39"/>
      <c r="P312" s="39"/>
      <c r="Q312" s="39"/>
      <c r="R312" s="39">
        <v>3</v>
      </c>
      <c r="S312" s="10">
        <f t="shared" si="80"/>
        <v>3</v>
      </c>
      <c r="T312" s="10">
        <v>100000</v>
      </c>
      <c r="U312" s="10">
        <f t="shared" si="83"/>
        <v>300000</v>
      </c>
      <c r="V312" s="4"/>
      <c r="Y312" s="4"/>
    </row>
    <row r="313" spans="2:25" ht="18.75" hidden="1">
      <c r="B313" s="58"/>
      <c r="C313" s="60"/>
      <c r="D313" s="52" t="s">
        <v>57</v>
      </c>
      <c r="E313" s="63"/>
      <c r="F313" s="8">
        <v>8.3333333333333329E-2</v>
      </c>
      <c r="G313" s="67" t="s">
        <v>105</v>
      </c>
      <c r="H313" s="68"/>
      <c r="I313" s="35">
        <v>56</v>
      </c>
      <c r="J313" s="9">
        <f t="shared" si="82"/>
        <v>5.3571428571428568E-2</v>
      </c>
      <c r="K313" s="39"/>
      <c r="L313" s="39"/>
      <c r="M313" s="39"/>
      <c r="N313" s="39"/>
      <c r="O313" s="39"/>
      <c r="P313" s="39"/>
      <c r="Q313" s="39"/>
      <c r="R313" s="39">
        <v>3</v>
      </c>
      <c r="S313" s="10">
        <f t="shared" si="80"/>
        <v>3</v>
      </c>
      <c r="T313" s="10">
        <v>100000</v>
      </c>
      <c r="U313" s="10">
        <f t="shared" si="83"/>
        <v>300000</v>
      </c>
      <c r="V313" s="4"/>
      <c r="Y313" s="4"/>
    </row>
    <row r="314" spans="2:25" ht="18.75" hidden="1">
      <c r="B314" s="58"/>
      <c r="C314" s="60"/>
      <c r="D314" s="52" t="s">
        <v>57</v>
      </c>
      <c r="E314" s="63"/>
      <c r="F314" s="8">
        <v>0.16666666666666666</v>
      </c>
      <c r="G314" s="67" t="s">
        <v>105</v>
      </c>
      <c r="H314" s="68"/>
      <c r="I314" s="35">
        <v>56</v>
      </c>
      <c r="J314" s="9">
        <f t="shared" si="82"/>
        <v>7.1428571428571425E-2</v>
      </c>
      <c r="K314" s="39"/>
      <c r="L314" s="39"/>
      <c r="M314" s="39"/>
      <c r="N314" s="39"/>
      <c r="O314" s="39"/>
      <c r="P314" s="39"/>
      <c r="Q314" s="39"/>
      <c r="R314" s="39">
        <v>4</v>
      </c>
      <c r="S314" s="10">
        <f t="shared" si="80"/>
        <v>4</v>
      </c>
      <c r="T314" s="10">
        <v>100000</v>
      </c>
      <c r="U314" s="10">
        <f t="shared" si="83"/>
        <v>400000</v>
      </c>
      <c r="V314" s="4"/>
      <c r="W314" s="4"/>
      <c r="X314" s="4"/>
      <c r="Y314" s="4"/>
    </row>
    <row r="315" spans="2:25" ht="18.75" hidden="1">
      <c r="B315" s="58"/>
      <c r="C315" s="60"/>
      <c r="D315" s="52" t="s">
        <v>57</v>
      </c>
      <c r="E315" s="63"/>
      <c r="F315" s="8">
        <v>0.25</v>
      </c>
      <c r="G315" s="67" t="s">
        <v>105</v>
      </c>
      <c r="H315" s="68"/>
      <c r="I315" s="35">
        <v>56</v>
      </c>
      <c r="J315" s="9">
        <f t="shared" si="82"/>
        <v>8.9285714285714288E-2</v>
      </c>
      <c r="K315" s="39"/>
      <c r="L315" s="39"/>
      <c r="M315" s="39"/>
      <c r="N315" s="39"/>
      <c r="O315" s="39"/>
      <c r="P315" s="39"/>
      <c r="Q315" s="39"/>
      <c r="R315" s="39">
        <v>5</v>
      </c>
      <c r="S315" s="10">
        <f t="shared" si="80"/>
        <v>5</v>
      </c>
      <c r="T315" s="10">
        <v>100000</v>
      </c>
      <c r="U315" s="10">
        <f t="shared" si="83"/>
        <v>500000</v>
      </c>
      <c r="V315" s="4"/>
      <c r="Y315" s="4"/>
    </row>
    <row r="316" spans="2:25" ht="18.75" hidden="1">
      <c r="B316" s="58"/>
      <c r="C316" s="61"/>
      <c r="D316" s="53" t="s">
        <v>57</v>
      </c>
      <c r="E316" s="69"/>
      <c r="F316" s="14">
        <v>0.33333333333333331</v>
      </c>
      <c r="G316" s="67" t="s">
        <v>105</v>
      </c>
      <c r="H316" s="68"/>
      <c r="I316" s="37">
        <v>56</v>
      </c>
      <c r="J316" s="15">
        <f t="shared" si="82"/>
        <v>5.3571428571428568E-2</v>
      </c>
      <c r="K316" s="40"/>
      <c r="L316" s="40"/>
      <c r="M316" s="40"/>
      <c r="N316" s="40"/>
      <c r="O316" s="40"/>
      <c r="P316" s="40"/>
      <c r="Q316" s="40"/>
      <c r="R316" s="40">
        <v>3</v>
      </c>
      <c r="S316" s="16">
        <f t="shared" si="80"/>
        <v>3</v>
      </c>
      <c r="T316" s="16">
        <v>100000</v>
      </c>
      <c r="U316" s="16">
        <f t="shared" si="83"/>
        <v>300000</v>
      </c>
      <c r="V316" s="4"/>
      <c r="W316" s="4"/>
      <c r="X316" s="4"/>
      <c r="Y316" s="4"/>
    </row>
    <row r="317" spans="2:25" ht="16.5" hidden="1" customHeight="1">
      <c r="B317" s="58">
        <v>46107</v>
      </c>
      <c r="C317" s="59" t="s">
        <v>15</v>
      </c>
      <c r="D317" s="51" t="s">
        <v>46</v>
      </c>
      <c r="E317" s="62" t="s">
        <v>101</v>
      </c>
      <c r="F317" s="5">
        <v>0.41666666666666669</v>
      </c>
      <c r="G317" s="65" t="s">
        <v>104</v>
      </c>
      <c r="H317" s="66"/>
      <c r="I317" s="34">
        <v>70</v>
      </c>
      <c r="J317" s="6">
        <f t="shared" si="82"/>
        <v>7.1428571428571425E-2</v>
      </c>
      <c r="K317" s="38"/>
      <c r="L317" s="38"/>
      <c r="M317" s="38">
        <v>5</v>
      </c>
      <c r="N317" s="38"/>
      <c r="O317" s="38"/>
      <c r="P317" s="38"/>
      <c r="Q317" s="38"/>
      <c r="R317" s="38"/>
      <c r="S317" s="7">
        <f>SUM(K317:R317)</f>
        <v>5</v>
      </c>
      <c r="T317" s="7">
        <v>100000</v>
      </c>
      <c r="U317" s="7">
        <f>T317*S317</f>
        <v>500000</v>
      </c>
      <c r="V317" s="4"/>
      <c r="W317" s="4"/>
      <c r="X317" s="4"/>
      <c r="Y317" s="4"/>
    </row>
    <row r="318" spans="2:25" ht="18.75" hidden="1">
      <c r="B318" s="58"/>
      <c r="C318" s="60"/>
      <c r="D318" s="52" t="s">
        <v>46</v>
      </c>
      <c r="E318" s="63"/>
      <c r="F318" s="8">
        <v>0.5</v>
      </c>
      <c r="G318" s="67" t="s">
        <v>104</v>
      </c>
      <c r="H318" s="68"/>
      <c r="I318" s="35">
        <v>66</v>
      </c>
      <c r="J318" s="9">
        <f t="shared" si="82"/>
        <v>7.575757575757576E-2</v>
      </c>
      <c r="K318" s="39"/>
      <c r="L318" s="39"/>
      <c r="M318" s="39"/>
      <c r="N318" s="39"/>
      <c r="O318" s="39"/>
      <c r="P318" s="39"/>
      <c r="Q318" s="39"/>
      <c r="R318" s="39">
        <v>5</v>
      </c>
      <c r="S318" s="10">
        <f t="shared" ref="S318:S328" si="84">SUM(K318:R318)</f>
        <v>5</v>
      </c>
      <c r="T318" s="10">
        <v>100000</v>
      </c>
      <c r="U318" s="10">
        <f t="shared" ref="U318:U319" si="85">T318*S318</f>
        <v>500000</v>
      </c>
      <c r="V318" s="4"/>
      <c r="W318" s="4"/>
      <c r="X318" s="4"/>
      <c r="Y318" s="4"/>
    </row>
    <row r="319" spans="2:25" ht="18.75" hidden="1">
      <c r="B319" s="58"/>
      <c r="C319" s="60"/>
      <c r="D319" s="52" t="s">
        <v>46</v>
      </c>
      <c r="E319" s="63"/>
      <c r="F319" s="8">
        <v>0.58333333333333337</v>
      </c>
      <c r="G319" s="67" t="s">
        <v>104</v>
      </c>
      <c r="H319" s="68"/>
      <c r="I319" s="35">
        <v>80</v>
      </c>
      <c r="J319" s="9">
        <f t="shared" si="82"/>
        <v>0</v>
      </c>
      <c r="K319" s="39"/>
      <c r="L319" s="39"/>
      <c r="M319" s="39"/>
      <c r="N319" s="39"/>
      <c r="O319" s="39"/>
      <c r="P319" s="39"/>
      <c r="Q319" s="39"/>
      <c r="R319" s="39"/>
      <c r="S319" s="10">
        <f t="shared" si="84"/>
        <v>0</v>
      </c>
      <c r="T319" s="10">
        <v>100000</v>
      </c>
      <c r="U319" s="10">
        <f t="shared" si="85"/>
        <v>0</v>
      </c>
      <c r="V319" s="4"/>
      <c r="W319" s="4"/>
      <c r="X319" s="4"/>
      <c r="Y319" s="4"/>
    </row>
    <row r="320" spans="2:25" ht="18.75" hidden="1">
      <c r="B320" s="58"/>
      <c r="C320" s="60"/>
      <c r="D320" s="52" t="s">
        <v>46</v>
      </c>
      <c r="E320" s="63"/>
      <c r="F320" s="8">
        <v>0.66666666666666663</v>
      </c>
      <c r="G320" s="67" t="s">
        <v>104</v>
      </c>
      <c r="H320" s="68"/>
      <c r="I320" s="35">
        <v>80</v>
      </c>
      <c r="J320" s="9">
        <f t="shared" si="82"/>
        <v>0</v>
      </c>
      <c r="K320" s="39"/>
      <c r="L320" s="39"/>
      <c r="M320" s="39"/>
      <c r="N320" s="39"/>
      <c r="O320" s="39"/>
      <c r="P320" s="39"/>
      <c r="Q320" s="39"/>
      <c r="R320" s="39"/>
      <c r="S320" s="10">
        <f t="shared" si="84"/>
        <v>0</v>
      </c>
      <c r="T320" s="10">
        <v>100000</v>
      </c>
      <c r="U320" s="10">
        <f>T320*S320</f>
        <v>0</v>
      </c>
      <c r="V320" s="4"/>
      <c r="W320" s="4"/>
      <c r="X320" s="4"/>
      <c r="Y320" s="4"/>
    </row>
    <row r="321" spans="2:25" ht="18.75" hidden="1">
      <c r="B321" s="58"/>
      <c r="C321" s="60"/>
      <c r="D321" s="52" t="s">
        <v>46</v>
      </c>
      <c r="E321" s="63"/>
      <c r="F321" s="8">
        <v>0.75</v>
      </c>
      <c r="G321" s="67" t="s">
        <v>104</v>
      </c>
      <c r="H321" s="68"/>
      <c r="I321" s="35">
        <v>80</v>
      </c>
      <c r="J321" s="9">
        <f t="shared" si="82"/>
        <v>0</v>
      </c>
      <c r="K321" s="39"/>
      <c r="L321" s="39"/>
      <c r="M321" s="39"/>
      <c r="N321" s="39"/>
      <c r="O321" s="39"/>
      <c r="P321" s="39"/>
      <c r="Q321" s="39"/>
      <c r="R321" s="39"/>
      <c r="S321" s="10">
        <f t="shared" si="84"/>
        <v>0</v>
      </c>
      <c r="T321" s="10">
        <v>100000</v>
      </c>
      <c r="U321" s="10">
        <f t="shared" ref="U321:U328" si="86">T321*S321</f>
        <v>0</v>
      </c>
      <c r="V321" s="4"/>
      <c r="W321" s="4"/>
      <c r="X321" s="11"/>
      <c r="Y321" s="4"/>
    </row>
    <row r="322" spans="2:25" ht="18.75" hidden="1">
      <c r="B322" s="58"/>
      <c r="C322" s="60"/>
      <c r="D322" s="53" t="s">
        <v>46</v>
      </c>
      <c r="E322" s="64"/>
      <c r="F322" s="12">
        <v>0.83333333333333337</v>
      </c>
      <c r="G322" s="67" t="s">
        <v>104</v>
      </c>
      <c r="H322" s="68"/>
      <c r="I322" s="36">
        <v>80</v>
      </c>
      <c r="J322" s="9">
        <f t="shared" si="82"/>
        <v>0</v>
      </c>
      <c r="K322" s="41"/>
      <c r="L322" s="41"/>
      <c r="M322" s="41"/>
      <c r="N322" s="41"/>
      <c r="O322" s="41"/>
      <c r="P322" s="41"/>
      <c r="Q322" s="41"/>
      <c r="R322" s="41"/>
      <c r="S322" s="13">
        <f t="shared" si="84"/>
        <v>0</v>
      </c>
      <c r="T322" s="13">
        <v>100000</v>
      </c>
      <c r="U322" s="13">
        <f t="shared" si="86"/>
        <v>0</v>
      </c>
      <c r="V322" s="4"/>
      <c r="Y322" s="4"/>
    </row>
    <row r="323" spans="2:25" ht="18.75" hidden="1">
      <c r="B323" s="58"/>
      <c r="C323" s="60"/>
      <c r="D323" s="51"/>
      <c r="E323" s="62" t="s">
        <v>102</v>
      </c>
      <c r="F323" s="5">
        <v>0.91666666666666663</v>
      </c>
      <c r="G323" s="65" t="s">
        <v>82</v>
      </c>
      <c r="H323" s="66"/>
      <c r="I323" s="34"/>
      <c r="J323" s="6" t="str">
        <f t="shared" si="82"/>
        <v/>
      </c>
      <c r="K323" s="38"/>
      <c r="L323" s="38"/>
      <c r="M323" s="38"/>
      <c r="N323" s="38"/>
      <c r="O323" s="38"/>
      <c r="P323" s="38"/>
      <c r="Q323" s="38"/>
      <c r="R323" s="38"/>
      <c r="S323" s="7">
        <f t="shared" si="84"/>
        <v>0</v>
      </c>
      <c r="T323" s="7">
        <v>100000</v>
      </c>
      <c r="U323" s="7">
        <f t="shared" si="86"/>
        <v>0</v>
      </c>
      <c r="V323" s="4"/>
      <c r="Y323" s="4"/>
    </row>
    <row r="324" spans="2:25" ht="18.75" hidden="1">
      <c r="B324" s="58"/>
      <c r="C324" s="60"/>
      <c r="D324" s="52"/>
      <c r="E324" s="63"/>
      <c r="F324" s="8">
        <v>1</v>
      </c>
      <c r="G324" s="67" t="s">
        <v>82</v>
      </c>
      <c r="H324" s="68"/>
      <c r="I324" s="35"/>
      <c r="J324" s="9" t="str">
        <f t="shared" si="82"/>
        <v/>
      </c>
      <c r="K324" s="39"/>
      <c r="L324" s="39"/>
      <c r="M324" s="39"/>
      <c r="N324" s="39"/>
      <c r="O324" s="39"/>
      <c r="P324" s="39"/>
      <c r="Q324" s="39"/>
      <c r="R324" s="39"/>
      <c r="S324" s="10">
        <f t="shared" si="84"/>
        <v>0</v>
      </c>
      <c r="T324" s="10">
        <v>100000</v>
      </c>
      <c r="U324" s="10">
        <f t="shared" si="86"/>
        <v>0</v>
      </c>
      <c r="V324" s="4"/>
      <c r="Y324" s="4"/>
    </row>
    <row r="325" spans="2:25" ht="18.75" hidden="1">
      <c r="B325" s="58"/>
      <c r="C325" s="60"/>
      <c r="D325" s="52"/>
      <c r="E325" s="63"/>
      <c r="F325" s="8">
        <v>8.3333333333333329E-2</v>
      </c>
      <c r="G325" s="67" t="s">
        <v>82</v>
      </c>
      <c r="H325" s="68"/>
      <c r="I325" s="35"/>
      <c r="J325" s="9" t="str">
        <f t="shared" si="82"/>
        <v/>
      </c>
      <c r="K325" s="39"/>
      <c r="L325" s="39"/>
      <c r="M325" s="39"/>
      <c r="N325" s="39"/>
      <c r="O325" s="39"/>
      <c r="P325" s="39"/>
      <c r="Q325" s="39"/>
      <c r="R325" s="39"/>
      <c r="S325" s="10">
        <f t="shared" si="84"/>
        <v>0</v>
      </c>
      <c r="T325" s="10">
        <v>100000</v>
      </c>
      <c r="U325" s="10">
        <f t="shared" si="86"/>
        <v>0</v>
      </c>
      <c r="V325" s="4"/>
      <c r="Y325" s="4"/>
    </row>
    <row r="326" spans="2:25" ht="18.75" hidden="1">
      <c r="B326" s="58"/>
      <c r="C326" s="60"/>
      <c r="D326" s="52"/>
      <c r="E326" s="63"/>
      <c r="F326" s="8">
        <v>0.16666666666666666</v>
      </c>
      <c r="G326" s="67" t="s">
        <v>82</v>
      </c>
      <c r="H326" s="68"/>
      <c r="I326" s="35"/>
      <c r="J326" s="9" t="str">
        <f t="shared" si="82"/>
        <v/>
      </c>
      <c r="K326" s="39"/>
      <c r="L326" s="39"/>
      <c r="M326" s="39"/>
      <c r="N326" s="39"/>
      <c r="O326" s="39"/>
      <c r="P326" s="39"/>
      <c r="Q326" s="39"/>
      <c r="R326" s="39"/>
      <c r="S326" s="10">
        <f t="shared" si="84"/>
        <v>0</v>
      </c>
      <c r="T326" s="10">
        <v>100000</v>
      </c>
      <c r="U326" s="10">
        <f t="shared" si="86"/>
        <v>0</v>
      </c>
      <c r="V326" s="4"/>
      <c r="W326" s="4"/>
      <c r="X326" s="4"/>
      <c r="Y326" s="4"/>
    </row>
    <row r="327" spans="2:25" ht="18.75" hidden="1">
      <c r="B327" s="58"/>
      <c r="C327" s="60"/>
      <c r="D327" s="52"/>
      <c r="E327" s="63"/>
      <c r="F327" s="8">
        <v>0.25</v>
      </c>
      <c r="G327" s="67" t="s">
        <v>82</v>
      </c>
      <c r="H327" s="68"/>
      <c r="I327" s="35">
        <v>53</v>
      </c>
      <c r="J327" s="9">
        <f t="shared" si="82"/>
        <v>0.18867924528301888</v>
      </c>
      <c r="K327" s="39"/>
      <c r="L327" s="39"/>
      <c r="M327" s="39"/>
      <c r="N327" s="39"/>
      <c r="O327" s="39"/>
      <c r="P327" s="39"/>
      <c r="Q327" s="39">
        <v>10</v>
      </c>
      <c r="R327" s="39"/>
      <c r="S327" s="10">
        <f t="shared" si="84"/>
        <v>10</v>
      </c>
      <c r="T327" s="10">
        <v>100000</v>
      </c>
      <c r="U327" s="10">
        <f t="shared" si="86"/>
        <v>1000000</v>
      </c>
      <c r="V327" s="4"/>
      <c r="Y327" s="4"/>
    </row>
    <row r="328" spans="2:25" ht="18.75" hidden="1">
      <c r="B328" s="58"/>
      <c r="C328" s="61"/>
      <c r="D328" s="53"/>
      <c r="E328" s="69"/>
      <c r="F328" s="14">
        <v>0.33333333333333331</v>
      </c>
      <c r="G328" s="67" t="s">
        <v>82</v>
      </c>
      <c r="H328" s="68"/>
      <c r="I328" s="37">
        <v>80</v>
      </c>
      <c r="J328" s="15">
        <f t="shared" si="82"/>
        <v>0</v>
      </c>
      <c r="K328" s="40"/>
      <c r="L328" s="40"/>
      <c r="M328" s="40"/>
      <c r="N328" s="40"/>
      <c r="O328" s="40"/>
      <c r="P328" s="40"/>
      <c r="Q328" s="40"/>
      <c r="R328" s="40"/>
      <c r="S328" s="16">
        <f t="shared" si="84"/>
        <v>0</v>
      </c>
      <c r="T328" s="16">
        <v>100000</v>
      </c>
      <c r="U328" s="16">
        <f t="shared" si="86"/>
        <v>0</v>
      </c>
      <c r="V328" s="4"/>
      <c r="W328" s="4"/>
      <c r="X328" s="4"/>
      <c r="Y328" s="4"/>
    </row>
    <row r="329" spans="2:25" ht="36.75" hidden="1" customHeight="1">
      <c r="B329" s="58">
        <v>46108</v>
      </c>
      <c r="C329" s="59" t="s">
        <v>15</v>
      </c>
      <c r="D329" s="51" t="s">
        <v>43</v>
      </c>
      <c r="E329" s="62" t="s">
        <v>101</v>
      </c>
      <c r="F329" s="5">
        <v>0.41666666666666669</v>
      </c>
      <c r="G329" s="65" t="s">
        <v>104</v>
      </c>
      <c r="H329" s="66"/>
      <c r="I329" s="34">
        <v>40</v>
      </c>
      <c r="J329" s="6">
        <f t="shared" ref="J329:J364" si="87">IFERROR(S329/I329,"")</f>
        <v>0.17499999999999999</v>
      </c>
      <c r="K329" s="38"/>
      <c r="L329" s="38"/>
      <c r="M329" s="38"/>
      <c r="N329" s="38"/>
      <c r="O329" s="38"/>
      <c r="P329" s="38"/>
      <c r="Q329" s="38"/>
      <c r="R329" s="38">
        <v>7</v>
      </c>
      <c r="S329" s="7">
        <f>SUM(K329:R329)</f>
        <v>7</v>
      </c>
      <c r="T329" s="7">
        <v>100000</v>
      </c>
      <c r="U329" s="7">
        <f>T329*S329</f>
        <v>700000</v>
      </c>
      <c r="V329" s="4"/>
      <c r="W329" s="4"/>
      <c r="X329" s="4"/>
      <c r="Y329" s="4"/>
    </row>
    <row r="330" spans="2:25" ht="37.5" hidden="1">
      <c r="B330" s="58"/>
      <c r="C330" s="60"/>
      <c r="D330" s="52" t="s">
        <v>43</v>
      </c>
      <c r="E330" s="63"/>
      <c r="F330" s="8">
        <v>0.5</v>
      </c>
      <c r="G330" s="67" t="s">
        <v>104</v>
      </c>
      <c r="H330" s="68"/>
      <c r="I330" s="35">
        <v>57</v>
      </c>
      <c r="J330" s="9">
        <f t="shared" si="87"/>
        <v>0</v>
      </c>
      <c r="K330" s="39"/>
      <c r="L330" s="39"/>
      <c r="M330" s="39"/>
      <c r="N330" s="39"/>
      <c r="O330" s="39"/>
      <c r="P330" s="39"/>
      <c r="Q330" s="39"/>
      <c r="R330" s="39"/>
      <c r="S330" s="10">
        <f t="shared" ref="S330:S340" si="88">SUM(K330:R330)</f>
        <v>0</v>
      </c>
      <c r="T330" s="10">
        <v>100000</v>
      </c>
      <c r="U330" s="10">
        <f t="shared" ref="U330:U331" si="89">T330*S330</f>
        <v>0</v>
      </c>
      <c r="V330" s="4"/>
      <c r="W330" s="4"/>
      <c r="X330" s="4"/>
      <c r="Y330" s="4"/>
    </row>
    <row r="331" spans="2:25" ht="37.5" hidden="1">
      <c r="B331" s="58"/>
      <c r="C331" s="60"/>
      <c r="D331" s="52" t="s">
        <v>43</v>
      </c>
      <c r="E331" s="63"/>
      <c r="F331" s="8">
        <v>0.58333333333333337</v>
      </c>
      <c r="G331" s="67" t="s">
        <v>104</v>
      </c>
      <c r="H331" s="68"/>
      <c r="I331" s="35">
        <v>57</v>
      </c>
      <c r="J331" s="9">
        <f t="shared" si="87"/>
        <v>0</v>
      </c>
      <c r="K331" s="39"/>
      <c r="L331" s="39"/>
      <c r="M331" s="39"/>
      <c r="N331" s="39"/>
      <c r="O331" s="39"/>
      <c r="P331" s="39"/>
      <c r="Q331" s="39"/>
      <c r="R331" s="39"/>
      <c r="S331" s="10">
        <f t="shared" si="88"/>
        <v>0</v>
      </c>
      <c r="T331" s="10">
        <v>100000</v>
      </c>
      <c r="U331" s="10">
        <f t="shared" si="89"/>
        <v>0</v>
      </c>
      <c r="V331" s="4"/>
      <c r="W331" s="4"/>
      <c r="X331" s="4"/>
      <c r="Y331" s="4"/>
    </row>
    <row r="332" spans="2:25" ht="37.5" hidden="1">
      <c r="B332" s="58"/>
      <c r="C332" s="60"/>
      <c r="D332" s="52" t="s">
        <v>43</v>
      </c>
      <c r="E332" s="63"/>
      <c r="F332" s="8">
        <v>0.66666666666666663</v>
      </c>
      <c r="G332" s="67" t="s">
        <v>104</v>
      </c>
      <c r="H332" s="68"/>
      <c r="I332" s="35">
        <v>57</v>
      </c>
      <c r="J332" s="9">
        <f t="shared" si="87"/>
        <v>0</v>
      </c>
      <c r="K332" s="39"/>
      <c r="L332" s="39"/>
      <c r="M332" s="39"/>
      <c r="N332" s="39"/>
      <c r="O332" s="39"/>
      <c r="P332" s="39"/>
      <c r="Q332" s="39"/>
      <c r="R332" s="39"/>
      <c r="S332" s="10">
        <f t="shared" si="88"/>
        <v>0</v>
      </c>
      <c r="T332" s="10">
        <v>100000</v>
      </c>
      <c r="U332" s="10">
        <f>T332*S332</f>
        <v>0</v>
      </c>
      <c r="V332" s="4"/>
      <c r="W332" s="4"/>
      <c r="X332" s="4"/>
      <c r="Y332" s="4"/>
    </row>
    <row r="333" spans="2:25" ht="37.5" hidden="1">
      <c r="B333" s="58"/>
      <c r="C333" s="60"/>
      <c r="D333" s="52" t="s">
        <v>43</v>
      </c>
      <c r="E333" s="63"/>
      <c r="F333" s="8">
        <v>0.75</v>
      </c>
      <c r="G333" s="67" t="s">
        <v>104</v>
      </c>
      <c r="H333" s="68"/>
      <c r="I333" s="35">
        <v>57</v>
      </c>
      <c r="J333" s="9">
        <f t="shared" si="87"/>
        <v>0</v>
      </c>
      <c r="K333" s="39"/>
      <c r="L333" s="39"/>
      <c r="M333" s="39"/>
      <c r="N333" s="39"/>
      <c r="O333" s="39"/>
      <c r="P333" s="39"/>
      <c r="Q333" s="39"/>
      <c r="R333" s="39"/>
      <c r="S333" s="10">
        <f t="shared" si="88"/>
        <v>0</v>
      </c>
      <c r="T333" s="10">
        <v>100000</v>
      </c>
      <c r="U333" s="10">
        <f t="shared" ref="U333:U340" si="90">T333*S333</f>
        <v>0</v>
      </c>
      <c r="V333" s="4"/>
      <c r="W333" s="4"/>
      <c r="X333" s="11"/>
      <c r="Y333" s="4"/>
    </row>
    <row r="334" spans="2:25" ht="37.5" hidden="1">
      <c r="B334" s="58"/>
      <c r="C334" s="60"/>
      <c r="D334" s="53" t="s">
        <v>43</v>
      </c>
      <c r="E334" s="64"/>
      <c r="F334" s="12">
        <v>0.83333333333333337</v>
      </c>
      <c r="G334" s="67" t="s">
        <v>104</v>
      </c>
      <c r="H334" s="68"/>
      <c r="I334" s="36">
        <v>55</v>
      </c>
      <c r="J334" s="9">
        <f t="shared" si="87"/>
        <v>0</v>
      </c>
      <c r="K334" s="41"/>
      <c r="L334" s="41"/>
      <c r="M334" s="41"/>
      <c r="N334" s="41"/>
      <c r="O334" s="41"/>
      <c r="P334" s="41"/>
      <c r="Q334" s="41"/>
      <c r="R334" s="41"/>
      <c r="S334" s="13">
        <f t="shared" si="88"/>
        <v>0</v>
      </c>
      <c r="T334" s="13">
        <v>100000</v>
      </c>
      <c r="U334" s="13">
        <f t="shared" si="90"/>
        <v>0</v>
      </c>
      <c r="V334" s="4"/>
      <c r="Y334" s="4"/>
    </row>
    <row r="335" spans="2:25" ht="37.5" hidden="1">
      <c r="B335" s="58"/>
      <c r="C335" s="60"/>
      <c r="D335" s="51" t="s">
        <v>43</v>
      </c>
      <c r="E335" s="62" t="s">
        <v>102</v>
      </c>
      <c r="F335" s="5">
        <v>0.91666666666666663</v>
      </c>
      <c r="G335" s="65" t="s">
        <v>105</v>
      </c>
      <c r="H335" s="66"/>
      <c r="I335" s="34"/>
      <c r="J335" s="6" t="str">
        <f t="shared" si="87"/>
        <v/>
      </c>
      <c r="K335" s="38"/>
      <c r="L335" s="38"/>
      <c r="M335" s="38"/>
      <c r="N335" s="38"/>
      <c r="O335" s="38"/>
      <c r="P335" s="38"/>
      <c r="Q335" s="38"/>
      <c r="R335" s="38"/>
      <c r="S335" s="7">
        <f t="shared" si="88"/>
        <v>0</v>
      </c>
      <c r="T335" s="7">
        <v>100000</v>
      </c>
      <c r="U335" s="7">
        <f t="shared" si="90"/>
        <v>0</v>
      </c>
      <c r="V335" s="4"/>
      <c r="Y335" s="4"/>
    </row>
    <row r="336" spans="2:25" ht="37.5" hidden="1">
      <c r="B336" s="58"/>
      <c r="C336" s="60"/>
      <c r="D336" s="52" t="s">
        <v>43</v>
      </c>
      <c r="E336" s="63"/>
      <c r="F336" s="8">
        <v>1</v>
      </c>
      <c r="G336" s="67" t="s">
        <v>105</v>
      </c>
      <c r="H336" s="68"/>
      <c r="I336" s="35"/>
      <c r="J336" s="9" t="str">
        <f t="shared" si="87"/>
        <v/>
      </c>
      <c r="K336" s="39"/>
      <c r="L336" s="39"/>
      <c r="M336" s="39"/>
      <c r="N336" s="39"/>
      <c r="O336" s="39"/>
      <c r="P336" s="39"/>
      <c r="Q336" s="39"/>
      <c r="R336" s="39"/>
      <c r="S336" s="10">
        <f t="shared" si="88"/>
        <v>0</v>
      </c>
      <c r="T336" s="10">
        <v>100000</v>
      </c>
      <c r="U336" s="10">
        <f t="shared" si="90"/>
        <v>0</v>
      </c>
      <c r="V336" s="4"/>
      <c r="Y336" s="4"/>
    </row>
    <row r="337" spans="2:25" ht="37.5" hidden="1">
      <c r="B337" s="58"/>
      <c r="C337" s="60"/>
      <c r="D337" s="52" t="s">
        <v>43</v>
      </c>
      <c r="E337" s="63"/>
      <c r="F337" s="8">
        <v>8.3333333333333329E-2</v>
      </c>
      <c r="G337" s="67" t="s">
        <v>105</v>
      </c>
      <c r="H337" s="68"/>
      <c r="I337" s="35">
        <v>16</v>
      </c>
      <c r="J337" s="9">
        <f t="shared" si="87"/>
        <v>0.625</v>
      </c>
      <c r="K337" s="39"/>
      <c r="L337" s="39"/>
      <c r="M337" s="39"/>
      <c r="N337" s="39"/>
      <c r="O337" s="39"/>
      <c r="P337" s="39"/>
      <c r="Q337" s="39">
        <v>10</v>
      </c>
      <c r="R337" s="39"/>
      <c r="S337" s="10">
        <f t="shared" si="88"/>
        <v>10</v>
      </c>
      <c r="T337" s="10">
        <v>100000</v>
      </c>
      <c r="U337" s="10">
        <f t="shared" si="90"/>
        <v>1000000</v>
      </c>
      <c r="V337" s="4"/>
      <c r="Y337" s="4"/>
    </row>
    <row r="338" spans="2:25" ht="37.5" hidden="1">
      <c r="B338" s="58"/>
      <c r="C338" s="60"/>
      <c r="D338" s="52" t="s">
        <v>43</v>
      </c>
      <c r="E338" s="63"/>
      <c r="F338" s="8">
        <v>0.16666666666666666</v>
      </c>
      <c r="G338" s="67" t="s">
        <v>105</v>
      </c>
      <c r="H338" s="68"/>
      <c r="I338" s="35">
        <v>53</v>
      </c>
      <c r="J338" s="9">
        <f t="shared" si="87"/>
        <v>3.7735849056603772E-2</v>
      </c>
      <c r="K338" s="39"/>
      <c r="L338" s="39"/>
      <c r="M338" s="39"/>
      <c r="N338" s="39"/>
      <c r="O338" s="39"/>
      <c r="P338" s="39"/>
      <c r="Q338" s="39"/>
      <c r="R338" s="39">
        <v>2</v>
      </c>
      <c r="S338" s="10">
        <f t="shared" si="88"/>
        <v>2</v>
      </c>
      <c r="T338" s="10">
        <v>100000</v>
      </c>
      <c r="U338" s="10">
        <f t="shared" si="90"/>
        <v>200000</v>
      </c>
      <c r="V338" s="4"/>
      <c r="W338" s="4"/>
      <c r="X338" s="4"/>
      <c r="Y338" s="4"/>
    </row>
    <row r="339" spans="2:25" ht="37.5" hidden="1">
      <c r="B339" s="58"/>
      <c r="C339" s="60"/>
      <c r="D339" s="52" t="s">
        <v>43</v>
      </c>
      <c r="E339" s="63"/>
      <c r="F339" s="8">
        <v>0.25</v>
      </c>
      <c r="G339" s="67" t="s">
        <v>105</v>
      </c>
      <c r="H339" s="68"/>
      <c r="I339" s="35">
        <v>53</v>
      </c>
      <c r="J339" s="9">
        <f t="shared" si="87"/>
        <v>3.7735849056603772E-2</v>
      </c>
      <c r="K339" s="39"/>
      <c r="L339" s="39"/>
      <c r="M339" s="39"/>
      <c r="N339" s="39"/>
      <c r="O339" s="39"/>
      <c r="P339" s="39"/>
      <c r="Q339" s="39"/>
      <c r="R339" s="39">
        <v>2</v>
      </c>
      <c r="S339" s="10">
        <f t="shared" si="88"/>
        <v>2</v>
      </c>
      <c r="T339" s="10">
        <v>100000</v>
      </c>
      <c r="U339" s="10">
        <f t="shared" si="90"/>
        <v>200000</v>
      </c>
      <c r="V339" s="4"/>
      <c r="Y339" s="4"/>
    </row>
    <row r="340" spans="2:25" ht="37.5" hidden="1">
      <c r="B340" s="58"/>
      <c r="C340" s="61"/>
      <c r="D340" s="53" t="s">
        <v>43</v>
      </c>
      <c r="E340" s="69"/>
      <c r="F340" s="14">
        <v>0.33333333333333331</v>
      </c>
      <c r="G340" s="67" t="s">
        <v>105</v>
      </c>
      <c r="H340" s="68"/>
      <c r="I340" s="37">
        <v>53</v>
      </c>
      <c r="J340" s="15">
        <f t="shared" si="87"/>
        <v>0</v>
      </c>
      <c r="K340" s="40"/>
      <c r="L340" s="40"/>
      <c r="M340" s="40"/>
      <c r="N340" s="40"/>
      <c r="O340" s="40"/>
      <c r="P340" s="40"/>
      <c r="Q340" s="40"/>
      <c r="R340" s="40"/>
      <c r="S340" s="16">
        <f t="shared" si="88"/>
        <v>0</v>
      </c>
      <c r="T340" s="16">
        <v>100000</v>
      </c>
      <c r="U340" s="16">
        <f t="shared" si="90"/>
        <v>0</v>
      </c>
      <c r="V340" s="4"/>
      <c r="W340" s="4"/>
      <c r="X340" s="4"/>
      <c r="Y340" s="4"/>
    </row>
    <row r="341" spans="2:25" ht="28.5" hidden="1" customHeight="1">
      <c r="B341" s="58">
        <v>46109</v>
      </c>
      <c r="C341" s="59" t="s">
        <v>15</v>
      </c>
      <c r="D341" s="51" t="s">
        <v>43</v>
      </c>
      <c r="E341" s="62" t="s">
        <v>101</v>
      </c>
      <c r="F341" s="5">
        <v>0.41666666666666669</v>
      </c>
      <c r="G341" s="65" t="s">
        <v>104</v>
      </c>
      <c r="H341" s="66"/>
      <c r="I341" s="34">
        <v>57</v>
      </c>
      <c r="J341" s="6">
        <f t="shared" si="87"/>
        <v>0</v>
      </c>
      <c r="K341" s="38"/>
      <c r="L341" s="38"/>
      <c r="M341" s="38"/>
      <c r="N341" s="38"/>
      <c r="O341" s="38"/>
      <c r="P341" s="38"/>
      <c r="Q341" s="38"/>
      <c r="R341" s="38"/>
      <c r="S341" s="7">
        <f>SUM(K341:R341)</f>
        <v>0</v>
      </c>
      <c r="T341" s="7">
        <v>100000</v>
      </c>
      <c r="U341" s="7">
        <f>T341*S341</f>
        <v>0</v>
      </c>
      <c r="V341" s="4"/>
      <c r="W341" s="4"/>
      <c r="X341" s="4"/>
      <c r="Y341" s="4"/>
    </row>
    <row r="342" spans="2:25" ht="37.5" hidden="1">
      <c r="B342" s="58"/>
      <c r="C342" s="60"/>
      <c r="D342" s="52" t="s">
        <v>43</v>
      </c>
      <c r="E342" s="63"/>
      <c r="F342" s="8">
        <v>0.5</v>
      </c>
      <c r="G342" s="67" t="s">
        <v>104</v>
      </c>
      <c r="H342" s="68"/>
      <c r="I342" s="35">
        <v>57</v>
      </c>
      <c r="J342" s="9">
        <f t="shared" si="87"/>
        <v>0</v>
      </c>
      <c r="K342" s="39"/>
      <c r="L342" s="39"/>
      <c r="M342" s="39"/>
      <c r="N342" s="39"/>
      <c r="O342" s="39"/>
      <c r="P342" s="39"/>
      <c r="Q342" s="39"/>
      <c r="R342" s="39"/>
      <c r="S342" s="10">
        <f t="shared" ref="S342:S352" si="91">SUM(K342:R342)</f>
        <v>0</v>
      </c>
      <c r="T342" s="10">
        <v>100000</v>
      </c>
      <c r="U342" s="10">
        <f t="shared" ref="U342:U343" si="92">T342*S342</f>
        <v>0</v>
      </c>
      <c r="V342" s="4"/>
      <c r="W342" s="4"/>
      <c r="X342" s="4"/>
      <c r="Y342" s="4"/>
    </row>
    <row r="343" spans="2:25" ht="37.5" hidden="1">
      <c r="B343" s="58"/>
      <c r="C343" s="60"/>
      <c r="D343" s="52" t="s">
        <v>43</v>
      </c>
      <c r="E343" s="63"/>
      <c r="F343" s="8">
        <v>0.58333333333333337</v>
      </c>
      <c r="G343" s="67" t="s">
        <v>104</v>
      </c>
      <c r="H343" s="68"/>
      <c r="I343" s="35">
        <v>57</v>
      </c>
      <c r="J343" s="9">
        <f t="shared" si="87"/>
        <v>0</v>
      </c>
      <c r="K343" s="39"/>
      <c r="L343" s="39"/>
      <c r="M343" s="39"/>
      <c r="N343" s="39"/>
      <c r="O343" s="39"/>
      <c r="P343" s="39"/>
      <c r="Q343" s="39"/>
      <c r="R343" s="39"/>
      <c r="S343" s="10">
        <f t="shared" si="91"/>
        <v>0</v>
      </c>
      <c r="T343" s="10">
        <v>100000</v>
      </c>
      <c r="U343" s="10">
        <f t="shared" si="92"/>
        <v>0</v>
      </c>
      <c r="V343" s="4"/>
      <c r="W343" s="4"/>
      <c r="X343" s="4"/>
      <c r="Y343" s="4"/>
    </row>
    <row r="344" spans="2:25" ht="37.5" hidden="1">
      <c r="B344" s="58"/>
      <c r="C344" s="60"/>
      <c r="D344" s="52" t="s">
        <v>43</v>
      </c>
      <c r="E344" s="63"/>
      <c r="F344" s="8">
        <v>0.66666666666666663</v>
      </c>
      <c r="G344" s="67" t="s">
        <v>104</v>
      </c>
      <c r="H344" s="68"/>
      <c r="I344" s="35">
        <v>57</v>
      </c>
      <c r="J344" s="9">
        <f t="shared" si="87"/>
        <v>0</v>
      </c>
      <c r="K344" s="39"/>
      <c r="L344" s="39"/>
      <c r="M344" s="39"/>
      <c r="N344" s="39"/>
      <c r="O344" s="39"/>
      <c r="P344" s="39"/>
      <c r="Q344" s="39"/>
      <c r="R344" s="39"/>
      <c r="S344" s="10">
        <f t="shared" si="91"/>
        <v>0</v>
      </c>
      <c r="T344" s="10">
        <v>100000</v>
      </c>
      <c r="U344" s="10">
        <f>T344*S344</f>
        <v>0</v>
      </c>
      <c r="V344" s="4"/>
      <c r="W344" s="4"/>
      <c r="X344" s="4"/>
      <c r="Y344" s="4"/>
    </row>
    <row r="345" spans="2:25" ht="37.5" hidden="1">
      <c r="B345" s="58"/>
      <c r="C345" s="60"/>
      <c r="D345" s="52" t="s">
        <v>43</v>
      </c>
      <c r="E345" s="63"/>
      <c r="F345" s="8">
        <v>0.75</v>
      </c>
      <c r="G345" s="67" t="s">
        <v>104</v>
      </c>
      <c r="H345" s="68"/>
      <c r="I345" s="35">
        <v>38</v>
      </c>
      <c r="J345" s="9">
        <f t="shared" si="87"/>
        <v>5.2631578947368418E-2</v>
      </c>
      <c r="K345" s="39"/>
      <c r="L345" s="39"/>
      <c r="M345" s="39"/>
      <c r="N345" s="39"/>
      <c r="O345" s="39"/>
      <c r="P345" s="39"/>
      <c r="Q345" s="39"/>
      <c r="R345" s="39">
        <v>2</v>
      </c>
      <c r="S345" s="10">
        <f t="shared" si="91"/>
        <v>2</v>
      </c>
      <c r="T345" s="10">
        <v>100000</v>
      </c>
      <c r="U345" s="10">
        <f t="shared" ref="U345:U352" si="93">T345*S345</f>
        <v>200000</v>
      </c>
      <c r="V345" s="4"/>
      <c r="W345" s="4"/>
      <c r="X345" s="11"/>
      <c r="Y345" s="4"/>
    </row>
    <row r="346" spans="2:25" ht="37.5" hidden="1">
      <c r="B346" s="58"/>
      <c r="C346" s="60"/>
      <c r="D346" s="53" t="s">
        <v>43</v>
      </c>
      <c r="E346" s="64"/>
      <c r="F346" s="12">
        <v>0.83333333333333337</v>
      </c>
      <c r="G346" s="67" t="s">
        <v>104</v>
      </c>
      <c r="H346" s="68"/>
      <c r="I346" s="36"/>
      <c r="J346" s="9" t="str">
        <f t="shared" si="87"/>
        <v/>
      </c>
      <c r="K346" s="41"/>
      <c r="L346" s="41"/>
      <c r="M346" s="41"/>
      <c r="N346" s="41"/>
      <c r="O346" s="41"/>
      <c r="P346" s="41"/>
      <c r="Q346" s="41"/>
      <c r="R346" s="41"/>
      <c r="S346" s="13">
        <f t="shared" si="91"/>
        <v>0</v>
      </c>
      <c r="T346" s="13">
        <v>100000</v>
      </c>
      <c r="U346" s="13">
        <f t="shared" si="93"/>
        <v>0</v>
      </c>
      <c r="V346" s="4"/>
      <c r="Y346" s="4"/>
    </row>
    <row r="347" spans="2:25" ht="37.5" hidden="1">
      <c r="B347" s="58"/>
      <c r="C347" s="60"/>
      <c r="D347" s="51" t="s">
        <v>43</v>
      </c>
      <c r="E347" s="62" t="s">
        <v>102</v>
      </c>
      <c r="F347" s="5">
        <v>0.91666666666666663</v>
      </c>
      <c r="G347" s="65" t="s">
        <v>105</v>
      </c>
      <c r="H347" s="66"/>
      <c r="I347" s="34">
        <v>53</v>
      </c>
      <c r="J347" s="6">
        <f t="shared" si="87"/>
        <v>3.7735849056603772E-2</v>
      </c>
      <c r="K347" s="38"/>
      <c r="L347" s="38"/>
      <c r="M347" s="38"/>
      <c r="N347" s="38"/>
      <c r="O347" s="38"/>
      <c r="P347" s="38"/>
      <c r="Q347" s="38"/>
      <c r="R347" s="38">
        <v>2</v>
      </c>
      <c r="S347" s="7">
        <f t="shared" si="91"/>
        <v>2</v>
      </c>
      <c r="T347" s="7">
        <v>100000</v>
      </c>
      <c r="U347" s="7">
        <f t="shared" si="93"/>
        <v>200000</v>
      </c>
      <c r="V347" s="4"/>
      <c r="Y347" s="4"/>
    </row>
    <row r="348" spans="2:25" ht="37.5" hidden="1">
      <c r="B348" s="58"/>
      <c r="C348" s="60"/>
      <c r="D348" s="52" t="s">
        <v>43</v>
      </c>
      <c r="E348" s="63"/>
      <c r="F348" s="8">
        <v>1</v>
      </c>
      <c r="G348" s="67" t="s">
        <v>105</v>
      </c>
      <c r="H348" s="68"/>
      <c r="I348" s="35">
        <v>54</v>
      </c>
      <c r="J348" s="9">
        <f t="shared" si="87"/>
        <v>3.7037037037037035E-2</v>
      </c>
      <c r="K348" s="39"/>
      <c r="L348" s="39"/>
      <c r="M348" s="39"/>
      <c r="N348" s="39"/>
      <c r="O348" s="39"/>
      <c r="P348" s="39"/>
      <c r="Q348" s="39"/>
      <c r="R348" s="39">
        <v>2</v>
      </c>
      <c r="S348" s="10">
        <f t="shared" si="91"/>
        <v>2</v>
      </c>
      <c r="T348" s="10">
        <v>100000</v>
      </c>
      <c r="U348" s="10">
        <f t="shared" si="93"/>
        <v>200000</v>
      </c>
      <c r="V348" s="4"/>
      <c r="Y348" s="4"/>
    </row>
    <row r="349" spans="2:25" ht="37.5" hidden="1">
      <c r="B349" s="58"/>
      <c r="C349" s="60"/>
      <c r="D349" s="52" t="s">
        <v>43</v>
      </c>
      <c r="E349" s="63"/>
      <c r="F349" s="8">
        <v>8.3333333333333329E-2</v>
      </c>
      <c r="G349" s="67" t="s">
        <v>105</v>
      </c>
      <c r="H349" s="68"/>
      <c r="I349" s="35">
        <v>54</v>
      </c>
      <c r="J349" s="9">
        <f t="shared" si="87"/>
        <v>3.7037037037037035E-2</v>
      </c>
      <c r="K349" s="39"/>
      <c r="L349" s="39"/>
      <c r="M349" s="39"/>
      <c r="N349" s="39"/>
      <c r="O349" s="39"/>
      <c r="P349" s="39"/>
      <c r="Q349" s="39"/>
      <c r="R349" s="39">
        <v>2</v>
      </c>
      <c r="S349" s="10">
        <f t="shared" si="91"/>
        <v>2</v>
      </c>
      <c r="T349" s="10">
        <v>100000</v>
      </c>
      <c r="U349" s="10">
        <f t="shared" si="93"/>
        <v>200000</v>
      </c>
      <c r="V349" s="4"/>
      <c r="Y349" s="4"/>
    </row>
    <row r="350" spans="2:25" ht="37.5" hidden="1">
      <c r="B350" s="58"/>
      <c r="C350" s="60"/>
      <c r="D350" s="52" t="s">
        <v>43</v>
      </c>
      <c r="E350" s="63"/>
      <c r="F350" s="8">
        <v>0.16666666666666666</v>
      </c>
      <c r="G350" s="67" t="s">
        <v>105</v>
      </c>
      <c r="H350" s="68"/>
      <c r="I350" s="35">
        <v>54</v>
      </c>
      <c r="J350" s="9">
        <f t="shared" si="87"/>
        <v>3.7037037037037035E-2</v>
      </c>
      <c r="K350" s="39"/>
      <c r="L350" s="39"/>
      <c r="M350" s="39"/>
      <c r="N350" s="39"/>
      <c r="O350" s="39"/>
      <c r="P350" s="39"/>
      <c r="Q350" s="39"/>
      <c r="R350" s="39">
        <v>2</v>
      </c>
      <c r="S350" s="10">
        <f t="shared" si="91"/>
        <v>2</v>
      </c>
      <c r="T350" s="10">
        <v>100000</v>
      </c>
      <c r="U350" s="10">
        <f t="shared" si="93"/>
        <v>200000</v>
      </c>
      <c r="V350" s="4"/>
      <c r="W350" s="4"/>
      <c r="X350" s="4"/>
      <c r="Y350" s="4"/>
    </row>
    <row r="351" spans="2:25" ht="37.5" hidden="1">
      <c r="B351" s="58"/>
      <c r="C351" s="60"/>
      <c r="D351" s="52" t="s">
        <v>43</v>
      </c>
      <c r="E351" s="63"/>
      <c r="F351" s="8">
        <v>0.25</v>
      </c>
      <c r="G351" s="67" t="s">
        <v>105</v>
      </c>
      <c r="H351" s="68"/>
      <c r="I351" s="35">
        <v>54</v>
      </c>
      <c r="J351" s="9">
        <f t="shared" si="87"/>
        <v>3.7037037037037035E-2</v>
      </c>
      <c r="K351" s="39"/>
      <c r="L351" s="39"/>
      <c r="M351" s="39"/>
      <c r="N351" s="39"/>
      <c r="O351" s="39"/>
      <c r="P351" s="39"/>
      <c r="Q351" s="39"/>
      <c r="R351" s="39">
        <v>2</v>
      </c>
      <c r="S351" s="10">
        <f t="shared" si="91"/>
        <v>2</v>
      </c>
      <c r="T351" s="10">
        <v>100000</v>
      </c>
      <c r="U351" s="10">
        <f t="shared" si="93"/>
        <v>200000</v>
      </c>
      <c r="V351" s="4"/>
      <c r="Y351" s="4"/>
    </row>
    <row r="352" spans="2:25" ht="37.5" hidden="1">
      <c r="B352" s="58"/>
      <c r="C352" s="61"/>
      <c r="D352" s="53" t="s">
        <v>43</v>
      </c>
      <c r="E352" s="69"/>
      <c r="F352" s="14">
        <v>0.33333333333333331</v>
      </c>
      <c r="G352" s="67" t="s">
        <v>105</v>
      </c>
      <c r="H352" s="68"/>
      <c r="I352" s="37">
        <v>54</v>
      </c>
      <c r="J352" s="15">
        <f t="shared" si="87"/>
        <v>0</v>
      </c>
      <c r="K352" s="40"/>
      <c r="L352" s="40"/>
      <c r="M352" s="40"/>
      <c r="N352" s="40"/>
      <c r="O352" s="40"/>
      <c r="P352" s="40"/>
      <c r="Q352" s="40"/>
      <c r="R352" s="40"/>
      <c r="S352" s="16">
        <f t="shared" si="91"/>
        <v>0</v>
      </c>
      <c r="T352" s="16">
        <v>100000</v>
      </c>
      <c r="U352" s="16">
        <f t="shared" si="93"/>
        <v>0</v>
      </c>
      <c r="V352" s="4"/>
      <c r="W352" s="4"/>
      <c r="X352" s="4"/>
      <c r="Y352" s="4"/>
    </row>
    <row r="353" spans="2:25" ht="16.5" hidden="1" customHeight="1">
      <c r="B353" s="58">
        <v>46110</v>
      </c>
      <c r="C353" s="59" t="s">
        <v>15</v>
      </c>
      <c r="D353" s="51"/>
      <c r="E353" s="62" t="s">
        <v>101</v>
      </c>
      <c r="F353" s="5">
        <v>0.41666666666666669</v>
      </c>
      <c r="G353" s="65"/>
      <c r="H353" s="66"/>
      <c r="I353" s="34"/>
      <c r="J353" s="6" t="str">
        <f t="shared" si="87"/>
        <v/>
      </c>
      <c r="K353" s="38"/>
      <c r="L353" s="38"/>
      <c r="M353" s="38"/>
      <c r="N353" s="38"/>
      <c r="O353" s="38"/>
      <c r="P353" s="38"/>
      <c r="Q353" s="38"/>
      <c r="R353" s="38"/>
      <c r="S353" s="7">
        <f>SUM(K353:R353)</f>
        <v>0</v>
      </c>
      <c r="T353" s="7">
        <v>100000</v>
      </c>
      <c r="U353" s="7">
        <f>T353*S353</f>
        <v>0</v>
      </c>
      <c r="V353" s="4"/>
      <c r="W353" s="4"/>
      <c r="X353" s="4"/>
      <c r="Y353" s="4"/>
    </row>
    <row r="354" spans="2:25" ht="18.75" hidden="1">
      <c r="B354" s="58"/>
      <c r="C354" s="60"/>
      <c r="D354" s="52"/>
      <c r="E354" s="63"/>
      <c r="F354" s="8">
        <v>0.5</v>
      </c>
      <c r="G354" s="67"/>
      <c r="H354" s="68"/>
      <c r="I354" s="35"/>
      <c r="J354" s="9" t="str">
        <f t="shared" si="87"/>
        <v/>
      </c>
      <c r="K354" s="39"/>
      <c r="L354" s="39"/>
      <c r="M354" s="39"/>
      <c r="N354" s="39"/>
      <c r="O354" s="39"/>
      <c r="P354" s="39"/>
      <c r="Q354" s="39"/>
      <c r="R354" s="39"/>
      <c r="S354" s="10">
        <f t="shared" ref="S354:S364" si="94">SUM(K354:R354)</f>
        <v>0</v>
      </c>
      <c r="T354" s="10">
        <v>100000</v>
      </c>
      <c r="U354" s="10">
        <f t="shared" ref="U354:U355" si="95">T354*S354</f>
        <v>0</v>
      </c>
      <c r="V354" s="4"/>
      <c r="W354" s="4"/>
      <c r="X354" s="4"/>
      <c r="Y354" s="4"/>
    </row>
    <row r="355" spans="2:25" ht="18.75" hidden="1">
      <c r="B355" s="58"/>
      <c r="C355" s="60"/>
      <c r="D355" s="52"/>
      <c r="E355" s="63"/>
      <c r="F355" s="8">
        <v>0.58333333333333337</v>
      </c>
      <c r="G355" s="67"/>
      <c r="H355" s="68"/>
      <c r="I355" s="35"/>
      <c r="J355" s="9" t="str">
        <f t="shared" si="87"/>
        <v/>
      </c>
      <c r="K355" s="39"/>
      <c r="L355" s="39"/>
      <c r="M355" s="39"/>
      <c r="N355" s="39"/>
      <c r="O355" s="39"/>
      <c r="P355" s="39"/>
      <c r="Q355" s="39"/>
      <c r="R355" s="39"/>
      <c r="S355" s="10">
        <f t="shared" si="94"/>
        <v>0</v>
      </c>
      <c r="T355" s="10">
        <v>100000</v>
      </c>
      <c r="U355" s="10">
        <f t="shared" si="95"/>
        <v>0</v>
      </c>
      <c r="V355" s="4"/>
      <c r="W355" s="4"/>
      <c r="X355" s="4"/>
      <c r="Y355" s="4"/>
    </row>
    <row r="356" spans="2:25" ht="18.75" hidden="1">
      <c r="B356" s="58"/>
      <c r="C356" s="60"/>
      <c r="D356" s="52"/>
      <c r="E356" s="63"/>
      <c r="F356" s="8">
        <v>0.66666666666666663</v>
      </c>
      <c r="G356" s="67"/>
      <c r="H356" s="68"/>
      <c r="I356" s="35"/>
      <c r="J356" s="9" t="str">
        <f t="shared" si="87"/>
        <v/>
      </c>
      <c r="K356" s="39"/>
      <c r="L356" s="39"/>
      <c r="M356" s="39"/>
      <c r="N356" s="39"/>
      <c r="O356" s="39"/>
      <c r="P356" s="39"/>
      <c r="Q356" s="39"/>
      <c r="R356" s="39"/>
      <c r="S356" s="10">
        <f t="shared" si="94"/>
        <v>0</v>
      </c>
      <c r="T356" s="10">
        <v>100000</v>
      </c>
      <c r="U356" s="10">
        <f>T356*S356</f>
        <v>0</v>
      </c>
      <c r="V356" s="4"/>
      <c r="W356" s="4"/>
      <c r="X356" s="4"/>
      <c r="Y356" s="4"/>
    </row>
    <row r="357" spans="2:25" ht="18.75" hidden="1">
      <c r="B357" s="58"/>
      <c r="C357" s="60"/>
      <c r="D357" s="52"/>
      <c r="E357" s="63"/>
      <c r="F357" s="8">
        <v>0.75</v>
      </c>
      <c r="G357" s="67"/>
      <c r="H357" s="68"/>
      <c r="I357" s="35"/>
      <c r="J357" s="9" t="str">
        <f t="shared" si="87"/>
        <v/>
      </c>
      <c r="K357" s="39"/>
      <c r="L357" s="39"/>
      <c r="M357" s="39"/>
      <c r="N357" s="39"/>
      <c r="O357" s="39"/>
      <c r="P357" s="39"/>
      <c r="Q357" s="39"/>
      <c r="R357" s="39"/>
      <c r="S357" s="10">
        <f t="shared" si="94"/>
        <v>0</v>
      </c>
      <c r="T357" s="10">
        <v>100000</v>
      </c>
      <c r="U357" s="10">
        <f t="shared" ref="U357:U364" si="96">T357*S357</f>
        <v>0</v>
      </c>
      <c r="V357" s="4"/>
      <c r="W357" s="4"/>
      <c r="X357" s="11"/>
      <c r="Y357" s="4"/>
    </row>
    <row r="358" spans="2:25" ht="18.75" hidden="1">
      <c r="B358" s="58"/>
      <c r="C358" s="60"/>
      <c r="D358" s="53"/>
      <c r="E358" s="64"/>
      <c r="F358" s="12">
        <v>0.83333333333333337</v>
      </c>
      <c r="G358" s="67"/>
      <c r="H358" s="68"/>
      <c r="I358" s="36"/>
      <c r="J358" s="9" t="str">
        <f t="shared" si="87"/>
        <v/>
      </c>
      <c r="K358" s="41"/>
      <c r="L358" s="41"/>
      <c r="M358" s="41"/>
      <c r="N358" s="41"/>
      <c r="O358" s="41"/>
      <c r="P358" s="41"/>
      <c r="Q358" s="41"/>
      <c r="R358" s="41"/>
      <c r="S358" s="13">
        <f t="shared" si="94"/>
        <v>0</v>
      </c>
      <c r="T358" s="13">
        <v>100000</v>
      </c>
      <c r="U358" s="13">
        <f t="shared" si="96"/>
        <v>0</v>
      </c>
      <c r="V358" s="4"/>
      <c r="Y358" s="4"/>
    </row>
    <row r="359" spans="2:25" ht="18.75" hidden="1">
      <c r="B359" s="58"/>
      <c r="C359" s="60"/>
      <c r="D359" s="51"/>
      <c r="E359" s="62" t="s">
        <v>102</v>
      </c>
      <c r="F359" s="5">
        <v>0.91666666666666663</v>
      </c>
      <c r="G359" s="65"/>
      <c r="H359" s="66"/>
      <c r="I359" s="34"/>
      <c r="J359" s="6" t="str">
        <f t="shared" si="87"/>
        <v/>
      </c>
      <c r="K359" s="38"/>
      <c r="L359" s="38"/>
      <c r="M359" s="38"/>
      <c r="N359" s="38"/>
      <c r="O359" s="38"/>
      <c r="P359" s="38"/>
      <c r="Q359" s="38"/>
      <c r="R359" s="38"/>
      <c r="S359" s="7">
        <f t="shared" si="94"/>
        <v>0</v>
      </c>
      <c r="T359" s="7">
        <v>100000</v>
      </c>
      <c r="U359" s="7">
        <f t="shared" si="96"/>
        <v>0</v>
      </c>
      <c r="V359" s="4"/>
      <c r="Y359" s="4"/>
    </row>
    <row r="360" spans="2:25" ht="18.75" hidden="1">
      <c r="B360" s="58"/>
      <c r="C360" s="60"/>
      <c r="D360" s="52"/>
      <c r="E360" s="63"/>
      <c r="F360" s="8">
        <v>1</v>
      </c>
      <c r="G360" s="67"/>
      <c r="H360" s="68"/>
      <c r="I360" s="35"/>
      <c r="J360" s="9" t="str">
        <f t="shared" si="87"/>
        <v/>
      </c>
      <c r="K360" s="39"/>
      <c r="L360" s="39"/>
      <c r="M360" s="39"/>
      <c r="N360" s="39"/>
      <c r="O360" s="39"/>
      <c r="P360" s="39"/>
      <c r="Q360" s="39"/>
      <c r="R360" s="39"/>
      <c r="S360" s="10">
        <f t="shared" si="94"/>
        <v>0</v>
      </c>
      <c r="T360" s="10">
        <v>100000</v>
      </c>
      <c r="U360" s="10">
        <f t="shared" si="96"/>
        <v>0</v>
      </c>
      <c r="V360" s="4"/>
      <c r="Y360" s="4"/>
    </row>
    <row r="361" spans="2:25" ht="18.75" hidden="1">
      <c r="B361" s="58"/>
      <c r="C361" s="60"/>
      <c r="D361" s="52"/>
      <c r="E361" s="63"/>
      <c r="F361" s="8">
        <v>8.3333333333333329E-2</v>
      </c>
      <c r="G361" s="67"/>
      <c r="H361" s="68"/>
      <c r="I361" s="35"/>
      <c r="J361" s="9" t="str">
        <f t="shared" si="87"/>
        <v/>
      </c>
      <c r="K361" s="39"/>
      <c r="L361" s="39"/>
      <c r="M361" s="39"/>
      <c r="N361" s="39"/>
      <c r="O361" s="39"/>
      <c r="P361" s="39"/>
      <c r="Q361" s="39"/>
      <c r="R361" s="39"/>
      <c r="S361" s="10">
        <f t="shared" si="94"/>
        <v>0</v>
      </c>
      <c r="T361" s="10">
        <v>100000</v>
      </c>
      <c r="U361" s="10">
        <f t="shared" si="96"/>
        <v>0</v>
      </c>
      <c r="V361" s="4"/>
      <c r="Y361" s="4"/>
    </row>
    <row r="362" spans="2:25" ht="18.75" hidden="1">
      <c r="B362" s="58"/>
      <c r="C362" s="60"/>
      <c r="D362" s="52"/>
      <c r="E362" s="63"/>
      <c r="F362" s="8">
        <v>0.16666666666666666</v>
      </c>
      <c r="G362" s="67"/>
      <c r="H362" s="68"/>
      <c r="I362" s="35"/>
      <c r="J362" s="9" t="str">
        <f t="shared" si="87"/>
        <v/>
      </c>
      <c r="K362" s="39"/>
      <c r="L362" s="39"/>
      <c r="M362" s="39"/>
      <c r="N362" s="39"/>
      <c r="O362" s="39"/>
      <c r="P362" s="39"/>
      <c r="Q362" s="39"/>
      <c r="R362" s="39"/>
      <c r="S362" s="10">
        <f t="shared" si="94"/>
        <v>0</v>
      </c>
      <c r="T362" s="10">
        <v>100000</v>
      </c>
      <c r="U362" s="10">
        <f t="shared" si="96"/>
        <v>0</v>
      </c>
      <c r="V362" s="4"/>
      <c r="W362" s="4"/>
      <c r="X362" s="4"/>
      <c r="Y362" s="4"/>
    </row>
    <row r="363" spans="2:25" ht="18.75" hidden="1">
      <c r="B363" s="58"/>
      <c r="C363" s="60"/>
      <c r="D363" s="52"/>
      <c r="E363" s="63"/>
      <c r="F363" s="8">
        <v>0.25</v>
      </c>
      <c r="G363" s="67"/>
      <c r="H363" s="68"/>
      <c r="I363" s="35"/>
      <c r="J363" s="9" t="str">
        <f t="shared" si="87"/>
        <v/>
      </c>
      <c r="K363" s="39"/>
      <c r="L363" s="39"/>
      <c r="M363" s="39"/>
      <c r="N363" s="39"/>
      <c r="O363" s="39"/>
      <c r="P363" s="39"/>
      <c r="Q363" s="39"/>
      <c r="R363" s="39"/>
      <c r="S363" s="10">
        <f t="shared" si="94"/>
        <v>0</v>
      </c>
      <c r="T363" s="10">
        <v>100000</v>
      </c>
      <c r="U363" s="10">
        <f t="shared" si="96"/>
        <v>0</v>
      </c>
      <c r="V363" s="4"/>
      <c r="Y363" s="4"/>
    </row>
    <row r="364" spans="2:25" ht="18.75" hidden="1">
      <c r="B364" s="58"/>
      <c r="C364" s="61"/>
      <c r="D364" s="53"/>
      <c r="E364" s="69"/>
      <c r="F364" s="14">
        <v>0.33333333333333331</v>
      </c>
      <c r="G364" s="67"/>
      <c r="H364" s="68"/>
      <c r="I364" s="37"/>
      <c r="J364" s="15" t="str">
        <f t="shared" si="87"/>
        <v/>
      </c>
      <c r="K364" s="40"/>
      <c r="L364" s="40"/>
      <c r="M364" s="40"/>
      <c r="N364" s="40"/>
      <c r="O364" s="40"/>
      <c r="P364" s="40"/>
      <c r="Q364" s="40"/>
      <c r="R364" s="40"/>
      <c r="S364" s="16">
        <f t="shared" si="94"/>
        <v>0</v>
      </c>
      <c r="T364" s="16">
        <v>100000</v>
      </c>
      <c r="U364" s="16">
        <f t="shared" si="96"/>
        <v>0</v>
      </c>
      <c r="V364" s="4"/>
      <c r="W364" s="4"/>
      <c r="X364" s="4"/>
      <c r="Y364" s="4"/>
    </row>
    <row r="365" spans="2:25" ht="38.25" hidden="1" customHeight="1">
      <c r="B365" s="58">
        <v>46111</v>
      </c>
      <c r="C365" s="59" t="s">
        <v>15</v>
      </c>
      <c r="D365" s="51" t="s">
        <v>42</v>
      </c>
      <c r="E365" s="62" t="s">
        <v>101</v>
      </c>
      <c r="F365" s="5">
        <v>0.41666666666666669</v>
      </c>
      <c r="G365" s="65" t="s">
        <v>104</v>
      </c>
      <c r="H365" s="66"/>
      <c r="I365" s="34"/>
      <c r="J365" s="6" t="str">
        <f t="shared" ref="J365:J400" si="97">IFERROR(S365/I365,"")</f>
        <v/>
      </c>
      <c r="K365" s="38"/>
      <c r="L365" s="38"/>
      <c r="M365" s="38"/>
      <c r="N365" s="38"/>
      <c r="O365" s="38"/>
      <c r="P365" s="38"/>
      <c r="Q365" s="38"/>
      <c r="R365" s="38"/>
      <c r="S365" s="7">
        <f>SUM(K365:R365)</f>
        <v>0</v>
      </c>
      <c r="T365" s="7">
        <v>100000</v>
      </c>
      <c r="U365" s="7">
        <f>T365*S365</f>
        <v>0</v>
      </c>
      <c r="V365" s="4"/>
      <c r="W365" s="4"/>
      <c r="X365" s="4"/>
      <c r="Y365" s="4"/>
    </row>
    <row r="366" spans="2:25" ht="37.5" hidden="1">
      <c r="B366" s="58"/>
      <c r="C366" s="60"/>
      <c r="D366" s="52" t="s">
        <v>42</v>
      </c>
      <c r="E366" s="63"/>
      <c r="F366" s="8">
        <v>0.5</v>
      </c>
      <c r="G366" s="67" t="s">
        <v>104</v>
      </c>
      <c r="H366" s="68"/>
      <c r="I366" s="35">
        <v>70</v>
      </c>
      <c r="J366" s="9">
        <f t="shared" si="97"/>
        <v>7.1428571428571425E-2</v>
      </c>
      <c r="K366" s="39"/>
      <c r="L366" s="39"/>
      <c r="M366" s="39"/>
      <c r="N366" s="39"/>
      <c r="O366" s="39"/>
      <c r="P366" s="39"/>
      <c r="Q366" s="39">
        <v>5</v>
      </c>
      <c r="R366" s="39"/>
      <c r="S366" s="10">
        <f t="shared" ref="S366:S376" si="98">SUM(K366:R366)</f>
        <v>5</v>
      </c>
      <c r="T366" s="10">
        <v>100000</v>
      </c>
      <c r="U366" s="10">
        <f t="shared" ref="U366:U367" si="99">T366*S366</f>
        <v>500000</v>
      </c>
      <c r="V366" s="4"/>
      <c r="W366" s="4"/>
      <c r="X366" s="4"/>
      <c r="Y366" s="4"/>
    </row>
    <row r="367" spans="2:25" ht="37.5" hidden="1">
      <c r="B367" s="58"/>
      <c r="C367" s="60"/>
      <c r="D367" s="52" t="s">
        <v>42</v>
      </c>
      <c r="E367" s="63"/>
      <c r="F367" s="8">
        <v>0.58333333333333337</v>
      </c>
      <c r="G367" s="67" t="s">
        <v>104</v>
      </c>
      <c r="H367" s="68"/>
      <c r="I367" s="35">
        <v>70</v>
      </c>
      <c r="J367" s="9">
        <f t="shared" si="97"/>
        <v>0</v>
      </c>
      <c r="K367" s="39"/>
      <c r="L367" s="39"/>
      <c r="M367" s="39"/>
      <c r="N367" s="39"/>
      <c r="O367" s="39"/>
      <c r="P367" s="39"/>
      <c r="Q367" s="39"/>
      <c r="R367" s="39"/>
      <c r="S367" s="10">
        <f t="shared" si="98"/>
        <v>0</v>
      </c>
      <c r="T367" s="10">
        <v>100000</v>
      </c>
      <c r="U367" s="10">
        <f t="shared" si="99"/>
        <v>0</v>
      </c>
      <c r="V367" s="4"/>
      <c r="W367" s="4"/>
      <c r="X367" s="4"/>
      <c r="Y367" s="4"/>
    </row>
    <row r="368" spans="2:25" ht="37.5" hidden="1">
      <c r="B368" s="58"/>
      <c r="C368" s="60"/>
      <c r="D368" s="52" t="s">
        <v>42</v>
      </c>
      <c r="E368" s="63"/>
      <c r="F368" s="8">
        <v>0.66666666666666663</v>
      </c>
      <c r="G368" s="67" t="s">
        <v>104</v>
      </c>
      <c r="H368" s="68"/>
      <c r="I368" s="35">
        <v>0</v>
      </c>
      <c r="J368" s="9" t="str">
        <f t="shared" si="97"/>
        <v/>
      </c>
      <c r="K368" s="39"/>
      <c r="L368" s="39"/>
      <c r="M368" s="39"/>
      <c r="N368" s="39"/>
      <c r="O368" s="39"/>
      <c r="P368" s="39"/>
      <c r="Q368" s="39"/>
      <c r="R368" s="39"/>
      <c r="S368" s="10">
        <f t="shared" si="98"/>
        <v>0</v>
      </c>
      <c r="T368" s="10">
        <v>100000</v>
      </c>
      <c r="U368" s="10">
        <f>T368*S368</f>
        <v>0</v>
      </c>
      <c r="V368" s="4"/>
      <c r="W368" s="4"/>
      <c r="X368" s="4"/>
      <c r="Y368" s="4"/>
    </row>
    <row r="369" spans="2:25" ht="37.5" hidden="1">
      <c r="B369" s="58"/>
      <c r="C369" s="60"/>
      <c r="D369" s="52" t="s">
        <v>42</v>
      </c>
      <c r="E369" s="63"/>
      <c r="F369" s="8">
        <v>0.75</v>
      </c>
      <c r="G369" s="67" t="s">
        <v>104</v>
      </c>
      <c r="H369" s="68"/>
      <c r="I369" s="35">
        <v>70</v>
      </c>
      <c r="J369" s="9">
        <f t="shared" si="97"/>
        <v>0.11428571428571428</v>
      </c>
      <c r="K369" s="39"/>
      <c r="L369" s="39"/>
      <c r="M369" s="39"/>
      <c r="N369" s="39"/>
      <c r="O369" s="39"/>
      <c r="P369" s="39"/>
      <c r="Q369" s="39"/>
      <c r="R369" s="39">
        <v>8</v>
      </c>
      <c r="S369" s="10">
        <f t="shared" si="98"/>
        <v>8</v>
      </c>
      <c r="T369" s="10">
        <v>100000</v>
      </c>
      <c r="U369" s="10">
        <f t="shared" ref="U369:U376" si="100">T369*S369</f>
        <v>800000</v>
      </c>
      <c r="V369" s="4"/>
      <c r="W369" s="4"/>
      <c r="X369" s="11"/>
      <c r="Y369" s="4"/>
    </row>
    <row r="370" spans="2:25" ht="37.5" hidden="1">
      <c r="B370" s="58"/>
      <c r="C370" s="60"/>
      <c r="D370" s="53" t="s">
        <v>42</v>
      </c>
      <c r="E370" s="64"/>
      <c r="F370" s="12">
        <v>0.83333333333333337</v>
      </c>
      <c r="G370" s="67" t="s">
        <v>104</v>
      </c>
      <c r="H370" s="68"/>
      <c r="I370" s="36">
        <v>75</v>
      </c>
      <c r="J370" s="9">
        <f t="shared" si="97"/>
        <v>0</v>
      </c>
      <c r="K370" s="41"/>
      <c r="L370" s="41"/>
      <c r="M370" s="41"/>
      <c r="N370" s="41"/>
      <c r="O370" s="41"/>
      <c r="P370" s="41"/>
      <c r="Q370" s="41"/>
      <c r="R370" s="41"/>
      <c r="S370" s="13">
        <f t="shared" si="98"/>
        <v>0</v>
      </c>
      <c r="T370" s="13">
        <v>100000</v>
      </c>
      <c r="U370" s="13">
        <f t="shared" si="100"/>
        <v>0</v>
      </c>
      <c r="V370" s="4"/>
      <c r="Y370" s="4"/>
    </row>
    <row r="371" spans="2:25" ht="37.5" hidden="1">
      <c r="B371" s="58"/>
      <c r="C371" s="60"/>
      <c r="D371" s="51" t="s">
        <v>42</v>
      </c>
      <c r="E371" s="62" t="s">
        <v>102</v>
      </c>
      <c r="F371" s="5">
        <v>0.91666666666666663</v>
      </c>
      <c r="G371" s="65" t="s">
        <v>105</v>
      </c>
      <c r="H371" s="66"/>
      <c r="I371" s="34">
        <v>76</v>
      </c>
      <c r="J371" s="6">
        <f t="shared" si="97"/>
        <v>2.6315789473684209E-2</v>
      </c>
      <c r="K371" s="38"/>
      <c r="L371" s="38"/>
      <c r="M371" s="38"/>
      <c r="N371" s="38"/>
      <c r="O371" s="38"/>
      <c r="P371" s="38"/>
      <c r="Q371" s="38"/>
      <c r="R371" s="38">
        <v>2</v>
      </c>
      <c r="S371" s="7">
        <f t="shared" si="98"/>
        <v>2</v>
      </c>
      <c r="T371" s="7">
        <v>100000</v>
      </c>
      <c r="U371" s="7">
        <f t="shared" si="100"/>
        <v>200000</v>
      </c>
      <c r="V371" s="4"/>
      <c r="Y371" s="4"/>
    </row>
    <row r="372" spans="2:25" ht="37.5" hidden="1">
      <c r="B372" s="58"/>
      <c r="C372" s="60"/>
      <c r="D372" s="52" t="s">
        <v>42</v>
      </c>
      <c r="E372" s="63"/>
      <c r="F372" s="8">
        <v>1</v>
      </c>
      <c r="G372" s="67" t="s">
        <v>105</v>
      </c>
      <c r="H372" s="68"/>
      <c r="I372" s="35">
        <v>76</v>
      </c>
      <c r="J372" s="9">
        <f t="shared" si="97"/>
        <v>2.6315789473684209E-2</v>
      </c>
      <c r="K372" s="39"/>
      <c r="L372" s="39"/>
      <c r="M372" s="39"/>
      <c r="N372" s="39"/>
      <c r="O372" s="39"/>
      <c r="P372" s="39"/>
      <c r="Q372" s="39"/>
      <c r="R372" s="39">
        <v>2</v>
      </c>
      <c r="S372" s="10">
        <f t="shared" si="98"/>
        <v>2</v>
      </c>
      <c r="T372" s="10">
        <v>100000</v>
      </c>
      <c r="U372" s="10">
        <f t="shared" si="100"/>
        <v>200000</v>
      </c>
      <c r="V372" s="4"/>
      <c r="Y372" s="4"/>
    </row>
    <row r="373" spans="2:25" ht="37.5" hidden="1">
      <c r="B373" s="58"/>
      <c r="C373" s="60"/>
      <c r="D373" s="52" t="s">
        <v>42</v>
      </c>
      <c r="E373" s="63"/>
      <c r="F373" s="8">
        <v>8.3333333333333329E-2</v>
      </c>
      <c r="G373" s="67" t="s">
        <v>105</v>
      </c>
      <c r="H373" s="68"/>
      <c r="I373" s="35">
        <v>76</v>
      </c>
      <c r="J373" s="9">
        <f t="shared" si="97"/>
        <v>2.6315789473684209E-2</v>
      </c>
      <c r="K373" s="39"/>
      <c r="L373" s="39"/>
      <c r="M373" s="39">
        <v>2</v>
      </c>
      <c r="N373" s="39"/>
      <c r="O373" s="39"/>
      <c r="P373" s="39"/>
      <c r="Q373" s="39"/>
      <c r="R373" s="39"/>
      <c r="S373" s="10">
        <f t="shared" si="98"/>
        <v>2</v>
      </c>
      <c r="T373" s="10">
        <v>100000</v>
      </c>
      <c r="U373" s="10">
        <f t="shared" si="100"/>
        <v>200000</v>
      </c>
      <c r="V373" s="4"/>
      <c r="Y373" s="4"/>
    </row>
    <row r="374" spans="2:25" ht="37.5" hidden="1">
      <c r="B374" s="58"/>
      <c r="C374" s="60"/>
      <c r="D374" s="52" t="s">
        <v>42</v>
      </c>
      <c r="E374" s="63"/>
      <c r="F374" s="8">
        <v>0.16666666666666666</v>
      </c>
      <c r="G374" s="67" t="s">
        <v>105</v>
      </c>
      <c r="H374" s="68"/>
      <c r="I374" s="35">
        <v>76</v>
      </c>
      <c r="J374" s="9">
        <f t="shared" si="97"/>
        <v>2.6315789473684209E-2</v>
      </c>
      <c r="K374" s="39"/>
      <c r="L374" s="39"/>
      <c r="M374" s="39">
        <v>2</v>
      </c>
      <c r="N374" s="39"/>
      <c r="O374" s="39"/>
      <c r="P374" s="39"/>
      <c r="Q374" s="39"/>
      <c r="R374" s="39"/>
      <c r="S374" s="10">
        <f t="shared" si="98"/>
        <v>2</v>
      </c>
      <c r="T374" s="10">
        <v>100000</v>
      </c>
      <c r="U374" s="10">
        <f t="shared" si="100"/>
        <v>200000</v>
      </c>
      <c r="V374" s="4"/>
      <c r="W374" s="4"/>
      <c r="X374" s="4"/>
      <c r="Y374" s="4"/>
    </row>
    <row r="375" spans="2:25" ht="37.5" hidden="1">
      <c r="B375" s="58"/>
      <c r="C375" s="60"/>
      <c r="D375" s="52" t="s">
        <v>42</v>
      </c>
      <c r="E375" s="63"/>
      <c r="F375" s="8">
        <v>0.25</v>
      </c>
      <c r="G375" s="67" t="s">
        <v>105</v>
      </c>
      <c r="H375" s="68"/>
      <c r="I375" s="35">
        <v>76</v>
      </c>
      <c r="J375" s="9">
        <f t="shared" si="97"/>
        <v>0</v>
      </c>
      <c r="K375" s="39"/>
      <c r="L375" s="39"/>
      <c r="M375" s="39"/>
      <c r="N375" s="39"/>
      <c r="O375" s="39"/>
      <c r="P375" s="39"/>
      <c r="Q375" s="39"/>
      <c r="R375" s="39"/>
      <c r="S375" s="10">
        <f t="shared" si="98"/>
        <v>0</v>
      </c>
      <c r="T375" s="10">
        <v>100000</v>
      </c>
      <c r="U375" s="10">
        <f t="shared" si="100"/>
        <v>0</v>
      </c>
      <c r="V375" s="4"/>
      <c r="Y375" s="4"/>
    </row>
    <row r="376" spans="2:25" ht="37.5" hidden="1">
      <c r="B376" s="58"/>
      <c r="C376" s="61"/>
      <c r="D376" s="53" t="s">
        <v>42</v>
      </c>
      <c r="E376" s="69"/>
      <c r="F376" s="14">
        <v>0.33333333333333331</v>
      </c>
      <c r="G376" s="67" t="s">
        <v>105</v>
      </c>
      <c r="H376" s="68"/>
      <c r="I376" s="37">
        <v>76</v>
      </c>
      <c r="J376" s="15">
        <f t="shared" si="97"/>
        <v>0</v>
      </c>
      <c r="K376" s="40"/>
      <c r="L376" s="40"/>
      <c r="M376" s="40"/>
      <c r="N376" s="40"/>
      <c r="O376" s="40"/>
      <c r="P376" s="40"/>
      <c r="Q376" s="40"/>
      <c r="R376" s="40"/>
      <c r="S376" s="16">
        <f t="shared" si="98"/>
        <v>0</v>
      </c>
      <c r="T376" s="16">
        <v>100000</v>
      </c>
      <c r="U376" s="16">
        <f t="shared" si="100"/>
        <v>0</v>
      </c>
      <c r="V376" s="4"/>
      <c r="W376" s="4"/>
      <c r="X376" s="4"/>
      <c r="Y376" s="4"/>
    </row>
    <row r="377" spans="2:25" ht="38.25" hidden="1" customHeight="1">
      <c r="B377" s="58">
        <v>46112</v>
      </c>
      <c r="C377" s="59" t="s">
        <v>15</v>
      </c>
      <c r="D377" s="51" t="s">
        <v>42</v>
      </c>
      <c r="E377" s="62" t="s">
        <v>101</v>
      </c>
      <c r="F377" s="5">
        <v>0.41666666666666669</v>
      </c>
      <c r="G377" s="65" t="s">
        <v>103</v>
      </c>
      <c r="H377" s="66"/>
      <c r="I377" s="34">
        <v>75</v>
      </c>
      <c r="J377" s="6">
        <f t="shared" si="97"/>
        <v>6.6666666666666666E-2</v>
      </c>
      <c r="K377" s="38"/>
      <c r="L377" s="38"/>
      <c r="M377" s="38">
        <v>5</v>
      </c>
      <c r="N377" s="38"/>
      <c r="O377" s="38"/>
      <c r="P377" s="38"/>
      <c r="Q377" s="38"/>
      <c r="R377" s="38"/>
      <c r="S377" s="7">
        <f>SUM(K377:R377)</f>
        <v>5</v>
      </c>
      <c r="T377" s="7">
        <v>100000</v>
      </c>
      <c r="U377" s="7">
        <f>T377*S377</f>
        <v>500000</v>
      </c>
      <c r="V377" s="4"/>
      <c r="W377" s="4"/>
      <c r="X377" s="4"/>
      <c r="Y377" s="4"/>
    </row>
    <row r="378" spans="2:25" ht="37.5" hidden="1">
      <c r="B378" s="58"/>
      <c r="C378" s="60"/>
      <c r="D378" s="52" t="s">
        <v>42</v>
      </c>
      <c r="E378" s="63"/>
      <c r="F378" s="8">
        <v>0.5</v>
      </c>
      <c r="G378" s="67" t="s">
        <v>103</v>
      </c>
      <c r="H378" s="68"/>
      <c r="I378" s="35">
        <v>75</v>
      </c>
      <c r="J378" s="9">
        <f t="shared" si="97"/>
        <v>9.3333333333333338E-2</v>
      </c>
      <c r="K378" s="39">
        <v>7</v>
      </c>
      <c r="L378" s="39"/>
      <c r="M378" s="39"/>
      <c r="N378" s="39"/>
      <c r="O378" s="39"/>
      <c r="P378" s="39"/>
      <c r="Q378" s="39"/>
      <c r="R378" s="39"/>
      <c r="S378" s="10">
        <f t="shared" ref="S378:S388" si="101">SUM(K378:R378)</f>
        <v>7</v>
      </c>
      <c r="T378" s="10">
        <v>100000</v>
      </c>
      <c r="U378" s="10">
        <f t="shared" ref="U378:U379" si="102">T378*S378</f>
        <v>700000</v>
      </c>
      <c r="V378" s="4"/>
      <c r="W378" s="4"/>
      <c r="X378" s="4"/>
      <c r="Y378" s="4"/>
    </row>
    <row r="379" spans="2:25" ht="37.5" hidden="1">
      <c r="B379" s="58"/>
      <c r="C379" s="60"/>
      <c r="D379" s="52" t="s">
        <v>42</v>
      </c>
      <c r="E379" s="63"/>
      <c r="F379" s="8">
        <v>0.58333333333333337</v>
      </c>
      <c r="G379" s="67" t="s">
        <v>103</v>
      </c>
      <c r="H379" s="68"/>
      <c r="I379" s="35">
        <v>75</v>
      </c>
      <c r="J379" s="9">
        <f t="shared" si="97"/>
        <v>0</v>
      </c>
      <c r="K379" s="39"/>
      <c r="L379" s="39"/>
      <c r="M379" s="39"/>
      <c r="N379" s="39"/>
      <c r="O379" s="39"/>
      <c r="P379" s="39"/>
      <c r="Q379" s="39"/>
      <c r="R379" s="39"/>
      <c r="S379" s="10">
        <f t="shared" si="101"/>
        <v>0</v>
      </c>
      <c r="T379" s="10">
        <v>100000</v>
      </c>
      <c r="U379" s="10">
        <f t="shared" si="102"/>
        <v>0</v>
      </c>
      <c r="V379" s="4"/>
      <c r="W379" s="4"/>
      <c r="X379" s="4"/>
      <c r="Y379" s="4"/>
    </row>
    <row r="380" spans="2:25" ht="37.5" hidden="1">
      <c r="B380" s="58"/>
      <c r="C380" s="60"/>
      <c r="D380" s="52" t="s">
        <v>42</v>
      </c>
      <c r="E380" s="63"/>
      <c r="F380" s="8">
        <v>0.66666666666666663</v>
      </c>
      <c r="G380" s="67" t="s">
        <v>103</v>
      </c>
      <c r="H380" s="68"/>
      <c r="I380" s="35">
        <v>75</v>
      </c>
      <c r="J380" s="9">
        <f t="shared" si="97"/>
        <v>0</v>
      </c>
      <c r="K380" s="39"/>
      <c r="L380" s="39"/>
      <c r="M380" s="39"/>
      <c r="N380" s="39"/>
      <c r="O380" s="39"/>
      <c r="P380" s="39"/>
      <c r="Q380" s="39"/>
      <c r="R380" s="39"/>
      <c r="S380" s="10">
        <f t="shared" si="101"/>
        <v>0</v>
      </c>
      <c r="T380" s="10">
        <v>100000</v>
      </c>
      <c r="U380" s="10">
        <f>T380*S380</f>
        <v>0</v>
      </c>
      <c r="V380" s="4"/>
      <c r="W380" s="4"/>
      <c r="X380" s="4"/>
      <c r="Y380" s="4"/>
    </row>
    <row r="381" spans="2:25" ht="37.5" hidden="1">
      <c r="B381" s="58"/>
      <c r="C381" s="60"/>
      <c r="D381" s="52" t="s">
        <v>42</v>
      </c>
      <c r="E381" s="63"/>
      <c r="F381" s="8">
        <v>0.75</v>
      </c>
      <c r="G381" s="67" t="s">
        <v>103</v>
      </c>
      <c r="H381" s="68"/>
      <c r="I381" s="35">
        <v>75</v>
      </c>
      <c r="J381" s="9">
        <f t="shared" si="97"/>
        <v>0</v>
      </c>
      <c r="K381" s="39"/>
      <c r="L381" s="39"/>
      <c r="M381" s="39"/>
      <c r="N381" s="39"/>
      <c r="O381" s="39"/>
      <c r="P381" s="39"/>
      <c r="Q381" s="39"/>
      <c r="R381" s="39"/>
      <c r="S381" s="10">
        <f t="shared" si="101"/>
        <v>0</v>
      </c>
      <c r="T381" s="10">
        <v>100000</v>
      </c>
      <c r="U381" s="10">
        <f t="shared" ref="U381:U388" si="103">T381*S381</f>
        <v>0</v>
      </c>
      <c r="V381" s="4"/>
      <c r="W381" s="4"/>
      <c r="X381" s="11"/>
      <c r="Y381" s="4"/>
    </row>
    <row r="382" spans="2:25" ht="37.5" hidden="1">
      <c r="B382" s="58"/>
      <c r="C382" s="60"/>
      <c r="D382" s="53" t="s">
        <v>42</v>
      </c>
      <c r="E382" s="64"/>
      <c r="F382" s="12">
        <v>0.83333333333333337</v>
      </c>
      <c r="G382" s="67" t="s">
        <v>103</v>
      </c>
      <c r="H382" s="68"/>
      <c r="I382" s="36">
        <v>81</v>
      </c>
      <c r="J382" s="9">
        <f t="shared" si="97"/>
        <v>0</v>
      </c>
      <c r="K382" s="41"/>
      <c r="L382" s="41"/>
      <c r="M382" s="41"/>
      <c r="N382" s="41"/>
      <c r="O382" s="41"/>
      <c r="P382" s="41"/>
      <c r="Q382" s="41"/>
      <c r="R382" s="41"/>
      <c r="S382" s="13">
        <f t="shared" si="101"/>
        <v>0</v>
      </c>
      <c r="T382" s="13">
        <v>100000</v>
      </c>
      <c r="U382" s="13">
        <f t="shared" si="103"/>
        <v>0</v>
      </c>
      <c r="V382" s="4"/>
      <c r="Y382" s="4"/>
    </row>
    <row r="383" spans="2:25" ht="37.5" hidden="1">
      <c r="B383" s="58"/>
      <c r="C383" s="60"/>
      <c r="D383" s="51" t="s">
        <v>42</v>
      </c>
      <c r="E383" s="62" t="s">
        <v>102</v>
      </c>
      <c r="F383" s="5">
        <v>0.91666666666666663</v>
      </c>
      <c r="G383" s="65" t="s">
        <v>88</v>
      </c>
      <c r="H383" s="66"/>
      <c r="I383" s="34">
        <v>70</v>
      </c>
      <c r="J383" s="6">
        <f t="shared" si="97"/>
        <v>0</v>
      </c>
      <c r="K383" s="38"/>
      <c r="L383" s="38"/>
      <c r="M383" s="38"/>
      <c r="N383" s="38"/>
      <c r="O383" s="38"/>
      <c r="P383" s="38"/>
      <c r="Q383" s="38"/>
      <c r="R383" s="38"/>
      <c r="S383" s="7">
        <f t="shared" si="101"/>
        <v>0</v>
      </c>
      <c r="T383" s="7">
        <v>100000</v>
      </c>
      <c r="U383" s="7">
        <f t="shared" si="103"/>
        <v>0</v>
      </c>
      <c r="V383" s="4"/>
      <c r="Y383" s="4"/>
    </row>
    <row r="384" spans="2:25" ht="37.5" hidden="1">
      <c r="B384" s="58"/>
      <c r="C384" s="60"/>
      <c r="D384" s="52" t="s">
        <v>42</v>
      </c>
      <c r="E384" s="63"/>
      <c r="F384" s="8">
        <v>1</v>
      </c>
      <c r="G384" s="67" t="s">
        <v>88</v>
      </c>
      <c r="H384" s="68"/>
      <c r="I384" s="35">
        <v>70</v>
      </c>
      <c r="J384" s="9">
        <f t="shared" si="97"/>
        <v>0</v>
      </c>
      <c r="K384" s="39"/>
      <c r="L384" s="39"/>
      <c r="M384" s="39"/>
      <c r="N384" s="39"/>
      <c r="O384" s="39"/>
      <c r="P384" s="39"/>
      <c r="Q384" s="39"/>
      <c r="R384" s="39"/>
      <c r="S384" s="10">
        <f t="shared" si="101"/>
        <v>0</v>
      </c>
      <c r="T384" s="10">
        <v>100000</v>
      </c>
      <c r="U384" s="10">
        <f t="shared" si="103"/>
        <v>0</v>
      </c>
      <c r="V384" s="4"/>
      <c r="Y384" s="4"/>
    </row>
    <row r="385" spans="2:25" ht="37.5" hidden="1">
      <c r="B385" s="58"/>
      <c r="C385" s="60"/>
      <c r="D385" s="52" t="s">
        <v>42</v>
      </c>
      <c r="E385" s="63"/>
      <c r="F385" s="8">
        <v>8.3333333333333329E-2</v>
      </c>
      <c r="G385" s="67" t="s">
        <v>88</v>
      </c>
      <c r="H385" s="68"/>
      <c r="I385" s="35">
        <v>70</v>
      </c>
      <c r="J385" s="9">
        <f t="shared" si="97"/>
        <v>0</v>
      </c>
      <c r="K385" s="39"/>
      <c r="L385" s="39"/>
      <c r="M385" s="39"/>
      <c r="N385" s="39"/>
      <c r="O385" s="39"/>
      <c r="P385" s="39"/>
      <c r="Q385" s="39"/>
      <c r="R385" s="39"/>
      <c r="S385" s="10">
        <f t="shared" si="101"/>
        <v>0</v>
      </c>
      <c r="T385" s="10">
        <v>100000</v>
      </c>
      <c r="U385" s="10">
        <f t="shared" si="103"/>
        <v>0</v>
      </c>
      <c r="V385" s="4"/>
      <c r="Y385" s="4"/>
    </row>
    <row r="386" spans="2:25" ht="37.5" hidden="1">
      <c r="B386" s="58"/>
      <c r="C386" s="60"/>
      <c r="D386" s="52" t="s">
        <v>42</v>
      </c>
      <c r="E386" s="63"/>
      <c r="F386" s="8">
        <v>0.16666666666666666</v>
      </c>
      <c r="G386" s="67" t="s">
        <v>88</v>
      </c>
      <c r="H386" s="68"/>
      <c r="I386" s="35">
        <v>75</v>
      </c>
      <c r="J386" s="9">
        <f t="shared" si="97"/>
        <v>0</v>
      </c>
      <c r="K386" s="39"/>
      <c r="L386" s="39"/>
      <c r="M386" s="39"/>
      <c r="N386" s="39"/>
      <c r="O386" s="39"/>
      <c r="P386" s="39"/>
      <c r="Q386" s="39"/>
      <c r="R386" s="39"/>
      <c r="S386" s="10">
        <f t="shared" si="101"/>
        <v>0</v>
      </c>
      <c r="T386" s="10">
        <v>100000</v>
      </c>
      <c r="U386" s="10">
        <f t="shared" si="103"/>
        <v>0</v>
      </c>
      <c r="V386" s="4"/>
      <c r="W386" s="4"/>
      <c r="X386" s="4"/>
      <c r="Y386" s="4"/>
    </row>
    <row r="387" spans="2:25" ht="37.5" hidden="1">
      <c r="B387" s="58"/>
      <c r="C387" s="60"/>
      <c r="D387" s="52" t="s">
        <v>43</v>
      </c>
      <c r="E387" s="63"/>
      <c r="F387" s="8">
        <v>0.25</v>
      </c>
      <c r="G387" s="67" t="s">
        <v>88</v>
      </c>
      <c r="H387" s="68"/>
      <c r="I387" s="35">
        <v>10</v>
      </c>
      <c r="J387" s="9">
        <f t="shared" si="97"/>
        <v>0.5</v>
      </c>
      <c r="K387" s="39"/>
      <c r="L387" s="39"/>
      <c r="M387" s="39"/>
      <c r="N387" s="39"/>
      <c r="O387" s="39"/>
      <c r="P387" s="39"/>
      <c r="Q387" s="39">
        <v>5</v>
      </c>
      <c r="R387" s="39"/>
      <c r="S387" s="10">
        <f t="shared" si="101"/>
        <v>5</v>
      </c>
      <c r="T387" s="10">
        <v>100000</v>
      </c>
      <c r="U387" s="10">
        <f t="shared" si="103"/>
        <v>500000</v>
      </c>
      <c r="V387" s="4"/>
      <c r="Y387" s="4"/>
    </row>
    <row r="388" spans="2:25" ht="37.5" hidden="1">
      <c r="B388" s="58"/>
      <c r="C388" s="61"/>
      <c r="D388" s="53" t="s">
        <v>43</v>
      </c>
      <c r="E388" s="69"/>
      <c r="F388" s="14">
        <v>0.33333333333333331</v>
      </c>
      <c r="G388" s="67" t="s">
        <v>88</v>
      </c>
      <c r="H388" s="68"/>
      <c r="I388" s="37">
        <v>47</v>
      </c>
      <c r="J388" s="15">
        <f t="shared" si="97"/>
        <v>6.3829787234042548E-2</v>
      </c>
      <c r="K388" s="40"/>
      <c r="L388" s="40"/>
      <c r="M388" s="40"/>
      <c r="N388" s="40"/>
      <c r="O388" s="40"/>
      <c r="P388" s="40"/>
      <c r="Q388" s="40"/>
      <c r="R388" s="40">
        <v>3</v>
      </c>
      <c r="S388" s="16">
        <f t="shared" si="101"/>
        <v>3</v>
      </c>
      <c r="T388" s="16">
        <v>100000</v>
      </c>
      <c r="U388" s="16">
        <f t="shared" si="103"/>
        <v>300000</v>
      </c>
      <c r="V388" s="4"/>
      <c r="W388" s="4"/>
      <c r="X388" s="4"/>
      <c r="Y388" s="4"/>
    </row>
    <row r="389" spans="2:25" ht="36" customHeight="1">
      <c r="B389" s="58">
        <v>46113</v>
      </c>
      <c r="C389" s="59" t="s">
        <v>15</v>
      </c>
      <c r="D389" s="51" t="s">
        <v>43</v>
      </c>
      <c r="E389" s="62" t="s">
        <v>101</v>
      </c>
      <c r="F389" s="5">
        <v>0.41666666666666669</v>
      </c>
      <c r="G389" s="65" t="s">
        <v>103</v>
      </c>
      <c r="H389" s="66"/>
      <c r="I389" s="34">
        <v>42</v>
      </c>
      <c r="J389" s="6">
        <f t="shared" si="97"/>
        <v>0.26190476190476192</v>
      </c>
      <c r="K389" s="38">
        <v>5</v>
      </c>
      <c r="L389" s="38"/>
      <c r="M389" s="38"/>
      <c r="N389" s="38"/>
      <c r="O389" s="38"/>
      <c r="P389" s="38"/>
      <c r="Q389" s="38">
        <v>6</v>
      </c>
      <c r="R389" s="38"/>
      <c r="S389" s="7">
        <f>SUM(K389:R389)</f>
        <v>11</v>
      </c>
      <c r="T389" s="7">
        <v>100000</v>
      </c>
      <c r="U389" s="7">
        <f>T389*S389</f>
        <v>1100000</v>
      </c>
      <c r="V389" s="4"/>
      <c r="W389" s="4"/>
      <c r="X389" s="4"/>
      <c r="Y389" s="4"/>
    </row>
    <row r="390" spans="2:25" ht="37.5">
      <c r="B390" s="58"/>
      <c r="C390" s="60"/>
      <c r="D390" s="52" t="s">
        <v>43</v>
      </c>
      <c r="E390" s="63"/>
      <c r="F390" s="8">
        <v>0.5</v>
      </c>
      <c r="G390" s="67" t="s">
        <v>103</v>
      </c>
      <c r="H390" s="68"/>
      <c r="I390" s="35">
        <v>55</v>
      </c>
      <c r="J390" s="9">
        <f t="shared" si="97"/>
        <v>3.6363636363636362E-2</v>
      </c>
      <c r="K390" s="39"/>
      <c r="L390" s="39"/>
      <c r="M390" s="39"/>
      <c r="N390" s="39"/>
      <c r="O390" s="39"/>
      <c r="P390" s="39"/>
      <c r="Q390" s="39"/>
      <c r="R390" s="39">
        <v>2</v>
      </c>
      <c r="S390" s="10">
        <f t="shared" ref="S390:S400" si="104">SUM(K390:R390)</f>
        <v>2</v>
      </c>
      <c r="T390" s="10">
        <v>100000</v>
      </c>
      <c r="U390" s="10">
        <f t="shared" ref="U390:U391" si="105">T390*S390</f>
        <v>200000</v>
      </c>
      <c r="V390" s="4"/>
      <c r="W390" s="4"/>
      <c r="X390" s="4"/>
      <c r="Y390" s="4"/>
    </row>
    <row r="391" spans="2:25" ht="37.5">
      <c r="B391" s="58"/>
      <c r="C391" s="60"/>
      <c r="D391" s="52" t="s">
        <v>43</v>
      </c>
      <c r="E391" s="63"/>
      <c r="F391" s="8">
        <v>0.58333333333333337</v>
      </c>
      <c r="G391" s="67" t="s">
        <v>103</v>
      </c>
      <c r="H391" s="68"/>
      <c r="I391" s="35">
        <v>57</v>
      </c>
      <c r="J391" s="9">
        <f t="shared" si="97"/>
        <v>0</v>
      </c>
      <c r="K391" s="39"/>
      <c r="L391" s="39"/>
      <c r="M391" s="39"/>
      <c r="N391" s="39"/>
      <c r="O391" s="39"/>
      <c r="P391" s="39"/>
      <c r="Q391" s="39"/>
      <c r="R391" s="39"/>
      <c r="S391" s="10">
        <f t="shared" si="104"/>
        <v>0</v>
      </c>
      <c r="T391" s="10">
        <v>100000</v>
      </c>
      <c r="U391" s="10">
        <f t="shared" si="105"/>
        <v>0</v>
      </c>
      <c r="V391" s="4"/>
      <c r="W391" s="4"/>
      <c r="X391" s="4"/>
      <c r="Y391" s="4"/>
    </row>
    <row r="392" spans="2:25" ht="37.5">
      <c r="B392" s="58"/>
      <c r="C392" s="60"/>
      <c r="D392" s="52" t="s">
        <v>43</v>
      </c>
      <c r="E392" s="63"/>
      <c r="F392" s="8">
        <v>0.66666666666666663</v>
      </c>
      <c r="G392" s="67" t="s">
        <v>103</v>
      </c>
      <c r="H392" s="68"/>
      <c r="I392" s="35">
        <v>57</v>
      </c>
      <c r="J392" s="9">
        <f t="shared" si="97"/>
        <v>0</v>
      </c>
      <c r="K392" s="39"/>
      <c r="L392" s="39"/>
      <c r="M392" s="39"/>
      <c r="N392" s="39"/>
      <c r="O392" s="39"/>
      <c r="P392" s="39"/>
      <c r="Q392" s="39"/>
      <c r="R392" s="39"/>
      <c r="S392" s="10">
        <f t="shared" si="104"/>
        <v>0</v>
      </c>
      <c r="T392" s="10">
        <v>100000</v>
      </c>
      <c r="U392" s="10">
        <f>T392*S392</f>
        <v>0</v>
      </c>
      <c r="V392" s="4"/>
      <c r="W392" s="4"/>
      <c r="X392" s="4"/>
      <c r="Y392" s="4"/>
    </row>
    <row r="393" spans="2:25" ht="37.5">
      <c r="B393" s="58"/>
      <c r="C393" s="60"/>
      <c r="D393" s="52" t="s">
        <v>43</v>
      </c>
      <c r="E393" s="63"/>
      <c r="F393" s="8">
        <v>0.75</v>
      </c>
      <c r="G393" s="67" t="s">
        <v>103</v>
      </c>
      <c r="H393" s="68"/>
      <c r="I393" s="35">
        <v>57</v>
      </c>
      <c r="J393" s="9">
        <f t="shared" si="97"/>
        <v>0</v>
      </c>
      <c r="K393" s="39"/>
      <c r="L393" s="39"/>
      <c r="M393" s="39"/>
      <c r="N393" s="39"/>
      <c r="O393" s="39"/>
      <c r="P393" s="39"/>
      <c r="Q393" s="39"/>
      <c r="R393" s="39"/>
      <c r="S393" s="10">
        <f t="shared" si="104"/>
        <v>0</v>
      </c>
      <c r="T393" s="10">
        <v>100000</v>
      </c>
      <c r="U393" s="10">
        <f t="shared" ref="U393:U400" si="106">T393*S393</f>
        <v>0</v>
      </c>
      <c r="V393" s="4"/>
      <c r="W393" s="4"/>
      <c r="X393" s="11"/>
      <c r="Y393" s="4"/>
    </row>
    <row r="394" spans="2:25" ht="37.5">
      <c r="B394" s="58"/>
      <c r="C394" s="60"/>
      <c r="D394" s="53" t="s">
        <v>43</v>
      </c>
      <c r="E394" s="64"/>
      <c r="F394" s="12">
        <v>0.83333333333333337</v>
      </c>
      <c r="G394" s="67" t="s">
        <v>103</v>
      </c>
      <c r="H394" s="68"/>
      <c r="I394" s="36">
        <v>55</v>
      </c>
      <c r="J394" s="9">
        <f t="shared" si="97"/>
        <v>0</v>
      </c>
      <c r="K394" s="41"/>
      <c r="L394" s="41"/>
      <c r="M394" s="41"/>
      <c r="N394" s="41"/>
      <c r="O394" s="41"/>
      <c r="P394" s="41"/>
      <c r="Q394" s="41"/>
      <c r="R394" s="41"/>
      <c r="S394" s="13">
        <f t="shared" si="104"/>
        <v>0</v>
      </c>
      <c r="T394" s="13">
        <v>100000</v>
      </c>
      <c r="U394" s="13">
        <f t="shared" si="106"/>
        <v>0</v>
      </c>
      <c r="V394" s="4"/>
      <c r="Y394" s="4"/>
    </row>
    <row r="395" spans="2:25" ht="37.5">
      <c r="B395" s="58"/>
      <c r="C395" s="60"/>
      <c r="D395" s="51" t="s">
        <v>43</v>
      </c>
      <c r="E395" s="62" t="s">
        <v>102</v>
      </c>
      <c r="F395" s="5">
        <v>0.91666666666666663</v>
      </c>
      <c r="G395" s="65" t="s">
        <v>105</v>
      </c>
      <c r="H395" s="66"/>
      <c r="I395" s="34">
        <v>53</v>
      </c>
      <c r="J395" s="6">
        <f t="shared" si="97"/>
        <v>3.7735849056603772E-2</v>
      </c>
      <c r="K395" s="38"/>
      <c r="L395" s="38"/>
      <c r="M395" s="38"/>
      <c r="N395" s="38"/>
      <c r="O395" s="38"/>
      <c r="P395" s="38"/>
      <c r="Q395" s="38"/>
      <c r="R395" s="38">
        <v>2</v>
      </c>
      <c r="S395" s="7">
        <f t="shared" si="104"/>
        <v>2</v>
      </c>
      <c r="T395" s="7">
        <v>100000</v>
      </c>
      <c r="U395" s="7">
        <f t="shared" si="106"/>
        <v>200000</v>
      </c>
      <c r="V395" s="4"/>
      <c r="Y395" s="4"/>
    </row>
    <row r="396" spans="2:25" ht="37.5">
      <c r="B396" s="58"/>
      <c r="C396" s="60"/>
      <c r="D396" s="52" t="s">
        <v>43</v>
      </c>
      <c r="E396" s="63"/>
      <c r="F396" s="8">
        <v>1</v>
      </c>
      <c r="G396" s="67" t="s">
        <v>105</v>
      </c>
      <c r="H396" s="68"/>
      <c r="I396" s="35">
        <v>54</v>
      </c>
      <c r="J396" s="9">
        <f t="shared" si="97"/>
        <v>3.7037037037037035E-2</v>
      </c>
      <c r="K396" s="39"/>
      <c r="L396" s="39"/>
      <c r="M396" s="39"/>
      <c r="N396" s="39"/>
      <c r="O396" s="39"/>
      <c r="P396" s="39"/>
      <c r="Q396" s="39"/>
      <c r="R396" s="39">
        <v>2</v>
      </c>
      <c r="S396" s="10">
        <f t="shared" si="104"/>
        <v>2</v>
      </c>
      <c r="T396" s="10">
        <v>100000</v>
      </c>
      <c r="U396" s="10">
        <f t="shared" si="106"/>
        <v>200000</v>
      </c>
      <c r="V396" s="4"/>
      <c r="Y396" s="4"/>
    </row>
    <row r="397" spans="2:25" ht="37.5">
      <c r="B397" s="58"/>
      <c r="C397" s="60"/>
      <c r="D397" s="52" t="s">
        <v>43</v>
      </c>
      <c r="E397" s="63"/>
      <c r="F397" s="8">
        <v>8.3333333333333329E-2</v>
      </c>
      <c r="G397" s="67" t="s">
        <v>105</v>
      </c>
      <c r="H397" s="68"/>
      <c r="I397" s="35">
        <v>54</v>
      </c>
      <c r="J397" s="9">
        <f t="shared" si="97"/>
        <v>3.7037037037037035E-2</v>
      </c>
      <c r="K397" s="39"/>
      <c r="L397" s="39"/>
      <c r="M397" s="39"/>
      <c r="N397" s="39"/>
      <c r="O397" s="39"/>
      <c r="P397" s="39"/>
      <c r="Q397" s="39"/>
      <c r="R397" s="39">
        <v>2</v>
      </c>
      <c r="S397" s="10">
        <f t="shared" si="104"/>
        <v>2</v>
      </c>
      <c r="T397" s="10">
        <v>100000</v>
      </c>
      <c r="U397" s="10">
        <f t="shared" si="106"/>
        <v>200000</v>
      </c>
      <c r="V397" s="4"/>
      <c r="Y397" s="4"/>
    </row>
    <row r="398" spans="2:25" ht="37.5">
      <c r="B398" s="58"/>
      <c r="C398" s="60"/>
      <c r="D398" s="52" t="s">
        <v>43</v>
      </c>
      <c r="E398" s="63"/>
      <c r="F398" s="8">
        <v>0.16666666666666666</v>
      </c>
      <c r="G398" s="67" t="s">
        <v>105</v>
      </c>
      <c r="H398" s="68"/>
      <c r="I398" s="35">
        <v>54</v>
      </c>
      <c r="J398" s="9">
        <f t="shared" si="97"/>
        <v>3.7037037037037035E-2</v>
      </c>
      <c r="K398" s="39"/>
      <c r="L398" s="39"/>
      <c r="M398" s="39"/>
      <c r="N398" s="39"/>
      <c r="O398" s="39"/>
      <c r="P398" s="39"/>
      <c r="Q398" s="39"/>
      <c r="R398" s="39">
        <v>2</v>
      </c>
      <c r="S398" s="10">
        <f t="shared" si="104"/>
        <v>2</v>
      </c>
      <c r="T398" s="10">
        <v>100000</v>
      </c>
      <c r="U398" s="10">
        <f t="shared" si="106"/>
        <v>200000</v>
      </c>
      <c r="V398" s="4"/>
      <c r="W398" s="4"/>
      <c r="X398" s="4"/>
      <c r="Y398" s="4"/>
    </row>
    <row r="399" spans="2:25" ht="37.5">
      <c r="B399" s="58"/>
      <c r="C399" s="60"/>
      <c r="D399" s="52" t="s">
        <v>43</v>
      </c>
      <c r="E399" s="63"/>
      <c r="F399" s="8">
        <v>0.25</v>
      </c>
      <c r="G399" s="67" t="s">
        <v>105</v>
      </c>
      <c r="H399" s="68"/>
      <c r="I399" s="35">
        <v>54</v>
      </c>
      <c r="J399" s="9">
        <f t="shared" si="97"/>
        <v>3.7037037037037035E-2</v>
      </c>
      <c r="K399" s="39"/>
      <c r="L399" s="39"/>
      <c r="M399" s="39"/>
      <c r="N399" s="39"/>
      <c r="O399" s="39"/>
      <c r="P399" s="39"/>
      <c r="Q399" s="39"/>
      <c r="R399" s="39">
        <v>2</v>
      </c>
      <c r="S399" s="10">
        <f t="shared" si="104"/>
        <v>2</v>
      </c>
      <c r="T399" s="10">
        <v>100000</v>
      </c>
      <c r="U399" s="10">
        <f t="shared" si="106"/>
        <v>200000</v>
      </c>
      <c r="V399" s="4"/>
      <c r="Y399" s="4"/>
    </row>
    <row r="400" spans="2:25" ht="37.5">
      <c r="B400" s="58"/>
      <c r="C400" s="61"/>
      <c r="D400" s="53" t="s">
        <v>43</v>
      </c>
      <c r="E400" s="69"/>
      <c r="F400" s="14">
        <v>0.33333333333333331</v>
      </c>
      <c r="G400" s="67" t="s">
        <v>105</v>
      </c>
      <c r="H400" s="68"/>
      <c r="I400" s="37">
        <v>54</v>
      </c>
      <c r="J400" s="15">
        <f t="shared" si="97"/>
        <v>3.7037037037037035E-2</v>
      </c>
      <c r="K400" s="40"/>
      <c r="L400" s="40"/>
      <c r="M400" s="40"/>
      <c r="N400" s="40"/>
      <c r="O400" s="40"/>
      <c r="P400" s="40"/>
      <c r="Q400" s="40"/>
      <c r="R400" s="40">
        <v>2</v>
      </c>
      <c r="S400" s="16">
        <f t="shared" si="104"/>
        <v>2</v>
      </c>
      <c r="T400" s="16">
        <v>100000</v>
      </c>
      <c r="U400" s="16">
        <f t="shared" si="106"/>
        <v>200000</v>
      </c>
      <c r="V400" s="4"/>
      <c r="W400" s="4"/>
      <c r="X400" s="4"/>
      <c r="Y400" s="4"/>
    </row>
    <row r="401" spans="2:25" ht="34.5" customHeight="1">
      <c r="B401" s="58">
        <v>46114</v>
      </c>
      <c r="C401" s="59" t="s">
        <v>15</v>
      </c>
      <c r="D401" s="51" t="s">
        <v>43</v>
      </c>
      <c r="E401" s="62" t="s">
        <v>101</v>
      </c>
      <c r="F401" s="5">
        <v>0.41666666666666669</v>
      </c>
      <c r="G401" s="65" t="s">
        <v>104</v>
      </c>
      <c r="H401" s="66"/>
      <c r="I401" s="34">
        <v>52</v>
      </c>
      <c r="J401" s="6">
        <f t="shared" ref="J401:J424" si="107">IFERROR(S401/I401,"")</f>
        <v>3.8461538461538464E-2</v>
      </c>
      <c r="K401" s="38">
        <v>2</v>
      </c>
      <c r="L401" s="38"/>
      <c r="M401" s="38"/>
      <c r="N401" s="38"/>
      <c r="O401" s="38"/>
      <c r="P401" s="38"/>
      <c r="Q401" s="38"/>
      <c r="R401" s="38"/>
      <c r="S401" s="7">
        <f>SUM(K401:R401)</f>
        <v>2</v>
      </c>
      <c r="T401" s="7">
        <v>100000</v>
      </c>
      <c r="U401" s="7">
        <f>T401*S401</f>
        <v>200000</v>
      </c>
      <c r="V401" s="4"/>
      <c r="W401" s="4"/>
      <c r="X401" s="4"/>
      <c r="Y401" s="4"/>
    </row>
    <row r="402" spans="2:25" ht="37.5">
      <c r="B402" s="58"/>
      <c r="C402" s="60"/>
      <c r="D402" s="52" t="s">
        <v>43</v>
      </c>
      <c r="E402" s="63"/>
      <c r="F402" s="8">
        <v>0.5</v>
      </c>
      <c r="G402" s="67" t="s">
        <v>104</v>
      </c>
      <c r="H402" s="68"/>
      <c r="I402" s="35">
        <v>50</v>
      </c>
      <c r="J402" s="9">
        <f t="shared" si="107"/>
        <v>0.1</v>
      </c>
      <c r="K402" s="39"/>
      <c r="L402" s="39"/>
      <c r="M402" s="39"/>
      <c r="N402" s="39"/>
      <c r="O402" s="39"/>
      <c r="P402" s="39"/>
      <c r="Q402" s="39"/>
      <c r="R402" s="39">
        <v>5</v>
      </c>
      <c r="S402" s="10">
        <f t="shared" ref="S402:S412" si="108">SUM(K402:R402)</f>
        <v>5</v>
      </c>
      <c r="T402" s="10">
        <v>100000</v>
      </c>
      <c r="U402" s="10">
        <f t="shared" ref="U402:U403" si="109">T402*S402</f>
        <v>500000</v>
      </c>
      <c r="V402" s="4"/>
      <c r="W402" s="4"/>
      <c r="X402" s="4"/>
      <c r="Y402" s="4"/>
    </row>
    <row r="403" spans="2:25" ht="37.5">
      <c r="B403" s="58"/>
      <c r="C403" s="60"/>
      <c r="D403" s="52" t="s">
        <v>43</v>
      </c>
      <c r="E403" s="63"/>
      <c r="F403" s="8">
        <v>0.58333333333333337</v>
      </c>
      <c r="G403" s="67" t="s">
        <v>104</v>
      </c>
      <c r="H403" s="68"/>
      <c r="I403" s="35">
        <v>56</v>
      </c>
      <c r="J403" s="9">
        <f t="shared" si="107"/>
        <v>0</v>
      </c>
      <c r="K403" s="39"/>
      <c r="L403" s="39"/>
      <c r="M403" s="39"/>
      <c r="N403" s="39"/>
      <c r="O403" s="39"/>
      <c r="P403" s="39"/>
      <c r="Q403" s="39"/>
      <c r="R403" s="39"/>
      <c r="S403" s="10">
        <f t="shared" si="108"/>
        <v>0</v>
      </c>
      <c r="T403" s="10">
        <v>100000</v>
      </c>
      <c r="U403" s="10">
        <f t="shared" si="109"/>
        <v>0</v>
      </c>
      <c r="V403" s="4"/>
      <c r="W403" s="4"/>
      <c r="X403" s="4"/>
      <c r="Y403" s="4"/>
    </row>
    <row r="404" spans="2:25" ht="37.5">
      <c r="B404" s="58"/>
      <c r="C404" s="60"/>
      <c r="D404" s="52" t="s">
        <v>43</v>
      </c>
      <c r="E404" s="63"/>
      <c r="F404" s="8">
        <v>0.66666666666666663</v>
      </c>
      <c r="G404" s="67" t="s">
        <v>104</v>
      </c>
      <c r="H404" s="68"/>
      <c r="I404" s="35">
        <v>56</v>
      </c>
      <c r="J404" s="9">
        <f t="shared" si="107"/>
        <v>0</v>
      </c>
      <c r="K404" s="39"/>
      <c r="L404" s="39"/>
      <c r="M404" s="39"/>
      <c r="N404" s="39"/>
      <c r="O404" s="39"/>
      <c r="P404" s="39"/>
      <c r="Q404" s="39"/>
      <c r="R404" s="39"/>
      <c r="S404" s="10">
        <f t="shared" si="108"/>
        <v>0</v>
      </c>
      <c r="T404" s="10">
        <v>100000</v>
      </c>
      <c r="U404" s="10">
        <f>T404*S404</f>
        <v>0</v>
      </c>
      <c r="V404" s="4"/>
      <c r="W404" s="4"/>
      <c r="X404" s="4"/>
      <c r="Y404" s="4"/>
    </row>
    <row r="405" spans="2:25" ht="37.5">
      <c r="B405" s="58"/>
      <c r="C405" s="60"/>
      <c r="D405" s="52" t="s">
        <v>43</v>
      </c>
      <c r="E405" s="63"/>
      <c r="F405" s="8">
        <v>0.75</v>
      </c>
      <c r="G405" s="67" t="s">
        <v>104</v>
      </c>
      <c r="H405" s="68"/>
      <c r="I405" s="35">
        <v>56</v>
      </c>
      <c r="J405" s="9">
        <f t="shared" si="107"/>
        <v>0</v>
      </c>
      <c r="K405" s="39"/>
      <c r="L405" s="39"/>
      <c r="M405" s="39"/>
      <c r="N405" s="39"/>
      <c r="O405" s="39"/>
      <c r="P405" s="39"/>
      <c r="Q405" s="39"/>
      <c r="R405" s="39"/>
      <c r="S405" s="10">
        <f t="shared" si="108"/>
        <v>0</v>
      </c>
      <c r="T405" s="10">
        <v>100000</v>
      </c>
      <c r="U405" s="10">
        <f t="shared" ref="U405:U412" si="110">T405*S405</f>
        <v>0</v>
      </c>
      <c r="V405" s="4"/>
      <c r="W405" s="4"/>
      <c r="X405" s="11"/>
      <c r="Y405" s="4"/>
    </row>
    <row r="406" spans="2:25" ht="37.5">
      <c r="B406" s="58"/>
      <c r="C406" s="60"/>
      <c r="D406" s="53" t="s">
        <v>43</v>
      </c>
      <c r="E406" s="64"/>
      <c r="F406" s="12">
        <v>0.83333333333333337</v>
      </c>
      <c r="G406" s="67" t="s">
        <v>104</v>
      </c>
      <c r="H406" s="68"/>
      <c r="I406" s="36">
        <v>53</v>
      </c>
      <c r="J406" s="9">
        <f t="shared" si="107"/>
        <v>0</v>
      </c>
      <c r="K406" s="41"/>
      <c r="L406" s="41"/>
      <c r="M406" s="41"/>
      <c r="N406" s="41"/>
      <c r="O406" s="41"/>
      <c r="P406" s="41"/>
      <c r="Q406" s="41"/>
      <c r="R406" s="41"/>
      <c r="S406" s="13">
        <f t="shared" si="108"/>
        <v>0</v>
      </c>
      <c r="T406" s="13">
        <v>100000</v>
      </c>
      <c r="U406" s="13">
        <f t="shared" si="110"/>
        <v>0</v>
      </c>
      <c r="V406" s="4"/>
      <c r="Y406" s="4"/>
    </row>
    <row r="407" spans="2:25" ht="37.5">
      <c r="B407" s="58"/>
      <c r="C407" s="60"/>
      <c r="D407" s="51" t="s">
        <v>43</v>
      </c>
      <c r="E407" s="62" t="s">
        <v>102</v>
      </c>
      <c r="F407" s="5">
        <v>0.91666666666666663</v>
      </c>
      <c r="G407" s="65" t="s">
        <v>82</v>
      </c>
      <c r="H407" s="66"/>
      <c r="I407" s="34">
        <v>53</v>
      </c>
      <c r="J407" s="6">
        <f t="shared" si="107"/>
        <v>3.7735849056603772E-2</v>
      </c>
      <c r="K407" s="38"/>
      <c r="L407" s="38"/>
      <c r="M407" s="38"/>
      <c r="N407" s="38"/>
      <c r="O407" s="38"/>
      <c r="P407" s="38"/>
      <c r="Q407" s="38"/>
      <c r="R407" s="38">
        <v>2</v>
      </c>
      <c r="S407" s="7">
        <f t="shared" si="108"/>
        <v>2</v>
      </c>
      <c r="T407" s="7">
        <v>100000</v>
      </c>
      <c r="U407" s="7">
        <f t="shared" si="110"/>
        <v>200000</v>
      </c>
      <c r="V407" s="4"/>
      <c r="Y407" s="4"/>
    </row>
    <row r="408" spans="2:25" ht="37.5">
      <c r="B408" s="58"/>
      <c r="C408" s="60"/>
      <c r="D408" s="52" t="s">
        <v>43</v>
      </c>
      <c r="E408" s="63"/>
      <c r="F408" s="8">
        <v>1</v>
      </c>
      <c r="G408" s="67" t="s">
        <v>82</v>
      </c>
      <c r="H408" s="68"/>
      <c r="I408" s="35">
        <v>54</v>
      </c>
      <c r="J408" s="9">
        <f t="shared" si="107"/>
        <v>3.7037037037037035E-2</v>
      </c>
      <c r="K408" s="39"/>
      <c r="L408" s="39"/>
      <c r="M408" s="39"/>
      <c r="N408" s="39"/>
      <c r="O408" s="39"/>
      <c r="P408" s="39"/>
      <c r="Q408" s="39"/>
      <c r="R408" s="39">
        <v>2</v>
      </c>
      <c r="S408" s="10">
        <f t="shared" si="108"/>
        <v>2</v>
      </c>
      <c r="T408" s="10">
        <v>100000</v>
      </c>
      <c r="U408" s="10">
        <f t="shared" si="110"/>
        <v>200000</v>
      </c>
      <c r="V408" s="4"/>
      <c r="Y408" s="4"/>
    </row>
    <row r="409" spans="2:25" ht="37.5">
      <c r="B409" s="58"/>
      <c r="C409" s="60"/>
      <c r="D409" s="52" t="s">
        <v>43</v>
      </c>
      <c r="E409" s="63"/>
      <c r="F409" s="8">
        <v>8.3333333333333329E-2</v>
      </c>
      <c r="G409" s="67" t="s">
        <v>82</v>
      </c>
      <c r="H409" s="68"/>
      <c r="I409" s="35">
        <v>54</v>
      </c>
      <c r="J409" s="9">
        <f t="shared" si="107"/>
        <v>1.8518518518518517E-2</v>
      </c>
      <c r="K409" s="39"/>
      <c r="L409" s="39"/>
      <c r="M409" s="39"/>
      <c r="N409" s="39"/>
      <c r="O409" s="39"/>
      <c r="P409" s="39"/>
      <c r="Q409" s="39"/>
      <c r="R409" s="39">
        <v>1</v>
      </c>
      <c r="S409" s="10">
        <f t="shared" si="108"/>
        <v>1</v>
      </c>
      <c r="T409" s="10">
        <v>100000</v>
      </c>
      <c r="U409" s="10">
        <f t="shared" si="110"/>
        <v>100000</v>
      </c>
      <c r="V409" s="4"/>
      <c r="Y409" s="4"/>
    </row>
    <row r="410" spans="2:25" ht="37.5">
      <c r="B410" s="58"/>
      <c r="C410" s="60"/>
      <c r="D410" s="52" t="s">
        <v>43</v>
      </c>
      <c r="E410" s="63"/>
      <c r="F410" s="8">
        <v>0.16666666666666666</v>
      </c>
      <c r="G410" s="67" t="s">
        <v>82</v>
      </c>
      <c r="H410" s="68"/>
      <c r="I410" s="35">
        <v>54</v>
      </c>
      <c r="J410" s="9">
        <f t="shared" si="107"/>
        <v>0</v>
      </c>
      <c r="K410" s="39"/>
      <c r="L410" s="39"/>
      <c r="M410" s="39"/>
      <c r="N410" s="39"/>
      <c r="O410" s="39"/>
      <c r="P410" s="39"/>
      <c r="Q410" s="39"/>
      <c r="R410" s="39"/>
      <c r="S410" s="10">
        <f t="shared" si="108"/>
        <v>0</v>
      </c>
      <c r="T410" s="10">
        <v>100000</v>
      </c>
      <c r="U410" s="10">
        <f t="shared" si="110"/>
        <v>0</v>
      </c>
      <c r="V410" s="4"/>
      <c r="W410" s="4"/>
      <c r="X410" s="4"/>
      <c r="Y410" s="4"/>
    </row>
    <row r="411" spans="2:25" ht="37.5">
      <c r="B411" s="58"/>
      <c r="C411" s="60"/>
      <c r="D411" s="52" t="s">
        <v>43</v>
      </c>
      <c r="E411" s="63"/>
      <c r="F411" s="8">
        <v>0.25</v>
      </c>
      <c r="G411" s="67" t="s">
        <v>82</v>
      </c>
      <c r="H411" s="68"/>
      <c r="I411" s="35">
        <v>54</v>
      </c>
      <c r="J411" s="9">
        <f t="shared" si="107"/>
        <v>0</v>
      </c>
      <c r="K411" s="39"/>
      <c r="L411" s="39"/>
      <c r="M411" s="39"/>
      <c r="N411" s="39"/>
      <c r="O411" s="39"/>
      <c r="P411" s="39"/>
      <c r="Q411" s="39"/>
      <c r="R411" s="39"/>
      <c r="S411" s="10">
        <f t="shared" si="108"/>
        <v>0</v>
      </c>
      <c r="T411" s="10">
        <v>100000</v>
      </c>
      <c r="U411" s="10">
        <f t="shared" si="110"/>
        <v>0</v>
      </c>
      <c r="V411" s="4"/>
      <c r="Y411" s="4"/>
    </row>
    <row r="412" spans="2:25" ht="37.5">
      <c r="B412" s="58"/>
      <c r="C412" s="61"/>
      <c r="D412" s="53" t="s">
        <v>43</v>
      </c>
      <c r="E412" s="69"/>
      <c r="F412" s="14">
        <v>0.33333333333333331</v>
      </c>
      <c r="G412" s="67" t="s">
        <v>82</v>
      </c>
      <c r="H412" s="68"/>
      <c r="I412" s="37">
        <v>54</v>
      </c>
      <c r="J412" s="15">
        <f t="shared" si="107"/>
        <v>0</v>
      </c>
      <c r="K412" s="40"/>
      <c r="L412" s="40"/>
      <c r="M412" s="40"/>
      <c r="N412" s="40"/>
      <c r="O412" s="40"/>
      <c r="P412" s="40"/>
      <c r="Q412" s="40"/>
      <c r="R412" s="40"/>
      <c r="S412" s="16">
        <f t="shared" si="108"/>
        <v>0</v>
      </c>
      <c r="T412" s="16">
        <v>100000</v>
      </c>
      <c r="U412" s="16">
        <f t="shared" si="110"/>
        <v>0</v>
      </c>
      <c r="V412" s="4"/>
      <c r="W412" s="4"/>
      <c r="X412" s="4"/>
      <c r="Y412" s="4"/>
    </row>
    <row r="413" spans="2:25" ht="36.75" customHeight="1">
      <c r="B413" s="58">
        <v>46115</v>
      </c>
      <c r="C413" s="59" t="s">
        <v>15</v>
      </c>
      <c r="D413" s="51" t="s">
        <v>43</v>
      </c>
      <c r="E413" s="62" t="s">
        <v>101</v>
      </c>
      <c r="F413" s="5">
        <v>0.41666666666666669</v>
      </c>
      <c r="G413" s="65" t="s">
        <v>76</v>
      </c>
      <c r="H413" s="66"/>
      <c r="I413" s="34">
        <v>57</v>
      </c>
      <c r="J413" s="6">
        <f t="shared" si="107"/>
        <v>0.14035087719298245</v>
      </c>
      <c r="K413" s="38">
        <v>2</v>
      </c>
      <c r="L413" s="38"/>
      <c r="M413" s="38"/>
      <c r="N413" s="38"/>
      <c r="O413" s="38"/>
      <c r="P413" s="38"/>
      <c r="Q413" s="38">
        <v>5</v>
      </c>
      <c r="R413" s="38">
        <v>1</v>
      </c>
      <c r="S413" s="7">
        <f>SUM(K413:R413)</f>
        <v>8</v>
      </c>
      <c r="T413" s="7">
        <v>100000</v>
      </c>
      <c r="U413" s="7">
        <f>T413*S413</f>
        <v>800000</v>
      </c>
      <c r="V413" s="4"/>
      <c r="W413" s="4"/>
      <c r="X413" s="4"/>
      <c r="Y413" s="4"/>
    </row>
    <row r="414" spans="2:25" ht="18.75">
      <c r="B414" s="58"/>
      <c r="C414" s="60"/>
      <c r="D414" s="52"/>
      <c r="E414" s="63"/>
      <c r="F414" s="8">
        <v>0.5</v>
      </c>
      <c r="G414" s="67"/>
      <c r="H414" s="68"/>
      <c r="I414" s="35"/>
      <c r="J414" s="9" t="str">
        <f t="shared" si="107"/>
        <v/>
      </c>
      <c r="K414" s="39"/>
      <c r="L414" s="39"/>
      <c r="M414" s="39"/>
      <c r="N414" s="39"/>
      <c r="O414" s="39"/>
      <c r="P414" s="39"/>
      <c r="Q414" s="39"/>
      <c r="R414" s="39"/>
      <c r="S414" s="10">
        <f t="shared" ref="S414:S424" si="111">SUM(K414:R414)</f>
        <v>0</v>
      </c>
      <c r="T414" s="10">
        <v>100000</v>
      </c>
      <c r="U414" s="10">
        <f t="shared" ref="U414:U415" si="112">T414*S414</f>
        <v>0</v>
      </c>
      <c r="V414" s="4"/>
      <c r="W414" s="4"/>
      <c r="X414" s="4"/>
      <c r="Y414" s="4"/>
    </row>
    <row r="415" spans="2:25" ht="18.75">
      <c r="B415" s="58"/>
      <c r="C415" s="60"/>
      <c r="D415" s="52"/>
      <c r="E415" s="63"/>
      <c r="F415" s="8">
        <v>0.58333333333333337</v>
      </c>
      <c r="G415" s="67"/>
      <c r="H415" s="68"/>
      <c r="I415" s="35"/>
      <c r="J415" s="9" t="str">
        <f t="shared" si="107"/>
        <v/>
      </c>
      <c r="K415" s="39"/>
      <c r="L415" s="39"/>
      <c r="M415" s="39"/>
      <c r="N415" s="39"/>
      <c r="O415" s="39"/>
      <c r="P415" s="39"/>
      <c r="Q415" s="39"/>
      <c r="R415" s="39"/>
      <c r="S415" s="10">
        <f t="shared" si="111"/>
        <v>0</v>
      </c>
      <c r="T415" s="10">
        <v>100000</v>
      </c>
      <c r="U415" s="10">
        <f t="shared" si="112"/>
        <v>0</v>
      </c>
      <c r="V415" s="4"/>
      <c r="W415" s="4"/>
      <c r="X415" s="4"/>
      <c r="Y415" s="4"/>
    </row>
    <row r="416" spans="2:25" ht="18.75">
      <c r="B416" s="58"/>
      <c r="C416" s="60"/>
      <c r="D416" s="52"/>
      <c r="E416" s="63"/>
      <c r="F416" s="8">
        <v>0.66666666666666663</v>
      </c>
      <c r="G416" s="67"/>
      <c r="H416" s="68"/>
      <c r="I416" s="35"/>
      <c r="J416" s="9" t="str">
        <f t="shared" si="107"/>
        <v/>
      </c>
      <c r="K416" s="39"/>
      <c r="L416" s="39"/>
      <c r="M416" s="39"/>
      <c r="N416" s="39"/>
      <c r="O416" s="39"/>
      <c r="P416" s="39"/>
      <c r="Q416" s="39"/>
      <c r="R416" s="39"/>
      <c r="S416" s="10">
        <f t="shared" si="111"/>
        <v>0</v>
      </c>
      <c r="T416" s="10">
        <v>100000</v>
      </c>
      <c r="U416" s="10">
        <f>T416*S416</f>
        <v>0</v>
      </c>
      <c r="V416" s="4"/>
      <c r="W416" s="4"/>
      <c r="X416" s="4"/>
      <c r="Y416" s="4"/>
    </row>
    <row r="417" spans="2:25" ht="18.75">
      <c r="B417" s="58"/>
      <c r="C417" s="60"/>
      <c r="D417" s="52"/>
      <c r="E417" s="63"/>
      <c r="F417" s="8">
        <v>0.75</v>
      </c>
      <c r="G417" s="67"/>
      <c r="H417" s="68"/>
      <c r="I417" s="35"/>
      <c r="J417" s="9" t="str">
        <f t="shared" si="107"/>
        <v/>
      </c>
      <c r="K417" s="39"/>
      <c r="L417" s="39"/>
      <c r="M417" s="39"/>
      <c r="N417" s="39"/>
      <c r="O417" s="39"/>
      <c r="P417" s="39"/>
      <c r="Q417" s="39"/>
      <c r="R417" s="39"/>
      <c r="S417" s="10">
        <f t="shared" si="111"/>
        <v>0</v>
      </c>
      <c r="T417" s="10">
        <v>100000</v>
      </c>
      <c r="U417" s="10">
        <f t="shared" ref="U417:U424" si="113">T417*S417</f>
        <v>0</v>
      </c>
      <c r="V417" s="4"/>
      <c r="W417" s="4"/>
      <c r="X417" s="11"/>
      <c r="Y417" s="4"/>
    </row>
    <row r="418" spans="2:25" ht="18.75">
      <c r="B418" s="58"/>
      <c r="C418" s="60"/>
      <c r="D418" s="53"/>
      <c r="E418" s="64"/>
      <c r="F418" s="12">
        <v>0.83333333333333337</v>
      </c>
      <c r="G418" s="67"/>
      <c r="H418" s="68"/>
      <c r="I418" s="36"/>
      <c r="J418" s="9" t="str">
        <f t="shared" si="107"/>
        <v/>
      </c>
      <c r="K418" s="41"/>
      <c r="L418" s="41"/>
      <c r="M418" s="41"/>
      <c r="N418" s="41"/>
      <c r="O418" s="41"/>
      <c r="P418" s="41"/>
      <c r="Q418" s="41"/>
      <c r="R418" s="41"/>
      <c r="S418" s="13">
        <f t="shared" si="111"/>
        <v>0</v>
      </c>
      <c r="T418" s="13">
        <v>100000</v>
      </c>
      <c r="U418" s="13">
        <f t="shared" si="113"/>
        <v>0</v>
      </c>
      <c r="V418" s="4"/>
      <c r="Y418" s="4"/>
    </row>
    <row r="419" spans="2:25" ht="18.75">
      <c r="B419" s="58"/>
      <c r="C419" s="60"/>
      <c r="D419" s="51"/>
      <c r="E419" s="62" t="s">
        <v>102</v>
      </c>
      <c r="F419" s="5">
        <v>0.91666666666666663</v>
      </c>
      <c r="G419" s="65"/>
      <c r="H419" s="66"/>
      <c r="I419" s="34"/>
      <c r="J419" s="6" t="str">
        <f t="shared" si="107"/>
        <v/>
      </c>
      <c r="K419" s="38"/>
      <c r="L419" s="38"/>
      <c r="M419" s="38"/>
      <c r="N419" s="38"/>
      <c r="O419" s="38"/>
      <c r="P419" s="38"/>
      <c r="Q419" s="38"/>
      <c r="R419" s="38"/>
      <c r="S419" s="7">
        <f t="shared" si="111"/>
        <v>0</v>
      </c>
      <c r="T419" s="7">
        <v>100000</v>
      </c>
      <c r="U419" s="7">
        <f t="shared" si="113"/>
        <v>0</v>
      </c>
      <c r="V419" s="4"/>
      <c r="Y419" s="4"/>
    </row>
    <row r="420" spans="2:25" ht="18.75">
      <c r="B420" s="58"/>
      <c r="C420" s="60"/>
      <c r="D420" s="52"/>
      <c r="E420" s="63"/>
      <c r="F420" s="8">
        <v>1</v>
      </c>
      <c r="G420" s="67"/>
      <c r="H420" s="68"/>
      <c r="I420" s="35"/>
      <c r="J420" s="9" t="str">
        <f t="shared" si="107"/>
        <v/>
      </c>
      <c r="K420" s="39"/>
      <c r="L420" s="39"/>
      <c r="M420" s="39"/>
      <c r="N420" s="39"/>
      <c r="O420" s="39"/>
      <c r="P420" s="39"/>
      <c r="Q420" s="39"/>
      <c r="R420" s="39"/>
      <c r="S420" s="10">
        <f t="shared" si="111"/>
        <v>0</v>
      </c>
      <c r="T420" s="10">
        <v>100000</v>
      </c>
      <c r="U420" s="10">
        <f t="shared" si="113"/>
        <v>0</v>
      </c>
      <c r="V420" s="4"/>
      <c r="Y420" s="4"/>
    </row>
    <row r="421" spans="2:25" ht="18.75">
      <c r="B421" s="58"/>
      <c r="C421" s="60"/>
      <c r="D421" s="52"/>
      <c r="E421" s="63"/>
      <c r="F421" s="8">
        <v>8.3333333333333329E-2</v>
      </c>
      <c r="G421" s="67"/>
      <c r="H421" s="68"/>
      <c r="I421" s="35"/>
      <c r="J421" s="9" t="str">
        <f t="shared" si="107"/>
        <v/>
      </c>
      <c r="K421" s="39"/>
      <c r="L421" s="39"/>
      <c r="M421" s="39"/>
      <c r="N421" s="39"/>
      <c r="O421" s="39"/>
      <c r="P421" s="39"/>
      <c r="Q421" s="39"/>
      <c r="R421" s="39"/>
      <c r="S421" s="10">
        <f t="shared" si="111"/>
        <v>0</v>
      </c>
      <c r="T421" s="10">
        <v>100000</v>
      </c>
      <c r="U421" s="10">
        <f t="shared" si="113"/>
        <v>0</v>
      </c>
      <c r="V421" s="4"/>
      <c r="Y421" s="4"/>
    </row>
    <row r="422" spans="2:25" ht="18.75">
      <c r="B422" s="58"/>
      <c r="C422" s="60"/>
      <c r="D422" s="52"/>
      <c r="E422" s="63"/>
      <c r="F422" s="8">
        <v>0.16666666666666666</v>
      </c>
      <c r="G422" s="67"/>
      <c r="H422" s="68"/>
      <c r="I422" s="35"/>
      <c r="J422" s="9" t="str">
        <f t="shared" si="107"/>
        <v/>
      </c>
      <c r="K422" s="39"/>
      <c r="L422" s="39"/>
      <c r="M422" s="39"/>
      <c r="N422" s="39"/>
      <c r="O422" s="39"/>
      <c r="P422" s="39"/>
      <c r="Q422" s="39"/>
      <c r="R422" s="39"/>
      <c r="S422" s="10">
        <f t="shared" si="111"/>
        <v>0</v>
      </c>
      <c r="T422" s="10">
        <v>100000</v>
      </c>
      <c r="U422" s="10">
        <f t="shared" si="113"/>
        <v>0</v>
      </c>
      <c r="V422" s="4"/>
      <c r="W422" s="4"/>
      <c r="X422" s="4"/>
      <c r="Y422" s="4"/>
    </row>
    <row r="423" spans="2:25" ht="18.75">
      <c r="B423" s="58"/>
      <c r="C423" s="60"/>
      <c r="D423" s="52"/>
      <c r="E423" s="63"/>
      <c r="F423" s="8">
        <v>0.25</v>
      </c>
      <c r="G423" s="67"/>
      <c r="H423" s="68"/>
      <c r="I423" s="35"/>
      <c r="J423" s="9" t="str">
        <f t="shared" si="107"/>
        <v/>
      </c>
      <c r="K423" s="39"/>
      <c r="L423" s="39"/>
      <c r="M423" s="39"/>
      <c r="N423" s="39"/>
      <c r="O423" s="39"/>
      <c r="P423" s="39"/>
      <c r="Q423" s="39"/>
      <c r="R423" s="39"/>
      <c r="S423" s="10">
        <f t="shared" si="111"/>
        <v>0</v>
      </c>
      <c r="T423" s="10">
        <v>100000</v>
      </c>
      <c r="U423" s="10">
        <f t="shared" si="113"/>
        <v>0</v>
      </c>
      <c r="V423" s="4"/>
      <c r="Y423" s="4"/>
    </row>
    <row r="424" spans="2:25" ht="18.75">
      <c r="B424" s="58"/>
      <c r="C424" s="61"/>
      <c r="D424" s="53"/>
      <c r="E424" s="69"/>
      <c r="F424" s="14">
        <v>0.33333333333333331</v>
      </c>
      <c r="G424" s="67"/>
      <c r="H424" s="68"/>
      <c r="I424" s="37"/>
      <c r="J424" s="15" t="str">
        <f t="shared" si="107"/>
        <v/>
      </c>
      <c r="K424" s="40"/>
      <c r="L424" s="40"/>
      <c r="M424" s="40"/>
      <c r="N424" s="40"/>
      <c r="O424" s="40"/>
      <c r="P424" s="40"/>
      <c r="Q424" s="40"/>
      <c r="R424" s="40"/>
      <c r="S424" s="16">
        <f t="shared" si="111"/>
        <v>0</v>
      </c>
      <c r="T424" s="16">
        <v>100000</v>
      </c>
      <c r="U424" s="16">
        <f t="shared" si="113"/>
        <v>0</v>
      </c>
      <c r="V424" s="4"/>
      <c r="W424" s="4"/>
      <c r="X424" s="4"/>
      <c r="Y424" s="4"/>
    </row>
    <row r="425" spans="2:25" ht="45.75" customHeight="1">
      <c r="B425" s="58">
        <v>46116</v>
      </c>
      <c r="C425" s="59" t="s">
        <v>15</v>
      </c>
      <c r="D425" s="51" t="s">
        <v>42</v>
      </c>
      <c r="E425" s="62" t="s">
        <v>101</v>
      </c>
      <c r="F425" s="5">
        <v>0.41666666666666669</v>
      </c>
      <c r="G425" s="65" t="s">
        <v>79</v>
      </c>
      <c r="H425" s="66"/>
      <c r="I425" s="34">
        <v>17</v>
      </c>
      <c r="J425" s="6">
        <f t="shared" ref="J425:J448" si="114">IFERROR(S425/I425,"")</f>
        <v>1</v>
      </c>
      <c r="K425" s="38"/>
      <c r="L425" s="38"/>
      <c r="M425" s="38">
        <v>2</v>
      </c>
      <c r="N425" s="38"/>
      <c r="O425" s="38"/>
      <c r="P425" s="38"/>
      <c r="Q425" s="38">
        <v>15</v>
      </c>
      <c r="R425" s="38"/>
      <c r="S425" s="7">
        <f>SUM(K425:R425)</f>
        <v>17</v>
      </c>
      <c r="T425" s="7">
        <v>100000</v>
      </c>
      <c r="U425" s="7">
        <f>T425*S425</f>
        <v>1700000</v>
      </c>
      <c r="V425" s="4"/>
      <c r="W425" s="4"/>
      <c r="X425" s="4"/>
      <c r="Y425" s="4"/>
    </row>
    <row r="426" spans="2:25" ht="37.5">
      <c r="B426" s="58"/>
      <c r="C426" s="60"/>
      <c r="D426" s="52" t="s">
        <v>42</v>
      </c>
      <c r="E426" s="63"/>
      <c r="F426" s="8">
        <v>0.5</v>
      </c>
      <c r="G426" s="67" t="s">
        <v>79</v>
      </c>
      <c r="H426" s="68"/>
      <c r="I426" s="35">
        <v>60</v>
      </c>
      <c r="J426" s="9">
        <f t="shared" si="114"/>
        <v>8.3333333333333329E-2</v>
      </c>
      <c r="K426" s="39"/>
      <c r="L426" s="39"/>
      <c r="M426" s="39"/>
      <c r="N426" s="39"/>
      <c r="O426" s="39"/>
      <c r="P426" s="39"/>
      <c r="Q426" s="39"/>
      <c r="R426" s="39">
        <v>5</v>
      </c>
      <c r="S426" s="10">
        <f t="shared" ref="S426:S436" si="115">SUM(K426:R426)</f>
        <v>5</v>
      </c>
      <c r="T426" s="10">
        <v>100000</v>
      </c>
      <c r="U426" s="10">
        <f t="shared" ref="U426:U427" si="116">T426*S426</f>
        <v>500000</v>
      </c>
      <c r="V426" s="4"/>
      <c r="W426" s="4"/>
      <c r="X426" s="4"/>
      <c r="Y426" s="4"/>
    </row>
    <row r="427" spans="2:25" ht="37.5">
      <c r="B427" s="58"/>
      <c r="C427" s="60"/>
      <c r="D427" s="52" t="s">
        <v>42</v>
      </c>
      <c r="E427" s="63"/>
      <c r="F427" s="8">
        <v>0.58333333333333337</v>
      </c>
      <c r="G427" s="67" t="s">
        <v>79</v>
      </c>
      <c r="H427" s="68"/>
      <c r="I427" s="35">
        <v>72</v>
      </c>
      <c r="J427" s="9">
        <f t="shared" si="114"/>
        <v>0</v>
      </c>
      <c r="K427" s="39"/>
      <c r="L427" s="39"/>
      <c r="M427" s="39"/>
      <c r="N427" s="39"/>
      <c r="O427" s="39"/>
      <c r="P427" s="39"/>
      <c r="Q427" s="39"/>
      <c r="R427" s="39"/>
      <c r="S427" s="10">
        <f t="shared" si="115"/>
        <v>0</v>
      </c>
      <c r="T427" s="10">
        <v>100000</v>
      </c>
      <c r="U427" s="10">
        <f t="shared" si="116"/>
        <v>0</v>
      </c>
      <c r="V427" s="4"/>
      <c r="W427" s="4"/>
      <c r="X427" s="4"/>
      <c r="Y427" s="4"/>
    </row>
    <row r="428" spans="2:25" ht="37.5">
      <c r="B428" s="58"/>
      <c r="C428" s="60"/>
      <c r="D428" s="52" t="s">
        <v>42</v>
      </c>
      <c r="E428" s="63"/>
      <c r="F428" s="8">
        <v>0.66666666666666663</v>
      </c>
      <c r="G428" s="67" t="s">
        <v>79</v>
      </c>
      <c r="H428" s="68"/>
      <c r="I428" s="35">
        <v>72</v>
      </c>
      <c r="J428" s="9">
        <f t="shared" si="114"/>
        <v>0</v>
      </c>
      <c r="K428" s="39"/>
      <c r="L428" s="39"/>
      <c r="M428" s="39"/>
      <c r="N428" s="39"/>
      <c r="O428" s="39"/>
      <c r="P428" s="39"/>
      <c r="Q428" s="39"/>
      <c r="R428" s="39"/>
      <c r="S428" s="10">
        <f t="shared" si="115"/>
        <v>0</v>
      </c>
      <c r="T428" s="10">
        <v>100000</v>
      </c>
      <c r="U428" s="10">
        <f>T428*S428</f>
        <v>0</v>
      </c>
      <c r="V428" s="4"/>
      <c r="W428" s="4"/>
      <c r="X428" s="4"/>
      <c r="Y428" s="4"/>
    </row>
    <row r="429" spans="2:25" ht="37.5">
      <c r="B429" s="58"/>
      <c r="C429" s="60"/>
      <c r="D429" s="52" t="s">
        <v>42</v>
      </c>
      <c r="E429" s="63"/>
      <c r="F429" s="8">
        <v>0.75</v>
      </c>
      <c r="G429" s="67" t="s">
        <v>79</v>
      </c>
      <c r="H429" s="68"/>
      <c r="I429" s="35">
        <v>72</v>
      </c>
      <c r="J429" s="9">
        <f t="shared" si="114"/>
        <v>0</v>
      </c>
      <c r="K429" s="39"/>
      <c r="L429" s="39"/>
      <c r="M429" s="39"/>
      <c r="N429" s="39"/>
      <c r="O429" s="39"/>
      <c r="P429" s="39"/>
      <c r="Q429" s="39"/>
      <c r="R429" s="39"/>
      <c r="S429" s="10">
        <f t="shared" si="115"/>
        <v>0</v>
      </c>
      <c r="T429" s="10">
        <v>100000</v>
      </c>
      <c r="U429" s="10">
        <f t="shared" ref="U429:U436" si="117">T429*S429</f>
        <v>0</v>
      </c>
      <c r="V429" s="4"/>
      <c r="W429" s="4"/>
      <c r="X429" s="11"/>
      <c r="Y429" s="4"/>
    </row>
    <row r="430" spans="2:25" ht="37.5">
      <c r="B430" s="58"/>
      <c r="C430" s="60"/>
      <c r="D430" s="53" t="s">
        <v>42</v>
      </c>
      <c r="E430" s="64"/>
      <c r="F430" s="12">
        <v>0.83333333333333337</v>
      </c>
      <c r="G430" s="67" t="s">
        <v>79</v>
      </c>
      <c r="H430" s="68"/>
      <c r="I430" s="36">
        <v>68</v>
      </c>
      <c r="J430" s="9">
        <f t="shared" si="114"/>
        <v>0</v>
      </c>
      <c r="K430" s="41"/>
      <c r="L430" s="41"/>
      <c r="M430" s="41"/>
      <c r="N430" s="41"/>
      <c r="O430" s="41"/>
      <c r="P430" s="41"/>
      <c r="Q430" s="41"/>
      <c r="R430" s="41"/>
      <c r="S430" s="13">
        <f t="shared" si="115"/>
        <v>0</v>
      </c>
      <c r="T430" s="13">
        <v>100000</v>
      </c>
      <c r="U430" s="13">
        <f t="shared" si="117"/>
        <v>0</v>
      </c>
      <c r="V430" s="4"/>
      <c r="Y430" s="4"/>
    </row>
    <row r="431" spans="2:25" ht="37.5">
      <c r="B431" s="58"/>
      <c r="C431" s="60"/>
      <c r="D431" s="51" t="s">
        <v>42</v>
      </c>
      <c r="E431" s="62" t="s">
        <v>102</v>
      </c>
      <c r="F431" s="5">
        <v>0.91666666666666663</v>
      </c>
      <c r="G431" s="65" t="s">
        <v>105</v>
      </c>
      <c r="H431" s="66"/>
      <c r="I431" s="34">
        <v>72</v>
      </c>
      <c r="J431" s="6">
        <f t="shared" si="114"/>
        <v>2.7777777777777776E-2</v>
      </c>
      <c r="K431" s="38"/>
      <c r="L431" s="38"/>
      <c r="M431" s="38"/>
      <c r="N431" s="38"/>
      <c r="O431" s="38"/>
      <c r="P431" s="38"/>
      <c r="Q431" s="38"/>
      <c r="R431" s="38">
        <v>2</v>
      </c>
      <c r="S431" s="7">
        <f t="shared" si="115"/>
        <v>2</v>
      </c>
      <c r="T431" s="7">
        <v>100000</v>
      </c>
      <c r="U431" s="7">
        <f t="shared" si="117"/>
        <v>200000</v>
      </c>
      <c r="V431" s="4"/>
      <c r="Y431" s="4"/>
    </row>
    <row r="432" spans="2:25" ht="37.5">
      <c r="B432" s="58"/>
      <c r="C432" s="60"/>
      <c r="D432" s="52" t="s">
        <v>42</v>
      </c>
      <c r="E432" s="63"/>
      <c r="F432" s="8">
        <v>1</v>
      </c>
      <c r="G432" s="67" t="s">
        <v>105</v>
      </c>
      <c r="H432" s="68"/>
      <c r="I432" s="35">
        <v>73</v>
      </c>
      <c r="J432" s="9">
        <f t="shared" si="114"/>
        <v>2.7397260273972601E-2</v>
      </c>
      <c r="K432" s="39"/>
      <c r="L432" s="39"/>
      <c r="M432" s="39"/>
      <c r="N432" s="39"/>
      <c r="O432" s="39"/>
      <c r="P432" s="39"/>
      <c r="Q432" s="39"/>
      <c r="R432" s="39">
        <v>2</v>
      </c>
      <c r="S432" s="10">
        <f t="shared" si="115"/>
        <v>2</v>
      </c>
      <c r="T432" s="10">
        <v>100000</v>
      </c>
      <c r="U432" s="10">
        <f t="shared" si="117"/>
        <v>200000</v>
      </c>
      <c r="V432" s="4"/>
      <c r="Y432" s="4"/>
    </row>
    <row r="433" spans="2:25" ht="37.5">
      <c r="B433" s="58"/>
      <c r="C433" s="60"/>
      <c r="D433" s="52" t="s">
        <v>42</v>
      </c>
      <c r="E433" s="63"/>
      <c r="F433" s="8">
        <v>8.3333333333333329E-2</v>
      </c>
      <c r="G433" s="67" t="s">
        <v>105</v>
      </c>
      <c r="H433" s="68"/>
      <c r="I433" s="35">
        <v>73</v>
      </c>
      <c r="J433" s="9">
        <f t="shared" si="114"/>
        <v>2.7397260273972601E-2</v>
      </c>
      <c r="K433" s="39"/>
      <c r="L433" s="39"/>
      <c r="M433" s="39"/>
      <c r="N433" s="39"/>
      <c r="O433" s="39"/>
      <c r="P433" s="39"/>
      <c r="Q433" s="39"/>
      <c r="R433" s="39">
        <v>2</v>
      </c>
      <c r="S433" s="10">
        <f t="shared" si="115"/>
        <v>2</v>
      </c>
      <c r="T433" s="10">
        <v>100000</v>
      </c>
      <c r="U433" s="10">
        <f t="shared" si="117"/>
        <v>200000</v>
      </c>
      <c r="V433" s="4"/>
      <c r="Y433" s="4"/>
    </row>
    <row r="434" spans="2:25" ht="37.5">
      <c r="B434" s="58"/>
      <c r="C434" s="60"/>
      <c r="D434" s="52" t="s">
        <v>42</v>
      </c>
      <c r="E434" s="63"/>
      <c r="F434" s="8">
        <v>0.16666666666666666</v>
      </c>
      <c r="G434" s="67" t="s">
        <v>105</v>
      </c>
      <c r="H434" s="68"/>
      <c r="I434" s="35">
        <v>73</v>
      </c>
      <c r="J434" s="9">
        <f t="shared" si="114"/>
        <v>1.3698630136986301E-2</v>
      </c>
      <c r="K434" s="39"/>
      <c r="L434" s="39"/>
      <c r="M434" s="39"/>
      <c r="N434" s="39"/>
      <c r="O434" s="39"/>
      <c r="P434" s="39"/>
      <c r="Q434" s="39"/>
      <c r="R434" s="39">
        <v>1</v>
      </c>
      <c r="S434" s="10">
        <f t="shared" si="115"/>
        <v>1</v>
      </c>
      <c r="T434" s="10">
        <v>100000</v>
      </c>
      <c r="U434" s="10">
        <f t="shared" si="117"/>
        <v>100000</v>
      </c>
      <c r="V434" s="4"/>
      <c r="W434" s="4"/>
      <c r="X434" s="4"/>
      <c r="Y434" s="4"/>
    </row>
    <row r="435" spans="2:25" ht="37.5">
      <c r="B435" s="58"/>
      <c r="C435" s="60"/>
      <c r="D435" s="52" t="s">
        <v>42</v>
      </c>
      <c r="E435" s="63"/>
      <c r="F435" s="8">
        <v>0.25</v>
      </c>
      <c r="G435" s="67" t="s">
        <v>105</v>
      </c>
      <c r="H435" s="68"/>
      <c r="I435" s="35">
        <v>73</v>
      </c>
      <c r="J435" s="9">
        <f t="shared" si="114"/>
        <v>0</v>
      </c>
      <c r="K435" s="39"/>
      <c r="L435" s="39"/>
      <c r="M435" s="39"/>
      <c r="N435" s="39"/>
      <c r="O435" s="39"/>
      <c r="P435" s="39"/>
      <c r="Q435" s="39"/>
      <c r="R435" s="39"/>
      <c r="S435" s="10">
        <f t="shared" si="115"/>
        <v>0</v>
      </c>
      <c r="T435" s="10">
        <v>100000</v>
      </c>
      <c r="U435" s="10">
        <f t="shared" si="117"/>
        <v>0</v>
      </c>
      <c r="V435" s="4"/>
      <c r="Y435" s="4"/>
    </row>
    <row r="436" spans="2:25" ht="37.5">
      <c r="B436" s="58"/>
      <c r="C436" s="61"/>
      <c r="D436" s="53" t="s">
        <v>42</v>
      </c>
      <c r="E436" s="69"/>
      <c r="F436" s="14">
        <v>0.33333333333333331</v>
      </c>
      <c r="G436" s="67" t="s">
        <v>105</v>
      </c>
      <c r="H436" s="68"/>
      <c r="I436" s="37">
        <v>73</v>
      </c>
      <c r="J436" s="15">
        <f t="shared" si="114"/>
        <v>0</v>
      </c>
      <c r="K436" s="40"/>
      <c r="L436" s="40"/>
      <c r="M436" s="40"/>
      <c r="N436" s="40"/>
      <c r="O436" s="40"/>
      <c r="P436" s="40"/>
      <c r="Q436" s="40"/>
      <c r="R436" s="40"/>
      <c r="S436" s="16">
        <f t="shared" si="115"/>
        <v>0</v>
      </c>
      <c r="T436" s="16">
        <v>100000</v>
      </c>
      <c r="U436" s="16">
        <f t="shared" si="117"/>
        <v>0</v>
      </c>
      <c r="V436" s="4"/>
      <c r="W436" s="4"/>
      <c r="X436" s="4"/>
      <c r="Y436" s="4"/>
    </row>
    <row r="437" spans="2:25" ht="16.5" customHeight="1">
      <c r="B437" s="58">
        <v>46117</v>
      </c>
      <c r="C437" s="59" t="s">
        <v>15</v>
      </c>
      <c r="D437" s="51"/>
      <c r="E437" s="62" t="s">
        <v>101</v>
      </c>
      <c r="F437" s="5">
        <v>0.41666666666666669</v>
      </c>
      <c r="G437" s="65"/>
      <c r="H437" s="66"/>
      <c r="I437" s="34"/>
      <c r="J437" s="6" t="str">
        <f t="shared" si="114"/>
        <v/>
      </c>
      <c r="K437" s="38"/>
      <c r="L437" s="38"/>
      <c r="M437" s="38"/>
      <c r="N437" s="38"/>
      <c r="O437" s="38"/>
      <c r="P437" s="38"/>
      <c r="Q437" s="38"/>
      <c r="R437" s="38"/>
      <c r="S437" s="7">
        <f>SUM(K437:R437)</f>
        <v>0</v>
      </c>
      <c r="T437" s="7">
        <v>100000</v>
      </c>
      <c r="U437" s="7">
        <f>T437*S437</f>
        <v>0</v>
      </c>
      <c r="V437" s="4"/>
      <c r="W437" s="4"/>
      <c r="X437" s="4"/>
      <c r="Y437" s="4"/>
    </row>
    <row r="438" spans="2:25" ht="18.75">
      <c r="B438" s="58"/>
      <c r="C438" s="60"/>
      <c r="D438" s="52"/>
      <c r="E438" s="63"/>
      <c r="F438" s="8">
        <v>0.5</v>
      </c>
      <c r="G438" s="67"/>
      <c r="H438" s="68"/>
      <c r="I438" s="35"/>
      <c r="J438" s="9" t="str">
        <f t="shared" si="114"/>
        <v/>
      </c>
      <c r="K438" s="39"/>
      <c r="L438" s="39"/>
      <c r="M438" s="39"/>
      <c r="N438" s="39"/>
      <c r="O438" s="39"/>
      <c r="P438" s="39"/>
      <c r="Q438" s="39"/>
      <c r="R438" s="39"/>
      <c r="S438" s="10">
        <f t="shared" ref="S438:S448" si="118">SUM(K438:R438)</f>
        <v>0</v>
      </c>
      <c r="T438" s="10">
        <v>100000</v>
      </c>
      <c r="U438" s="10">
        <f t="shared" ref="U438:U439" si="119">T438*S438</f>
        <v>0</v>
      </c>
      <c r="V438" s="4"/>
      <c r="W438" s="4"/>
      <c r="X438" s="4"/>
      <c r="Y438" s="4"/>
    </row>
    <row r="439" spans="2:25" ht="18.75">
      <c r="B439" s="58"/>
      <c r="C439" s="60"/>
      <c r="D439" s="52"/>
      <c r="E439" s="63"/>
      <c r="F439" s="8">
        <v>0.58333333333333337</v>
      </c>
      <c r="G439" s="67"/>
      <c r="H439" s="68"/>
      <c r="I439" s="35"/>
      <c r="J439" s="9" t="str">
        <f t="shared" si="114"/>
        <v/>
      </c>
      <c r="K439" s="39"/>
      <c r="L439" s="39"/>
      <c r="M439" s="39"/>
      <c r="N439" s="39"/>
      <c r="O439" s="39"/>
      <c r="P439" s="39"/>
      <c r="Q439" s="39"/>
      <c r="R439" s="39"/>
      <c r="S439" s="10">
        <f t="shared" si="118"/>
        <v>0</v>
      </c>
      <c r="T439" s="10">
        <v>100000</v>
      </c>
      <c r="U439" s="10">
        <f t="shared" si="119"/>
        <v>0</v>
      </c>
      <c r="V439" s="4"/>
      <c r="W439" s="4"/>
      <c r="X439" s="4"/>
      <c r="Y439" s="4"/>
    </row>
    <row r="440" spans="2:25" ht="18.75">
      <c r="B440" s="58"/>
      <c r="C440" s="60"/>
      <c r="D440" s="52"/>
      <c r="E440" s="63"/>
      <c r="F440" s="8">
        <v>0.66666666666666663</v>
      </c>
      <c r="G440" s="67"/>
      <c r="H440" s="68"/>
      <c r="I440" s="35"/>
      <c r="J440" s="9" t="str">
        <f t="shared" si="114"/>
        <v/>
      </c>
      <c r="K440" s="39"/>
      <c r="L440" s="39"/>
      <c r="M440" s="39"/>
      <c r="N440" s="39"/>
      <c r="O440" s="39"/>
      <c r="P440" s="39"/>
      <c r="Q440" s="39"/>
      <c r="R440" s="39"/>
      <c r="S440" s="10">
        <f t="shared" si="118"/>
        <v>0</v>
      </c>
      <c r="T440" s="10">
        <v>100000</v>
      </c>
      <c r="U440" s="10">
        <f>T440*S440</f>
        <v>0</v>
      </c>
      <c r="V440" s="4"/>
      <c r="W440" s="4"/>
      <c r="X440" s="4"/>
      <c r="Y440" s="4"/>
    </row>
    <row r="441" spans="2:25" ht="18.75">
      <c r="B441" s="58"/>
      <c r="C441" s="60"/>
      <c r="D441" s="52"/>
      <c r="E441" s="63"/>
      <c r="F441" s="8">
        <v>0.75</v>
      </c>
      <c r="G441" s="67"/>
      <c r="H441" s="68"/>
      <c r="I441" s="35"/>
      <c r="J441" s="9" t="str">
        <f t="shared" si="114"/>
        <v/>
      </c>
      <c r="K441" s="39"/>
      <c r="L441" s="39"/>
      <c r="M441" s="39"/>
      <c r="N441" s="39"/>
      <c r="O441" s="39"/>
      <c r="P441" s="39"/>
      <c r="Q441" s="39"/>
      <c r="R441" s="39"/>
      <c r="S441" s="10">
        <f t="shared" si="118"/>
        <v>0</v>
      </c>
      <c r="T441" s="10">
        <v>100000</v>
      </c>
      <c r="U441" s="10">
        <f t="shared" ref="U441:U448" si="120">T441*S441</f>
        <v>0</v>
      </c>
      <c r="V441" s="4"/>
      <c r="W441" s="4"/>
      <c r="X441" s="11"/>
      <c r="Y441" s="4"/>
    </row>
    <row r="442" spans="2:25" ht="18.75">
      <c r="B442" s="58"/>
      <c r="C442" s="60"/>
      <c r="D442" s="53"/>
      <c r="E442" s="64"/>
      <c r="F442" s="12">
        <v>0.83333333333333337</v>
      </c>
      <c r="G442" s="67"/>
      <c r="H442" s="68"/>
      <c r="I442" s="36"/>
      <c r="J442" s="9" t="str">
        <f t="shared" si="114"/>
        <v/>
      </c>
      <c r="K442" s="41"/>
      <c r="L442" s="41"/>
      <c r="M442" s="41"/>
      <c r="N442" s="41"/>
      <c r="O442" s="41"/>
      <c r="P442" s="41"/>
      <c r="Q442" s="41"/>
      <c r="R442" s="41"/>
      <c r="S442" s="13">
        <f t="shared" si="118"/>
        <v>0</v>
      </c>
      <c r="T442" s="13">
        <v>100000</v>
      </c>
      <c r="U442" s="13">
        <f t="shared" si="120"/>
        <v>0</v>
      </c>
      <c r="V442" s="4"/>
      <c r="Y442" s="4"/>
    </row>
    <row r="443" spans="2:25" ht="18.75">
      <c r="B443" s="58"/>
      <c r="C443" s="60"/>
      <c r="D443" s="51"/>
      <c r="E443" s="62" t="s">
        <v>102</v>
      </c>
      <c r="F443" s="5">
        <v>0.91666666666666663</v>
      </c>
      <c r="G443" s="65"/>
      <c r="H443" s="66"/>
      <c r="I443" s="34"/>
      <c r="J443" s="6" t="str">
        <f t="shared" si="114"/>
        <v/>
      </c>
      <c r="K443" s="38"/>
      <c r="L443" s="38"/>
      <c r="M443" s="38"/>
      <c r="N443" s="38"/>
      <c r="O443" s="38"/>
      <c r="P443" s="38"/>
      <c r="Q443" s="38"/>
      <c r="R443" s="38"/>
      <c r="S443" s="7">
        <f t="shared" si="118"/>
        <v>0</v>
      </c>
      <c r="T443" s="7">
        <v>100000</v>
      </c>
      <c r="U443" s="7">
        <f t="shared" si="120"/>
        <v>0</v>
      </c>
      <c r="V443" s="4"/>
      <c r="Y443" s="4"/>
    </row>
    <row r="444" spans="2:25" ht="18.75">
      <c r="B444" s="58"/>
      <c r="C444" s="60"/>
      <c r="D444" s="52"/>
      <c r="E444" s="63"/>
      <c r="F444" s="8">
        <v>1</v>
      </c>
      <c r="G444" s="67"/>
      <c r="H444" s="68"/>
      <c r="I444" s="35"/>
      <c r="J444" s="9" t="str">
        <f t="shared" si="114"/>
        <v/>
      </c>
      <c r="K444" s="39"/>
      <c r="L444" s="39"/>
      <c r="M444" s="39"/>
      <c r="N444" s="39"/>
      <c r="O444" s="39"/>
      <c r="P444" s="39"/>
      <c r="Q444" s="39"/>
      <c r="R444" s="39"/>
      <c r="S444" s="10">
        <f t="shared" si="118"/>
        <v>0</v>
      </c>
      <c r="T444" s="10">
        <v>100000</v>
      </c>
      <c r="U444" s="10">
        <f t="shared" si="120"/>
        <v>0</v>
      </c>
      <c r="V444" s="4"/>
      <c r="Y444" s="4"/>
    </row>
    <row r="445" spans="2:25" ht="18.75">
      <c r="B445" s="58"/>
      <c r="C445" s="60"/>
      <c r="D445" s="52"/>
      <c r="E445" s="63"/>
      <c r="F445" s="8">
        <v>8.3333333333333329E-2</v>
      </c>
      <c r="G445" s="67"/>
      <c r="H445" s="68"/>
      <c r="I445" s="35"/>
      <c r="J445" s="9" t="str">
        <f t="shared" si="114"/>
        <v/>
      </c>
      <c r="K445" s="39"/>
      <c r="L445" s="39"/>
      <c r="M445" s="39"/>
      <c r="N445" s="39"/>
      <c r="O445" s="39"/>
      <c r="P445" s="39"/>
      <c r="Q445" s="39"/>
      <c r="R445" s="39"/>
      <c r="S445" s="10">
        <f t="shared" si="118"/>
        <v>0</v>
      </c>
      <c r="T445" s="10">
        <v>100000</v>
      </c>
      <c r="U445" s="10">
        <f t="shared" si="120"/>
        <v>0</v>
      </c>
      <c r="V445" s="4"/>
      <c r="Y445" s="4"/>
    </row>
    <row r="446" spans="2:25" ht="18.75">
      <c r="B446" s="58"/>
      <c r="C446" s="60"/>
      <c r="D446" s="52"/>
      <c r="E446" s="63"/>
      <c r="F446" s="8">
        <v>0.16666666666666666</v>
      </c>
      <c r="G446" s="67"/>
      <c r="H446" s="68"/>
      <c r="I446" s="35"/>
      <c r="J446" s="9" t="str">
        <f t="shared" si="114"/>
        <v/>
      </c>
      <c r="K446" s="39"/>
      <c r="L446" s="39"/>
      <c r="M446" s="39"/>
      <c r="N446" s="39"/>
      <c r="O446" s="39"/>
      <c r="P446" s="39"/>
      <c r="Q446" s="39"/>
      <c r="R446" s="39"/>
      <c r="S446" s="10">
        <f t="shared" si="118"/>
        <v>0</v>
      </c>
      <c r="T446" s="10">
        <v>100000</v>
      </c>
      <c r="U446" s="10">
        <f t="shared" si="120"/>
        <v>0</v>
      </c>
      <c r="V446" s="4"/>
      <c r="W446" s="4"/>
      <c r="X446" s="4"/>
      <c r="Y446" s="4"/>
    </row>
    <row r="447" spans="2:25" ht="18.75">
      <c r="B447" s="58"/>
      <c r="C447" s="60"/>
      <c r="D447" s="52"/>
      <c r="E447" s="63"/>
      <c r="F447" s="8">
        <v>0.25</v>
      </c>
      <c r="G447" s="67"/>
      <c r="H447" s="68"/>
      <c r="I447" s="35"/>
      <c r="J447" s="9" t="str">
        <f t="shared" si="114"/>
        <v/>
      </c>
      <c r="K447" s="39"/>
      <c r="L447" s="39"/>
      <c r="M447" s="39"/>
      <c r="N447" s="39"/>
      <c r="O447" s="39"/>
      <c r="P447" s="39"/>
      <c r="Q447" s="39"/>
      <c r="R447" s="39"/>
      <c r="S447" s="10">
        <f t="shared" si="118"/>
        <v>0</v>
      </c>
      <c r="T447" s="10">
        <v>100000</v>
      </c>
      <c r="U447" s="10">
        <f t="shared" si="120"/>
        <v>0</v>
      </c>
      <c r="V447" s="4"/>
      <c r="Y447" s="4"/>
    </row>
    <row r="448" spans="2:25" ht="18.75">
      <c r="B448" s="58"/>
      <c r="C448" s="61"/>
      <c r="D448" s="53"/>
      <c r="E448" s="69"/>
      <c r="F448" s="14">
        <v>0.33333333333333331</v>
      </c>
      <c r="G448" s="67"/>
      <c r="H448" s="68"/>
      <c r="I448" s="37"/>
      <c r="J448" s="15" t="str">
        <f t="shared" si="114"/>
        <v/>
      </c>
      <c r="K448" s="40"/>
      <c r="L448" s="40"/>
      <c r="M448" s="40"/>
      <c r="N448" s="40"/>
      <c r="O448" s="40"/>
      <c r="P448" s="40"/>
      <c r="Q448" s="40"/>
      <c r="R448" s="40"/>
      <c r="S448" s="16">
        <f t="shared" si="118"/>
        <v>0</v>
      </c>
      <c r="T448" s="16">
        <v>100000</v>
      </c>
      <c r="U448" s="16">
        <f t="shared" si="120"/>
        <v>0</v>
      </c>
      <c r="V448" s="4"/>
      <c r="W448" s="4"/>
      <c r="X448" s="4"/>
      <c r="Y448" s="4"/>
    </row>
    <row r="449" spans="2:25" ht="41.25" customHeight="1">
      <c r="B449" s="58">
        <v>46118</v>
      </c>
      <c r="C449" s="59" t="s">
        <v>15</v>
      </c>
      <c r="D449" s="51" t="s">
        <v>42</v>
      </c>
      <c r="E449" s="62" t="s">
        <v>101</v>
      </c>
      <c r="F449" s="5">
        <v>0.41666666666666669</v>
      </c>
      <c r="G449" s="65" t="s">
        <v>108</v>
      </c>
      <c r="H449" s="66"/>
      <c r="I449" s="34">
        <v>50</v>
      </c>
      <c r="J449" s="6">
        <f t="shared" ref="J449:J460" si="121">IFERROR(S449/I449,"")</f>
        <v>0.14000000000000001</v>
      </c>
      <c r="K449" s="38"/>
      <c r="L449" s="38"/>
      <c r="M449" s="38"/>
      <c r="N449" s="38"/>
      <c r="O449" s="38"/>
      <c r="P449" s="38"/>
      <c r="Q449" s="38">
        <v>2</v>
      </c>
      <c r="R449" s="38">
        <v>5</v>
      </c>
      <c r="S449" s="7">
        <f>SUM(K449:R449)</f>
        <v>7</v>
      </c>
      <c r="T449" s="7">
        <v>100000</v>
      </c>
      <c r="U449" s="7">
        <f>T449*S449</f>
        <v>700000</v>
      </c>
      <c r="V449" s="4"/>
      <c r="W449" s="4"/>
      <c r="X449" s="4"/>
      <c r="Y449" s="4"/>
    </row>
    <row r="450" spans="2:25" ht="37.5">
      <c r="B450" s="58"/>
      <c r="C450" s="60"/>
      <c r="D450" s="52" t="s">
        <v>42</v>
      </c>
      <c r="E450" s="63"/>
      <c r="F450" s="8">
        <v>0.5</v>
      </c>
      <c r="G450" s="67" t="s">
        <v>108</v>
      </c>
      <c r="H450" s="68"/>
      <c r="I450" s="35">
        <v>63</v>
      </c>
      <c r="J450" s="9">
        <f t="shared" si="121"/>
        <v>9.5238095238095233E-2</v>
      </c>
      <c r="K450" s="39">
        <v>6</v>
      </c>
      <c r="L450" s="39"/>
      <c r="M450" s="39"/>
      <c r="N450" s="39"/>
      <c r="O450" s="39"/>
      <c r="P450" s="39"/>
      <c r="Q450" s="39"/>
      <c r="R450" s="39"/>
      <c r="S450" s="10">
        <f t="shared" ref="S450:S460" si="122">SUM(K450:R450)</f>
        <v>6</v>
      </c>
      <c r="T450" s="10">
        <v>100000</v>
      </c>
      <c r="U450" s="10">
        <f t="shared" ref="U450:U451" si="123">T450*S450</f>
        <v>600000</v>
      </c>
      <c r="V450" s="4"/>
      <c r="W450" s="4"/>
      <c r="X450" s="4"/>
      <c r="Y450" s="4"/>
    </row>
    <row r="451" spans="2:25" ht="37.5">
      <c r="B451" s="58"/>
      <c r="C451" s="60"/>
      <c r="D451" s="52" t="s">
        <v>42</v>
      </c>
      <c r="E451" s="63"/>
      <c r="F451" s="8">
        <v>0.58333333333333337</v>
      </c>
      <c r="G451" s="67" t="s">
        <v>108</v>
      </c>
      <c r="H451" s="68"/>
      <c r="I451" s="35">
        <v>72</v>
      </c>
      <c r="J451" s="9">
        <f t="shared" si="121"/>
        <v>0</v>
      </c>
      <c r="K451" s="39"/>
      <c r="L451" s="39"/>
      <c r="M451" s="39"/>
      <c r="N451" s="39"/>
      <c r="O451" s="39"/>
      <c r="P451" s="39"/>
      <c r="Q451" s="39"/>
      <c r="R451" s="39"/>
      <c r="S451" s="10">
        <f t="shared" si="122"/>
        <v>0</v>
      </c>
      <c r="T451" s="10">
        <v>100000</v>
      </c>
      <c r="U451" s="10">
        <f t="shared" si="123"/>
        <v>0</v>
      </c>
      <c r="V451" s="4"/>
      <c r="W451" s="4"/>
      <c r="X451" s="4"/>
      <c r="Y451" s="4"/>
    </row>
    <row r="452" spans="2:25" ht="37.5">
      <c r="B452" s="58"/>
      <c r="C452" s="60"/>
      <c r="D452" s="52" t="s">
        <v>42</v>
      </c>
      <c r="E452" s="63"/>
      <c r="F452" s="8">
        <v>0.66666666666666663</v>
      </c>
      <c r="G452" s="67" t="s">
        <v>108</v>
      </c>
      <c r="H452" s="68"/>
      <c r="I452" s="35">
        <v>72</v>
      </c>
      <c r="J452" s="9">
        <f t="shared" si="121"/>
        <v>0</v>
      </c>
      <c r="K452" s="39"/>
      <c r="L452" s="39"/>
      <c r="M452" s="39"/>
      <c r="N452" s="39"/>
      <c r="O452" s="39"/>
      <c r="P452" s="39"/>
      <c r="Q452" s="39"/>
      <c r="R452" s="39"/>
      <c r="S452" s="10">
        <f t="shared" si="122"/>
        <v>0</v>
      </c>
      <c r="T452" s="10">
        <v>100000</v>
      </c>
      <c r="U452" s="10">
        <f>T452*S452</f>
        <v>0</v>
      </c>
      <c r="V452" s="4"/>
      <c r="W452" s="4"/>
      <c r="X452" s="4"/>
      <c r="Y452" s="4"/>
    </row>
    <row r="453" spans="2:25" ht="37.5">
      <c r="B453" s="58"/>
      <c r="C453" s="60"/>
      <c r="D453" s="52" t="s">
        <v>42</v>
      </c>
      <c r="E453" s="63"/>
      <c r="F453" s="8">
        <v>0.75</v>
      </c>
      <c r="G453" s="67" t="s">
        <v>108</v>
      </c>
      <c r="H453" s="68"/>
      <c r="I453" s="35">
        <v>72</v>
      </c>
      <c r="J453" s="9">
        <f t="shared" si="121"/>
        <v>0</v>
      </c>
      <c r="K453" s="39"/>
      <c r="L453" s="39"/>
      <c r="M453" s="39"/>
      <c r="N453" s="39"/>
      <c r="O453" s="39"/>
      <c r="P453" s="39"/>
      <c r="Q453" s="39"/>
      <c r="R453" s="39"/>
      <c r="S453" s="10">
        <f t="shared" si="122"/>
        <v>0</v>
      </c>
      <c r="T453" s="10">
        <v>100000</v>
      </c>
      <c r="U453" s="10">
        <f t="shared" ref="U453:U460" si="124">T453*S453</f>
        <v>0</v>
      </c>
      <c r="V453" s="4"/>
      <c r="W453" s="4"/>
      <c r="X453" s="11"/>
      <c r="Y453" s="4"/>
    </row>
    <row r="454" spans="2:25" ht="37.5">
      <c r="B454" s="58"/>
      <c r="C454" s="60"/>
      <c r="D454" s="53" t="s">
        <v>42</v>
      </c>
      <c r="E454" s="64"/>
      <c r="F454" s="12">
        <v>0.83333333333333337</v>
      </c>
      <c r="G454" s="67" t="s">
        <v>108</v>
      </c>
      <c r="H454" s="68"/>
      <c r="I454" s="36">
        <v>70</v>
      </c>
      <c r="J454" s="9">
        <f t="shared" si="121"/>
        <v>2.8571428571428571E-2</v>
      </c>
      <c r="K454" s="41"/>
      <c r="L454" s="41"/>
      <c r="M454" s="41"/>
      <c r="N454" s="41"/>
      <c r="O454" s="41"/>
      <c r="P454" s="41"/>
      <c r="Q454" s="41"/>
      <c r="R454" s="41">
        <v>2</v>
      </c>
      <c r="S454" s="13">
        <f t="shared" si="122"/>
        <v>2</v>
      </c>
      <c r="T454" s="13">
        <v>100000</v>
      </c>
      <c r="U454" s="13">
        <f t="shared" si="124"/>
        <v>200000</v>
      </c>
      <c r="V454" s="4"/>
      <c r="Y454" s="4"/>
    </row>
    <row r="455" spans="2:25" ht="37.5">
      <c r="B455" s="58"/>
      <c r="C455" s="60"/>
      <c r="D455" s="51" t="s">
        <v>42</v>
      </c>
      <c r="E455" s="62" t="s">
        <v>102</v>
      </c>
      <c r="F455" s="5">
        <v>0.91666666666666663</v>
      </c>
      <c r="G455" s="65" t="s">
        <v>105</v>
      </c>
      <c r="H455" s="66"/>
      <c r="I455" s="34">
        <v>64</v>
      </c>
      <c r="J455" s="6">
        <f t="shared" si="121"/>
        <v>6.25E-2</v>
      </c>
      <c r="K455" s="38"/>
      <c r="L455" s="38"/>
      <c r="M455" s="38"/>
      <c r="N455" s="38"/>
      <c r="O455" s="38"/>
      <c r="P455" s="38"/>
      <c r="Q455" s="38"/>
      <c r="R455" s="38">
        <v>4</v>
      </c>
      <c r="S455" s="7">
        <f t="shared" si="122"/>
        <v>4</v>
      </c>
      <c r="T455" s="7">
        <v>100000</v>
      </c>
      <c r="U455" s="7">
        <f t="shared" si="124"/>
        <v>400000</v>
      </c>
      <c r="V455" s="4"/>
      <c r="Y455" s="4"/>
    </row>
    <row r="456" spans="2:25" ht="37.5">
      <c r="B456" s="58"/>
      <c r="C456" s="60"/>
      <c r="D456" s="52" t="s">
        <v>42</v>
      </c>
      <c r="E456" s="63"/>
      <c r="F456" s="8">
        <v>1</v>
      </c>
      <c r="G456" s="67" t="s">
        <v>105</v>
      </c>
      <c r="H456" s="68"/>
      <c r="I456" s="35">
        <v>67</v>
      </c>
      <c r="J456" s="9">
        <f t="shared" si="121"/>
        <v>0</v>
      </c>
      <c r="K456" s="39"/>
      <c r="L456" s="39"/>
      <c r="M456" s="39"/>
      <c r="N456" s="39"/>
      <c r="O456" s="39"/>
      <c r="P456" s="39"/>
      <c r="Q456" s="39"/>
      <c r="R456" s="39"/>
      <c r="S456" s="10">
        <f t="shared" si="122"/>
        <v>0</v>
      </c>
      <c r="T456" s="10">
        <v>100000</v>
      </c>
      <c r="U456" s="10">
        <f t="shared" si="124"/>
        <v>0</v>
      </c>
      <c r="V456" s="4"/>
      <c r="Y456" s="4"/>
    </row>
    <row r="457" spans="2:25" ht="37.5">
      <c r="B457" s="58"/>
      <c r="C457" s="60"/>
      <c r="D457" s="52" t="s">
        <v>42</v>
      </c>
      <c r="E457" s="63"/>
      <c r="F457" s="8">
        <v>8.3333333333333329E-2</v>
      </c>
      <c r="G457" s="67" t="s">
        <v>105</v>
      </c>
      <c r="H457" s="68"/>
      <c r="I457" s="35">
        <v>67</v>
      </c>
      <c r="J457" s="9">
        <f t="shared" si="121"/>
        <v>2.9850746268656716E-2</v>
      </c>
      <c r="K457" s="39"/>
      <c r="L457" s="39"/>
      <c r="M457" s="39">
        <v>2</v>
      </c>
      <c r="N457" s="39"/>
      <c r="O457" s="39"/>
      <c r="P457" s="39"/>
      <c r="Q457" s="39"/>
      <c r="R457" s="39"/>
      <c r="S457" s="10">
        <f t="shared" si="122"/>
        <v>2</v>
      </c>
      <c r="T457" s="10">
        <v>100000</v>
      </c>
      <c r="U457" s="10">
        <f t="shared" si="124"/>
        <v>200000</v>
      </c>
      <c r="V457" s="4"/>
      <c r="Y457" s="4"/>
    </row>
    <row r="458" spans="2:25" ht="37.5">
      <c r="B458" s="58"/>
      <c r="C458" s="60"/>
      <c r="D458" s="52" t="s">
        <v>42</v>
      </c>
      <c r="E458" s="63"/>
      <c r="F458" s="8">
        <v>0.16666666666666666</v>
      </c>
      <c r="G458" s="67" t="s">
        <v>105</v>
      </c>
      <c r="H458" s="68"/>
      <c r="I458" s="35">
        <v>67</v>
      </c>
      <c r="J458" s="9">
        <f t="shared" si="121"/>
        <v>2.9850746268656716E-2</v>
      </c>
      <c r="K458" s="39"/>
      <c r="L458" s="39"/>
      <c r="M458" s="39">
        <v>2</v>
      </c>
      <c r="N458" s="39"/>
      <c r="O458" s="39"/>
      <c r="P458" s="39"/>
      <c r="Q458" s="39"/>
      <c r="R458" s="39"/>
      <c r="S458" s="10">
        <f t="shared" si="122"/>
        <v>2</v>
      </c>
      <c r="T458" s="10">
        <v>100000</v>
      </c>
      <c r="U458" s="10">
        <f t="shared" si="124"/>
        <v>200000</v>
      </c>
      <c r="V458" s="4"/>
      <c r="W458" s="4"/>
      <c r="X458" s="4"/>
      <c r="Y458" s="4"/>
    </row>
    <row r="459" spans="2:25" ht="37.5">
      <c r="B459" s="58"/>
      <c r="C459" s="60"/>
      <c r="D459" s="52" t="s">
        <v>42</v>
      </c>
      <c r="E459" s="63"/>
      <c r="F459" s="8">
        <v>0.25</v>
      </c>
      <c r="G459" s="67" t="s">
        <v>105</v>
      </c>
      <c r="H459" s="68"/>
      <c r="I459" s="35">
        <v>67</v>
      </c>
      <c r="J459" s="9">
        <f t="shared" si="121"/>
        <v>0</v>
      </c>
      <c r="K459" s="39"/>
      <c r="L459" s="39"/>
      <c r="M459" s="39"/>
      <c r="N459" s="39"/>
      <c r="O459" s="39"/>
      <c r="P459" s="39"/>
      <c r="Q459" s="39"/>
      <c r="R459" s="39"/>
      <c r="S459" s="10">
        <f t="shared" si="122"/>
        <v>0</v>
      </c>
      <c r="T459" s="10">
        <v>100000</v>
      </c>
      <c r="U459" s="10">
        <f t="shared" si="124"/>
        <v>0</v>
      </c>
      <c r="V459" s="4"/>
      <c r="Y459" s="4"/>
    </row>
    <row r="460" spans="2:25" ht="37.5">
      <c r="B460" s="58"/>
      <c r="C460" s="61"/>
      <c r="D460" s="53" t="s">
        <v>42</v>
      </c>
      <c r="E460" s="69"/>
      <c r="F460" s="14">
        <v>0.33333333333333331</v>
      </c>
      <c r="G460" s="67" t="s">
        <v>105</v>
      </c>
      <c r="H460" s="68"/>
      <c r="I460" s="37">
        <v>67</v>
      </c>
      <c r="J460" s="15">
        <f t="shared" si="121"/>
        <v>0</v>
      </c>
      <c r="K460" s="40"/>
      <c r="L460" s="40"/>
      <c r="M460" s="40"/>
      <c r="N460" s="40"/>
      <c r="O460" s="40"/>
      <c r="P460" s="40"/>
      <c r="Q460" s="40"/>
      <c r="R460" s="40"/>
      <c r="S460" s="16">
        <f t="shared" si="122"/>
        <v>0</v>
      </c>
      <c r="T460" s="16">
        <v>100000</v>
      </c>
      <c r="U460" s="16">
        <f t="shared" si="124"/>
        <v>0</v>
      </c>
      <c r="V460" s="4"/>
      <c r="W460" s="4"/>
      <c r="X460" s="4"/>
      <c r="Y460" s="4"/>
    </row>
    <row r="461" spans="2:25" ht="16.5" customHeight="1">
      <c r="B461" s="58">
        <v>46119</v>
      </c>
      <c r="C461" s="59" t="s">
        <v>15</v>
      </c>
      <c r="D461" s="51" t="s">
        <v>42</v>
      </c>
      <c r="E461" s="62" t="s">
        <v>101</v>
      </c>
      <c r="F461" s="5">
        <v>0.41666666666666669</v>
      </c>
      <c r="G461" s="65" t="s">
        <v>103</v>
      </c>
      <c r="H461" s="66"/>
      <c r="I461" s="34">
        <v>76</v>
      </c>
      <c r="J461" s="6">
        <f t="shared" ref="J461:J484" si="125">IFERROR(S461/I461,"")</f>
        <v>3.9473684210526314E-2</v>
      </c>
      <c r="K461" s="38"/>
      <c r="L461" s="38"/>
      <c r="M461" s="38">
        <v>3</v>
      </c>
      <c r="N461" s="38"/>
      <c r="O461" s="38"/>
      <c r="P461" s="38"/>
      <c r="Q461" s="38"/>
      <c r="R461" s="38"/>
      <c r="S461" s="7">
        <f>SUM(K461:R461)</f>
        <v>3</v>
      </c>
      <c r="T461" s="7">
        <v>100000</v>
      </c>
      <c r="U461" s="7">
        <f>T461*S461</f>
        <v>300000</v>
      </c>
      <c r="V461" s="4"/>
      <c r="W461" s="4"/>
      <c r="X461" s="4"/>
      <c r="Y461" s="4"/>
    </row>
    <row r="462" spans="2:25" ht="18.75">
      <c r="B462" s="58"/>
      <c r="C462" s="60"/>
      <c r="D462" s="52"/>
      <c r="E462" s="63"/>
      <c r="F462" s="8">
        <v>0.5</v>
      </c>
      <c r="G462" s="67"/>
      <c r="H462" s="68"/>
      <c r="I462" s="35"/>
      <c r="J462" s="9" t="str">
        <f t="shared" si="125"/>
        <v/>
      </c>
      <c r="K462" s="39"/>
      <c r="L462" s="39"/>
      <c r="M462" s="39"/>
      <c r="N462" s="39"/>
      <c r="O462" s="39"/>
      <c r="P462" s="39"/>
      <c r="Q462" s="39"/>
      <c r="R462" s="39"/>
      <c r="S462" s="10">
        <f t="shared" ref="S462:S472" si="126">SUM(K462:R462)</f>
        <v>0</v>
      </c>
      <c r="T462" s="10">
        <v>100000</v>
      </c>
      <c r="U462" s="10">
        <f t="shared" ref="U462:U463" si="127">T462*S462</f>
        <v>0</v>
      </c>
      <c r="V462" s="4"/>
      <c r="W462" s="4"/>
      <c r="X462" s="4"/>
      <c r="Y462" s="4"/>
    </row>
    <row r="463" spans="2:25" ht="18.75">
      <c r="B463" s="58"/>
      <c r="C463" s="60"/>
      <c r="D463" s="52"/>
      <c r="E463" s="63"/>
      <c r="F463" s="8">
        <v>0.58333333333333337</v>
      </c>
      <c r="G463" s="67"/>
      <c r="H463" s="68"/>
      <c r="I463" s="35"/>
      <c r="J463" s="9" t="str">
        <f t="shared" si="125"/>
        <v/>
      </c>
      <c r="K463" s="39"/>
      <c r="L463" s="39"/>
      <c r="M463" s="39"/>
      <c r="N463" s="39"/>
      <c r="O463" s="39"/>
      <c r="P463" s="39"/>
      <c r="Q463" s="39"/>
      <c r="R463" s="39"/>
      <c r="S463" s="10">
        <f t="shared" si="126"/>
        <v>0</v>
      </c>
      <c r="T463" s="10">
        <v>100000</v>
      </c>
      <c r="U463" s="10">
        <f t="shared" si="127"/>
        <v>0</v>
      </c>
      <c r="V463" s="4"/>
      <c r="W463" s="4"/>
      <c r="X463" s="4"/>
      <c r="Y463" s="4"/>
    </row>
    <row r="464" spans="2:25" ht="18.75">
      <c r="B464" s="58"/>
      <c r="C464" s="60"/>
      <c r="D464" s="52"/>
      <c r="E464" s="63"/>
      <c r="F464" s="8">
        <v>0.66666666666666663</v>
      </c>
      <c r="G464" s="67"/>
      <c r="H464" s="68"/>
      <c r="I464" s="35"/>
      <c r="J464" s="9" t="str">
        <f t="shared" si="125"/>
        <v/>
      </c>
      <c r="K464" s="39"/>
      <c r="L464" s="39"/>
      <c r="M464" s="39"/>
      <c r="N464" s="39"/>
      <c r="O464" s="39"/>
      <c r="P464" s="39"/>
      <c r="Q464" s="39"/>
      <c r="R464" s="39"/>
      <c r="S464" s="10">
        <f t="shared" si="126"/>
        <v>0</v>
      </c>
      <c r="T464" s="10">
        <v>100000</v>
      </c>
      <c r="U464" s="10">
        <f>T464*S464</f>
        <v>0</v>
      </c>
      <c r="V464" s="4"/>
      <c r="W464" s="4"/>
      <c r="X464" s="4"/>
      <c r="Y464" s="4"/>
    </row>
    <row r="465" spans="2:25" ht="18.75">
      <c r="B465" s="58"/>
      <c r="C465" s="60"/>
      <c r="D465" s="52"/>
      <c r="E465" s="63"/>
      <c r="F465" s="8">
        <v>0.75</v>
      </c>
      <c r="G465" s="67"/>
      <c r="H465" s="68"/>
      <c r="I465" s="35"/>
      <c r="J465" s="9" t="str">
        <f t="shared" si="125"/>
        <v/>
      </c>
      <c r="K465" s="39"/>
      <c r="L465" s="39"/>
      <c r="M465" s="39"/>
      <c r="N465" s="39"/>
      <c r="O465" s="39"/>
      <c r="P465" s="39"/>
      <c r="Q465" s="39"/>
      <c r="R465" s="39"/>
      <c r="S465" s="10">
        <f t="shared" si="126"/>
        <v>0</v>
      </c>
      <c r="T465" s="10">
        <v>100000</v>
      </c>
      <c r="U465" s="10">
        <f t="shared" ref="U465:U472" si="128">T465*S465</f>
        <v>0</v>
      </c>
      <c r="V465" s="4"/>
      <c r="W465" s="4"/>
      <c r="X465" s="11"/>
      <c r="Y465" s="4"/>
    </row>
    <row r="466" spans="2:25" ht="18.75">
      <c r="B466" s="58"/>
      <c r="C466" s="60"/>
      <c r="D466" s="53"/>
      <c r="E466" s="64"/>
      <c r="F466" s="12">
        <v>0.83333333333333337</v>
      </c>
      <c r="G466" s="67"/>
      <c r="H466" s="68"/>
      <c r="I466" s="36"/>
      <c r="J466" s="9" t="str">
        <f t="shared" si="125"/>
        <v/>
      </c>
      <c r="K466" s="41"/>
      <c r="L466" s="41"/>
      <c r="M466" s="41"/>
      <c r="N466" s="41"/>
      <c r="O466" s="41"/>
      <c r="P466" s="41"/>
      <c r="Q466" s="41"/>
      <c r="R466" s="41"/>
      <c r="S466" s="13">
        <f t="shared" si="126"/>
        <v>0</v>
      </c>
      <c r="T466" s="13">
        <v>100000</v>
      </c>
      <c r="U466" s="13">
        <f t="shared" si="128"/>
        <v>0</v>
      </c>
      <c r="V466" s="4"/>
      <c r="Y466" s="4"/>
    </row>
    <row r="467" spans="2:25" ht="18.75">
      <c r="B467" s="58"/>
      <c r="C467" s="60"/>
      <c r="D467" s="51"/>
      <c r="E467" s="62" t="s">
        <v>102</v>
      </c>
      <c r="F467" s="5">
        <v>0.91666666666666663</v>
      </c>
      <c r="G467" s="65"/>
      <c r="H467" s="66"/>
      <c r="I467" s="34"/>
      <c r="J467" s="6" t="str">
        <f t="shared" si="125"/>
        <v/>
      </c>
      <c r="K467" s="38"/>
      <c r="L467" s="38"/>
      <c r="M467" s="38"/>
      <c r="N467" s="38"/>
      <c r="O467" s="38"/>
      <c r="P467" s="38"/>
      <c r="Q467" s="38"/>
      <c r="R467" s="38"/>
      <c r="S467" s="7">
        <f t="shared" si="126"/>
        <v>0</v>
      </c>
      <c r="T467" s="7">
        <v>100000</v>
      </c>
      <c r="U467" s="7">
        <f t="shared" si="128"/>
        <v>0</v>
      </c>
      <c r="V467" s="4"/>
      <c r="Y467" s="4"/>
    </row>
    <row r="468" spans="2:25" ht="18.75">
      <c r="B468" s="58"/>
      <c r="C468" s="60"/>
      <c r="D468" s="52"/>
      <c r="E468" s="63"/>
      <c r="F468" s="8">
        <v>1</v>
      </c>
      <c r="G468" s="67"/>
      <c r="H468" s="68"/>
      <c r="I468" s="35"/>
      <c r="J468" s="9" t="str">
        <f t="shared" si="125"/>
        <v/>
      </c>
      <c r="K468" s="39"/>
      <c r="L468" s="39"/>
      <c r="M468" s="39"/>
      <c r="N468" s="39"/>
      <c r="O468" s="39"/>
      <c r="P468" s="39"/>
      <c r="Q468" s="39"/>
      <c r="R468" s="39"/>
      <c r="S468" s="10">
        <f t="shared" si="126"/>
        <v>0</v>
      </c>
      <c r="T468" s="10">
        <v>100000</v>
      </c>
      <c r="U468" s="10">
        <f t="shared" si="128"/>
        <v>0</v>
      </c>
      <c r="V468" s="4"/>
      <c r="Y468" s="4"/>
    </row>
    <row r="469" spans="2:25" ht="18.75">
      <c r="B469" s="58"/>
      <c r="C469" s="60"/>
      <c r="D469" s="52"/>
      <c r="E469" s="63"/>
      <c r="F469" s="8">
        <v>8.3333333333333329E-2</v>
      </c>
      <c r="G469" s="67"/>
      <c r="H469" s="68"/>
      <c r="I469" s="35"/>
      <c r="J469" s="9" t="str">
        <f t="shared" si="125"/>
        <v/>
      </c>
      <c r="K469" s="39"/>
      <c r="L469" s="39"/>
      <c r="M469" s="39"/>
      <c r="N469" s="39"/>
      <c r="O469" s="39"/>
      <c r="P469" s="39"/>
      <c r="Q469" s="39"/>
      <c r="R469" s="39"/>
      <c r="S469" s="10">
        <f t="shared" si="126"/>
        <v>0</v>
      </c>
      <c r="T469" s="10">
        <v>100000</v>
      </c>
      <c r="U469" s="10">
        <f t="shared" si="128"/>
        <v>0</v>
      </c>
      <c r="V469" s="4"/>
      <c r="Y469" s="4"/>
    </row>
    <row r="470" spans="2:25" ht="18.75">
      <c r="B470" s="58"/>
      <c r="C470" s="60"/>
      <c r="D470" s="52"/>
      <c r="E470" s="63"/>
      <c r="F470" s="8">
        <v>0.16666666666666666</v>
      </c>
      <c r="G470" s="67"/>
      <c r="H470" s="68"/>
      <c r="I470" s="35"/>
      <c r="J470" s="9" t="str">
        <f t="shared" si="125"/>
        <v/>
      </c>
      <c r="K470" s="39"/>
      <c r="L470" s="39"/>
      <c r="M470" s="39"/>
      <c r="N470" s="39"/>
      <c r="O470" s="39"/>
      <c r="P470" s="39"/>
      <c r="Q470" s="39"/>
      <c r="R470" s="39"/>
      <c r="S470" s="10">
        <f t="shared" si="126"/>
        <v>0</v>
      </c>
      <c r="T470" s="10">
        <v>100000</v>
      </c>
      <c r="U470" s="10">
        <f t="shared" si="128"/>
        <v>0</v>
      </c>
      <c r="V470" s="4"/>
      <c r="W470" s="4"/>
      <c r="X470" s="4"/>
      <c r="Y470" s="4"/>
    </row>
    <row r="471" spans="2:25" ht="18.75">
      <c r="B471" s="58"/>
      <c r="C471" s="60"/>
      <c r="D471" s="52"/>
      <c r="E471" s="63"/>
      <c r="F471" s="8">
        <v>0.25</v>
      </c>
      <c r="G471" s="67"/>
      <c r="H471" s="68"/>
      <c r="I471" s="35"/>
      <c r="J471" s="9" t="str">
        <f t="shared" si="125"/>
        <v/>
      </c>
      <c r="K471" s="39"/>
      <c r="L471" s="39"/>
      <c r="M471" s="39"/>
      <c r="N471" s="39"/>
      <c r="O471" s="39"/>
      <c r="P471" s="39"/>
      <c r="Q471" s="39"/>
      <c r="R471" s="39"/>
      <c r="S471" s="10">
        <f t="shared" si="126"/>
        <v>0</v>
      </c>
      <c r="T471" s="10">
        <v>100000</v>
      </c>
      <c r="U471" s="10">
        <f t="shared" si="128"/>
        <v>0</v>
      </c>
      <c r="V471" s="4"/>
      <c r="Y471" s="4"/>
    </row>
    <row r="472" spans="2:25" ht="18.75">
      <c r="B472" s="58"/>
      <c r="C472" s="61"/>
      <c r="D472" s="53"/>
      <c r="E472" s="69"/>
      <c r="F472" s="14">
        <v>0.33333333333333331</v>
      </c>
      <c r="G472" s="67"/>
      <c r="H472" s="68"/>
      <c r="I472" s="37"/>
      <c r="J472" s="15" t="str">
        <f t="shared" si="125"/>
        <v/>
      </c>
      <c r="K472" s="40"/>
      <c r="L472" s="40"/>
      <c r="M472" s="40"/>
      <c r="N472" s="40"/>
      <c r="O472" s="40"/>
      <c r="P472" s="40"/>
      <c r="Q472" s="40"/>
      <c r="R472" s="40"/>
      <c r="S472" s="16">
        <f t="shared" si="126"/>
        <v>0</v>
      </c>
      <c r="T472" s="16">
        <v>100000</v>
      </c>
      <c r="U472" s="16">
        <f t="shared" si="128"/>
        <v>0</v>
      </c>
      <c r="V472" s="4"/>
      <c r="W472" s="4"/>
      <c r="X472" s="4"/>
      <c r="Y472" s="4"/>
    </row>
    <row r="473" spans="2:25" ht="36" customHeight="1">
      <c r="B473" s="58">
        <v>46120</v>
      </c>
      <c r="C473" s="59" t="s">
        <v>15</v>
      </c>
      <c r="D473" s="51" t="s">
        <v>43</v>
      </c>
      <c r="E473" s="62" t="s">
        <v>101</v>
      </c>
      <c r="F473" s="5">
        <v>0.41666666666666669</v>
      </c>
      <c r="G473" s="65" t="s">
        <v>103</v>
      </c>
      <c r="H473" s="66"/>
      <c r="I473" s="34">
        <v>12</v>
      </c>
      <c r="J473" s="6">
        <f t="shared" si="125"/>
        <v>0.83333333333333337</v>
      </c>
      <c r="K473" s="38"/>
      <c r="L473" s="38"/>
      <c r="M473" s="38"/>
      <c r="N473" s="38"/>
      <c r="O473" s="38"/>
      <c r="P473" s="38"/>
      <c r="Q473" s="38">
        <v>7</v>
      </c>
      <c r="R473" s="38">
        <v>3</v>
      </c>
      <c r="S473" s="7">
        <f>SUM(K473:R473)</f>
        <v>10</v>
      </c>
      <c r="T473" s="7">
        <v>100000</v>
      </c>
      <c r="U473" s="7">
        <f>T473*S473</f>
        <v>1000000</v>
      </c>
      <c r="V473" s="4"/>
      <c r="W473" s="4"/>
      <c r="X473" s="4"/>
      <c r="Y473" s="4"/>
    </row>
    <row r="474" spans="2:25" ht="37.5">
      <c r="B474" s="58"/>
      <c r="C474" s="60"/>
      <c r="D474" s="52" t="s">
        <v>43</v>
      </c>
      <c r="E474" s="63"/>
      <c r="F474" s="8">
        <v>0.5</v>
      </c>
      <c r="G474" s="67" t="s">
        <v>103</v>
      </c>
      <c r="H474" s="68"/>
      <c r="I474" s="35">
        <v>50</v>
      </c>
      <c r="J474" s="9">
        <f t="shared" si="125"/>
        <v>0.04</v>
      </c>
      <c r="K474" s="39">
        <v>2</v>
      </c>
      <c r="L474" s="39"/>
      <c r="M474" s="39"/>
      <c r="N474" s="39"/>
      <c r="O474" s="39"/>
      <c r="P474" s="39"/>
      <c r="Q474" s="39"/>
      <c r="R474" s="39"/>
      <c r="S474" s="10">
        <f t="shared" ref="S474:S484" si="129">SUM(K474:R474)</f>
        <v>2</v>
      </c>
      <c r="T474" s="10">
        <v>100000</v>
      </c>
      <c r="U474" s="10">
        <f t="shared" ref="U474:U475" si="130">T474*S474</f>
        <v>200000</v>
      </c>
      <c r="V474" s="4"/>
      <c r="W474" s="4"/>
      <c r="X474" s="4"/>
      <c r="Y474" s="4"/>
    </row>
    <row r="475" spans="2:25" ht="37.5">
      <c r="B475" s="58"/>
      <c r="C475" s="60"/>
      <c r="D475" s="52" t="s">
        <v>43</v>
      </c>
      <c r="E475" s="63"/>
      <c r="F475" s="8">
        <v>0.58333333333333337</v>
      </c>
      <c r="G475" s="67" t="s">
        <v>103</v>
      </c>
      <c r="H475" s="68"/>
      <c r="I475" s="35">
        <v>50</v>
      </c>
      <c r="J475" s="9">
        <f t="shared" si="125"/>
        <v>0</v>
      </c>
      <c r="K475" s="39"/>
      <c r="L475" s="39"/>
      <c r="M475" s="39"/>
      <c r="N475" s="39"/>
      <c r="O475" s="39"/>
      <c r="P475" s="39"/>
      <c r="Q475" s="39"/>
      <c r="R475" s="39"/>
      <c r="S475" s="10">
        <f t="shared" si="129"/>
        <v>0</v>
      </c>
      <c r="T475" s="10">
        <v>100000</v>
      </c>
      <c r="U475" s="10">
        <f t="shared" si="130"/>
        <v>0</v>
      </c>
      <c r="V475" s="4"/>
      <c r="W475" s="4"/>
      <c r="X475" s="4"/>
      <c r="Y475" s="4"/>
    </row>
    <row r="476" spans="2:25" ht="37.5">
      <c r="B476" s="58"/>
      <c r="C476" s="60"/>
      <c r="D476" s="52" t="s">
        <v>43</v>
      </c>
      <c r="E476" s="63"/>
      <c r="F476" s="8">
        <v>0.66666666666666663</v>
      </c>
      <c r="G476" s="67" t="s">
        <v>103</v>
      </c>
      <c r="H476" s="68"/>
      <c r="I476" s="35">
        <v>55</v>
      </c>
      <c r="J476" s="9">
        <f t="shared" si="125"/>
        <v>0</v>
      </c>
      <c r="K476" s="39"/>
      <c r="L476" s="39"/>
      <c r="M476" s="39"/>
      <c r="N476" s="39"/>
      <c r="O476" s="39"/>
      <c r="P476" s="39"/>
      <c r="Q476" s="39"/>
      <c r="R476" s="39"/>
      <c r="S476" s="10">
        <f t="shared" si="129"/>
        <v>0</v>
      </c>
      <c r="T476" s="10">
        <v>100000</v>
      </c>
      <c r="U476" s="10">
        <f>T476*S476</f>
        <v>0</v>
      </c>
      <c r="V476" s="4"/>
      <c r="W476" s="4"/>
      <c r="X476" s="4"/>
      <c r="Y476" s="4"/>
    </row>
    <row r="477" spans="2:25" ht="37.5">
      <c r="B477" s="58"/>
      <c r="C477" s="60"/>
      <c r="D477" s="52" t="s">
        <v>43</v>
      </c>
      <c r="E477" s="63"/>
      <c r="F477" s="8">
        <v>0.75</v>
      </c>
      <c r="G477" s="67" t="s">
        <v>103</v>
      </c>
      <c r="H477" s="68"/>
      <c r="I477" s="35">
        <v>53</v>
      </c>
      <c r="J477" s="9">
        <f t="shared" si="125"/>
        <v>3.7735849056603772E-2</v>
      </c>
      <c r="K477" s="39">
        <v>2</v>
      </c>
      <c r="L477" s="39"/>
      <c r="M477" s="39"/>
      <c r="N477" s="39"/>
      <c r="O477" s="39"/>
      <c r="P477" s="39"/>
      <c r="Q477" s="39"/>
      <c r="R477" s="39"/>
      <c r="S477" s="10">
        <f t="shared" si="129"/>
        <v>2</v>
      </c>
      <c r="T477" s="10">
        <v>100000</v>
      </c>
      <c r="U477" s="10">
        <f t="shared" ref="U477:U484" si="131">T477*S477</f>
        <v>200000</v>
      </c>
      <c r="V477" s="4"/>
      <c r="W477" s="4"/>
      <c r="X477" s="11"/>
      <c r="Y477" s="4"/>
    </row>
    <row r="478" spans="2:25" ht="37.5">
      <c r="B478" s="58"/>
      <c r="C478" s="60"/>
      <c r="D478" s="53" t="s">
        <v>43</v>
      </c>
      <c r="E478" s="64"/>
      <c r="F478" s="12">
        <v>0.83333333333333337</v>
      </c>
      <c r="G478" s="67" t="s">
        <v>103</v>
      </c>
      <c r="H478" s="68"/>
      <c r="I478" s="36">
        <v>46</v>
      </c>
      <c r="J478" s="9">
        <f t="shared" si="125"/>
        <v>0</v>
      </c>
      <c r="K478" s="41"/>
      <c r="L478" s="41"/>
      <c r="M478" s="41"/>
      <c r="N478" s="41"/>
      <c r="O478" s="41"/>
      <c r="P478" s="41"/>
      <c r="Q478" s="41"/>
      <c r="R478" s="41"/>
      <c r="S478" s="13">
        <f t="shared" si="129"/>
        <v>0</v>
      </c>
      <c r="T478" s="13">
        <v>100000</v>
      </c>
      <c r="U478" s="13">
        <f t="shared" si="131"/>
        <v>0</v>
      </c>
      <c r="V478" s="4"/>
      <c r="Y478" s="4"/>
    </row>
    <row r="479" spans="2:25" ht="37.5">
      <c r="B479" s="58"/>
      <c r="C479" s="60"/>
      <c r="D479" s="51" t="s">
        <v>43</v>
      </c>
      <c r="E479" s="62" t="s">
        <v>102</v>
      </c>
      <c r="F479" s="5">
        <v>0.91666666666666663</v>
      </c>
      <c r="G479" s="65" t="s">
        <v>82</v>
      </c>
      <c r="H479" s="66"/>
      <c r="I479" s="34">
        <v>49</v>
      </c>
      <c r="J479" s="6">
        <f t="shared" si="125"/>
        <v>6.1224489795918366E-2</v>
      </c>
      <c r="K479" s="38"/>
      <c r="L479" s="38"/>
      <c r="M479" s="38"/>
      <c r="N479" s="38"/>
      <c r="O479" s="38"/>
      <c r="P479" s="38"/>
      <c r="Q479" s="38"/>
      <c r="R479" s="38">
        <v>3</v>
      </c>
      <c r="S479" s="7">
        <f t="shared" si="129"/>
        <v>3</v>
      </c>
      <c r="T479" s="7">
        <v>100000</v>
      </c>
      <c r="U479" s="7">
        <f t="shared" si="131"/>
        <v>300000</v>
      </c>
      <c r="V479" s="4"/>
      <c r="Y479" s="4"/>
    </row>
    <row r="480" spans="2:25" ht="37.5">
      <c r="B480" s="58"/>
      <c r="C480" s="60"/>
      <c r="D480" s="52" t="s">
        <v>43</v>
      </c>
      <c r="E480" s="63"/>
      <c r="F480" s="8">
        <v>1</v>
      </c>
      <c r="G480" s="67" t="s">
        <v>82</v>
      </c>
      <c r="H480" s="68"/>
      <c r="I480" s="35">
        <v>51</v>
      </c>
      <c r="J480" s="9">
        <f t="shared" si="125"/>
        <v>3.9215686274509803E-2</v>
      </c>
      <c r="K480" s="39"/>
      <c r="L480" s="39"/>
      <c r="M480" s="39"/>
      <c r="N480" s="39"/>
      <c r="O480" s="39"/>
      <c r="P480" s="39"/>
      <c r="Q480" s="39"/>
      <c r="R480" s="39">
        <v>2</v>
      </c>
      <c r="S480" s="10">
        <f t="shared" si="129"/>
        <v>2</v>
      </c>
      <c r="T480" s="10">
        <v>100000</v>
      </c>
      <c r="U480" s="10">
        <f t="shared" si="131"/>
        <v>200000</v>
      </c>
      <c r="V480" s="4"/>
      <c r="Y480" s="4"/>
    </row>
    <row r="481" spans="2:25" ht="37.5">
      <c r="B481" s="58"/>
      <c r="C481" s="60"/>
      <c r="D481" s="52" t="s">
        <v>43</v>
      </c>
      <c r="E481" s="63"/>
      <c r="F481" s="8">
        <v>8.3333333333333329E-2</v>
      </c>
      <c r="G481" s="67" t="s">
        <v>82</v>
      </c>
      <c r="H481" s="68"/>
      <c r="I481" s="35">
        <v>51</v>
      </c>
      <c r="J481" s="9">
        <f t="shared" si="125"/>
        <v>3.9215686274509803E-2</v>
      </c>
      <c r="K481" s="39"/>
      <c r="L481" s="39"/>
      <c r="M481" s="39"/>
      <c r="N481" s="39"/>
      <c r="O481" s="39"/>
      <c r="P481" s="39"/>
      <c r="Q481" s="39"/>
      <c r="R481" s="39">
        <v>2</v>
      </c>
      <c r="S481" s="10">
        <f t="shared" si="129"/>
        <v>2</v>
      </c>
      <c r="T481" s="10">
        <v>100000</v>
      </c>
      <c r="U481" s="10">
        <f t="shared" si="131"/>
        <v>200000</v>
      </c>
      <c r="V481" s="4"/>
      <c r="Y481" s="4"/>
    </row>
    <row r="482" spans="2:25" ht="37.5">
      <c r="B482" s="58"/>
      <c r="C482" s="60"/>
      <c r="D482" s="52" t="s">
        <v>43</v>
      </c>
      <c r="E482" s="63"/>
      <c r="F482" s="8">
        <v>0.16666666666666666</v>
      </c>
      <c r="G482" s="67" t="s">
        <v>82</v>
      </c>
      <c r="H482" s="68"/>
      <c r="I482" s="35">
        <v>51</v>
      </c>
      <c r="J482" s="9">
        <f t="shared" si="125"/>
        <v>0</v>
      </c>
      <c r="K482" s="39"/>
      <c r="L482" s="39"/>
      <c r="M482" s="39"/>
      <c r="N482" s="39"/>
      <c r="O482" s="39"/>
      <c r="P482" s="39"/>
      <c r="Q482" s="39"/>
      <c r="R482" s="39"/>
      <c r="S482" s="10">
        <f t="shared" si="129"/>
        <v>0</v>
      </c>
      <c r="T482" s="10">
        <v>100000</v>
      </c>
      <c r="U482" s="10">
        <f t="shared" si="131"/>
        <v>0</v>
      </c>
      <c r="V482" s="4"/>
      <c r="W482" s="4"/>
      <c r="X482" s="4"/>
      <c r="Y482" s="4"/>
    </row>
    <row r="483" spans="2:25" ht="37.5">
      <c r="B483" s="58"/>
      <c r="C483" s="60"/>
      <c r="D483" s="52" t="s">
        <v>43</v>
      </c>
      <c r="E483" s="63"/>
      <c r="F483" s="8">
        <v>0.25</v>
      </c>
      <c r="G483" s="67" t="s">
        <v>82</v>
      </c>
      <c r="H483" s="68"/>
      <c r="I483" s="35">
        <v>51</v>
      </c>
      <c r="J483" s="9">
        <f t="shared" si="125"/>
        <v>3.9215686274509803E-2</v>
      </c>
      <c r="K483" s="39"/>
      <c r="L483" s="39"/>
      <c r="M483" s="39"/>
      <c r="N483" s="39"/>
      <c r="O483" s="39"/>
      <c r="P483" s="39"/>
      <c r="Q483" s="39"/>
      <c r="R483" s="39">
        <v>2</v>
      </c>
      <c r="S483" s="10">
        <f t="shared" si="129"/>
        <v>2</v>
      </c>
      <c r="T483" s="10">
        <v>100000</v>
      </c>
      <c r="U483" s="10">
        <f t="shared" si="131"/>
        <v>200000</v>
      </c>
      <c r="V483" s="4"/>
      <c r="Y483" s="4"/>
    </row>
    <row r="484" spans="2:25" ht="37.5">
      <c r="B484" s="58"/>
      <c r="C484" s="61"/>
      <c r="D484" s="53" t="s">
        <v>43</v>
      </c>
      <c r="E484" s="69"/>
      <c r="F484" s="14">
        <v>0.33333333333333331</v>
      </c>
      <c r="G484" s="67" t="s">
        <v>82</v>
      </c>
      <c r="H484" s="68"/>
      <c r="I484" s="37">
        <v>51</v>
      </c>
      <c r="J484" s="15">
        <f t="shared" si="125"/>
        <v>3.9215686274509803E-2</v>
      </c>
      <c r="K484" s="40"/>
      <c r="L484" s="40"/>
      <c r="M484" s="40"/>
      <c r="N484" s="40"/>
      <c r="O484" s="40"/>
      <c r="P484" s="40"/>
      <c r="Q484" s="40"/>
      <c r="R484" s="40">
        <v>2</v>
      </c>
      <c r="S484" s="16">
        <f t="shared" si="129"/>
        <v>2</v>
      </c>
      <c r="T484" s="16">
        <v>100000</v>
      </c>
      <c r="U484" s="16">
        <f t="shared" si="131"/>
        <v>200000</v>
      </c>
      <c r="V484" s="4"/>
      <c r="W484" s="4"/>
      <c r="X484" s="4"/>
      <c r="Y484" s="4"/>
    </row>
    <row r="485" spans="2:25" ht="16.5" customHeight="1">
      <c r="B485" s="58">
        <v>46121</v>
      </c>
      <c r="C485" s="59" t="s">
        <v>15</v>
      </c>
      <c r="D485" s="51"/>
      <c r="E485" s="62" t="s">
        <v>101</v>
      </c>
      <c r="F485" s="5">
        <v>0.41666666666666669</v>
      </c>
      <c r="G485" s="65"/>
      <c r="H485" s="66"/>
      <c r="I485" s="34"/>
      <c r="J485" s="6" t="str">
        <f t="shared" ref="J485:J496" si="132">IFERROR(S485/I485,"")</f>
        <v/>
      </c>
      <c r="K485" s="38"/>
      <c r="L485" s="38"/>
      <c r="M485" s="38"/>
      <c r="N485" s="38"/>
      <c r="O485" s="38"/>
      <c r="P485" s="38"/>
      <c r="Q485" s="38"/>
      <c r="R485" s="38"/>
      <c r="S485" s="7">
        <f>SUM(K485:R485)</f>
        <v>0</v>
      </c>
      <c r="T485" s="7">
        <v>100000</v>
      </c>
      <c r="U485" s="7">
        <f>T485*S485</f>
        <v>0</v>
      </c>
      <c r="V485" s="4"/>
      <c r="W485" s="4"/>
      <c r="X485" s="4"/>
      <c r="Y485" s="4"/>
    </row>
    <row r="486" spans="2:25" ht="18.75">
      <c r="B486" s="58"/>
      <c r="C486" s="60"/>
      <c r="D486" s="52"/>
      <c r="E486" s="63"/>
      <c r="F486" s="8">
        <v>0.5</v>
      </c>
      <c r="G486" s="67"/>
      <c r="H486" s="68"/>
      <c r="I486" s="35"/>
      <c r="J486" s="9" t="str">
        <f t="shared" si="132"/>
        <v/>
      </c>
      <c r="K486" s="39"/>
      <c r="L486" s="39"/>
      <c r="M486" s="39"/>
      <c r="N486" s="39"/>
      <c r="O486" s="39"/>
      <c r="P486" s="39"/>
      <c r="Q486" s="39"/>
      <c r="R486" s="39"/>
      <c r="S486" s="10">
        <f t="shared" ref="S486:S496" si="133">SUM(K486:R486)</f>
        <v>0</v>
      </c>
      <c r="T486" s="10">
        <v>100000</v>
      </c>
      <c r="U486" s="10">
        <f t="shared" ref="U486:U487" si="134">T486*S486</f>
        <v>0</v>
      </c>
      <c r="V486" s="4"/>
      <c r="W486" s="4"/>
      <c r="X486" s="4"/>
      <c r="Y486" s="4"/>
    </row>
    <row r="487" spans="2:25" ht="18.75">
      <c r="B487" s="58"/>
      <c r="C487" s="60"/>
      <c r="D487" s="52"/>
      <c r="E487" s="63"/>
      <c r="F487" s="8">
        <v>0.58333333333333337</v>
      </c>
      <c r="G487" s="67"/>
      <c r="H487" s="68"/>
      <c r="I487" s="35"/>
      <c r="J487" s="9" t="str">
        <f t="shared" si="132"/>
        <v/>
      </c>
      <c r="K487" s="39"/>
      <c r="L487" s="39"/>
      <c r="M487" s="39"/>
      <c r="N487" s="39"/>
      <c r="O487" s="39"/>
      <c r="P487" s="39"/>
      <c r="Q487" s="39"/>
      <c r="R487" s="39"/>
      <c r="S487" s="10">
        <f t="shared" si="133"/>
        <v>0</v>
      </c>
      <c r="T487" s="10">
        <v>100000</v>
      </c>
      <c r="U487" s="10">
        <f t="shared" si="134"/>
        <v>0</v>
      </c>
      <c r="V487" s="4"/>
      <c r="W487" s="4"/>
      <c r="X487" s="4"/>
      <c r="Y487" s="4"/>
    </row>
    <row r="488" spans="2:25" ht="18.75">
      <c r="B488" s="58"/>
      <c r="C488" s="60"/>
      <c r="D488" s="52"/>
      <c r="E488" s="63"/>
      <c r="F488" s="8">
        <v>0.66666666666666663</v>
      </c>
      <c r="G488" s="67"/>
      <c r="H488" s="68"/>
      <c r="I488" s="35"/>
      <c r="J488" s="9" t="str">
        <f t="shared" si="132"/>
        <v/>
      </c>
      <c r="K488" s="39"/>
      <c r="L488" s="39"/>
      <c r="M488" s="39"/>
      <c r="N488" s="39"/>
      <c r="O488" s="39"/>
      <c r="P488" s="39"/>
      <c r="Q488" s="39"/>
      <c r="R488" s="39"/>
      <c r="S488" s="10">
        <f t="shared" si="133"/>
        <v>0</v>
      </c>
      <c r="T488" s="10">
        <v>100000</v>
      </c>
      <c r="U488" s="10">
        <f>T488*S488</f>
        <v>0</v>
      </c>
      <c r="V488" s="4"/>
      <c r="W488" s="4"/>
      <c r="X488" s="4"/>
      <c r="Y488" s="4"/>
    </row>
    <row r="489" spans="2:25" ht="18.75">
      <c r="B489" s="58"/>
      <c r="C489" s="60"/>
      <c r="D489" s="52"/>
      <c r="E489" s="63"/>
      <c r="F489" s="8">
        <v>0.75</v>
      </c>
      <c r="G489" s="67"/>
      <c r="H489" s="68"/>
      <c r="I489" s="35"/>
      <c r="J489" s="9" t="str">
        <f t="shared" si="132"/>
        <v/>
      </c>
      <c r="K489" s="39"/>
      <c r="L489" s="39"/>
      <c r="M489" s="39"/>
      <c r="N489" s="39"/>
      <c r="O489" s="39"/>
      <c r="P489" s="39"/>
      <c r="Q489" s="39"/>
      <c r="R489" s="39"/>
      <c r="S489" s="10">
        <f t="shared" si="133"/>
        <v>0</v>
      </c>
      <c r="T489" s="10">
        <v>100000</v>
      </c>
      <c r="U489" s="10">
        <f t="shared" ref="U489:U496" si="135">T489*S489</f>
        <v>0</v>
      </c>
      <c r="V489" s="4"/>
      <c r="W489" s="4"/>
      <c r="X489" s="11"/>
      <c r="Y489" s="4"/>
    </row>
    <row r="490" spans="2:25" ht="18.75">
      <c r="B490" s="58"/>
      <c r="C490" s="60"/>
      <c r="D490" s="53"/>
      <c r="E490" s="64"/>
      <c r="F490" s="12">
        <v>0.83333333333333337</v>
      </c>
      <c r="G490" s="67"/>
      <c r="H490" s="68"/>
      <c r="I490" s="36"/>
      <c r="J490" s="9" t="str">
        <f t="shared" si="132"/>
        <v/>
      </c>
      <c r="K490" s="41"/>
      <c r="L490" s="41"/>
      <c r="M490" s="41"/>
      <c r="N490" s="41"/>
      <c r="O490" s="41"/>
      <c r="P490" s="41"/>
      <c r="Q490" s="41"/>
      <c r="R490" s="41"/>
      <c r="S490" s="13">
        <f t="shared" si="133"/>
        <v>0</v>
      </c>
      <c r="T490" s="13">
        <v>100000</v>
      </c>
      <c r="U490" s="13">
        <f t="shared" si="135"/>
        <v>0</v>
      </c>
      <c r="V490" s="4"/>
      <c r="Y490" s="4"/>
    </row>
    <row r="491" spans="2:25" ht="18.75">
      <c r="B491" s="58"/>
      <c r="C491" s="60"/>
      <c r="D491" s="51"/>
      <c r="E491" s="62" t="s">
        <v>102</v>
      </c>
      <c r="F491" s="5">
        <v>0.91666666666666663</v>
      </c>
      <c r="G491" s="65"/>
      <c r="H491" s="66"/>
      <c r="I491" s="34"/>
      <c r="J491" s="6" t="str">
        <f t="shared" si="132"/>
        <v/>
      </c>
      <c r="K491" s="38"/>
      <c r="L491" s="38"/>
      <c r="M491" s="38"/>
      <c r="N491" s="38"/>
      <c r="O491" s="38"/>
      <c r="P491" s="38"/>
      <c r="Q491" s="38"/>
      <c r="R491" s="38"/>
      <c r="S491" s="7">
        <f t="shared" si="133"/>
        <v>0</v>
      </c>
      <c r="T491" s="7">
        <v>100000</v>
      </c>
      <c r="U491" s="7">
        <f t="shared" si="135"/>
        <v>0</v>
      </c>
      <c r="V491" s="4"/>
      <c r="Y491" s="4"/>
    </row>
    <row r="492" spans="2:25" ht="18.75">
      <c r="B492" s="58"/>
      <c r="C492" s="60"/>
      <c r="D492" s="52"/>
      <c r="E492" s="63"/>
      <c r="F492" s="8">
        <v>1</v>
      </c>
      <c r="G492" s="67"/>
      <c r="H492" s="68"/>
      <c r="I492" s="35"/>
      <c r="J492" s="9" t="str">
        <f t="shared" si="132"/>
        <v/>
      </c>
      <c r="K492" s="39"/>
      <c r="L492" s="39"/>
      <c r="M492" s="39"/>
      <c r="N492" s="39"/>
      <c r="O492" s="39"/>
      <c r="P492" s="39"/>
      <c r="Q492" s="39"/>
      <c r="R492" s="39"/>
      <c r="S492" s="10">
        <f t="shared" si="133"/>
        <v>0</v>
      </c>
      <c r="T492" s="10">
        <v>100000</v>
      </c>
      <c r="U492" s="10">
        <f t="shared" si="135"/>
        <v>0</v>
      </c>
      <c r="V492" s="4"/>
      <c r="Y492" s="4"/>
    </row>
    <row r="493" spans="2:25" ht="18.75">
      <c r="B493" s="58"/>
      <c r="C493" s="60"/>
      <c r="D493" s="52"/>
      <c r="E493" s="63"/>
      <c r="F493" s="8">
        <v>8.3333333333333329E-2</v>
      </c>
      <c r="G493" s="67"/>
      <c r="H493" s="68"/>
      <c r="I493" s="35"/>
      <c r="J493" s="9" t="str">
        <f t="shared" si="132"/>
        <v/>
      </c>
      <c r="K493" s="39"/>
      <c r="L493" s="39"/>
      <c r="M493" s="39"/>
      <c r="N493" s="39"/>
      <c r="O493" s="39"/>
      <c r="P493" s="39"/>
      <c r="Q493" s="39"/>
      <c r="R493" s="39"/>
      <c r="S493" s="10">
        <f t="shared" si="133"/>
        <v>0</v>
      </c>
      <c r="T493" s="10">
        <v>100000</v>
      </c>
      <c r="U493" s="10">
        <f t="shared" si="135"/>
        <v>0</v>
      </c>
      <c r="V493" s="4"/>
      <c r="Y493" s="4"/>
    </row>
    <row r="494" spans="2:25" ht="18.75">
      <c r="B494" s="58"/>
      <c r="C494" s="60"/>
      <c r="D494" s="52"/>
      <c r="E494" s="63"/>
      <c r="F494" s="8">
        <v>0.16666666666666666</v>
      </c>
      <c r="G494" s="67"/>
      <c r="H494" s="68"/>
      <c r="I494" s="35"/>
      <c r="J494" s="9" t="str">
        <f t="shared" si="132"/>
        <v/>
      </c>
      <c r="K494" s="39"/>
      <c r="L494" s="39"/>
      <c r="M494" s="39"/>
      <c r="N494" s="39"/>
      <c r="O494" s="39"/>
      <c r="P494" s="39"/>
      <c r="Q494" s="39"/>
      <c r="R494" s="39"/>
      <c r="S494" s="10">
        <f t="shared" si="133"/>
        <v>0</v>
      </c>
      <c r="T494" s="10">
        <v>100000</v>
      </c>
      <c r="U494" s="10">
        <f t="shared" si="135"/>
        <v>0</v>
      </c>
      <c r="V494" s="4"/>
      <c r="W494" s="4"/>
      <c r="X494" s="4"/>
      <c r="Y494" s="4"/>
    </row>
    <row r="495" spans="2:25" ht="18.75">
      <c r="B495" s="58"/>
      <c r="C495" s="60"/>
      <c r="D495" s="52"/>
      <c r="E495" s="63"/>
      <c r="F495" s="8">
        <v>0.25</v>
      </c>
      <c r="G495" s="67"/>
      <c r="H495" s="68"/>
      <c r="I495" s="35"/>
      <c r="J495" s="9" t="str">
        <f t="shared" si="132"/>
        <v/>
      </c>
      <c r="K495" s="39"/>
      <c r="L495" s="39"/>
      <c r="M495" s="39"/>
      <c r="N495" s="39"/>
      <c r="O495" s="39"/>
      <c r="P495" s="39"/>
      <c r="Q495" s="39"/>
      <c r="R495" s="39"/>
      <c r="S495" s="10">
        <f t="shared" si="133"/>
        <v>0</v>
      </c>
      <c r="T495" s="10">
        <v>100000</v>
      </c>
      <c r="U495" s="10">
        <f t="shared" si="135"/>
        <v>0</v>
      </c>
      <c r="V495" s="4"/>
      <c r="Y495" s="4"/>
    </row>
    <row r="496" spans="2:25" ht="18.75">
      <c r="B496" s="58"/>
      <c r="C496" s="61"/>
      <c r="D496" s="53"/>
      <c r="E496" s="69"/>
      <c r="F496" s="14">
        <v>0.33333333333333331</v>
      </c>
      <c r="G496" s="67"/>
      <c r="H496" s="68"/>
      <c r="I496" s="37"/>
      <c r="J496" s="15" t="str">
        <f t="shared" si="132"/>
        <v/>
      </c>
      <c r="K496" s="40"/>
      <c r="L496" s="40"/>
      <c r="M496" s="40"/>
      <c r="N496" s="40"/>
      <c r="O496" s="40"/>
      <c r="P496" s="40"/>
      <c r="Q496" s="40"/>
      <c r="R496" s="40"/>
      <c r="S496" s="16">
        <f t="shared" si="133"/>
        <v>0</v>
      </c>
      <c r="T496" s="16">
        <v>100000</v>
      </c>
      <c r="U496" s="16">
        <f t="shared" si="135"/>
        <v>0</v>
      </c>
      <c r="V496" s="4"/>
      <c r="W496" s="4"/>
      <c r="X496" s="4"/>
      <c r="Y496" s="4"/>
    </row>
  </sheetData>
  <mergeCells count="658">
    <mergeCell ref="B485:B496"/>
    <mergeCell ref="C485:C496"/>
    <mergeCell ref="E485:E490"/>
    <mergeCell ref="G485:H485"/>
    <mergeCell ref="G486:H486"/>
    <mergeCell ref="G487:H487"/>
    <mergeCell ref="G488:H488"/>
    <mergeCell ref="G489:H489"/>
    <mergeCell ref="G490:H490"/>
    <mergeCell ref="E491:E496"/>
    <mergeCell ref="G491:H491"/>
    <mergeCell ref="G492:H492"/>
    <mergeCell ref="G493:H493"/>
    <mergeCell ref="G494:H494"/>
    <mergeCell ref="G495:H495"/>
    <mergeCell ref="G496:H496"/>
    <mergeCell ref="B473:B484"/>
    <mergeCell ref="C473:C484"/>
    <mergeCell ref="E473:E478"/>
    <mergeCell ref="G473:H473"/>
    <mergeCell ref="G474:H474"/>
    <mergeCell ref="G475:H475"/>
    <mergeCell ref="G476:H476"/>
    <mergeCell ref="G477:H477"/>
    <mergeCell ref="G478:H478"/>
    <mergeCell ref="E479:E484"/>
    <mergeCell ref="G479:H479"/>
    <mergeCell ref="G480:H480"/>
    <mergeCell ref="G481:H481"/>
    <mergeCell ref="G482:H482"/>
    <mergeCell ref="G483:H483"/>
    <mergeCell ref="G484:H484"/>
    <mergeCell ref="B461:B472"/>
    <mergeCell ref="C461:C472"/>
    <mergeCell ref="E461:E466"/>
    <mergeCell ref="G461:H461"/>
    <mergeCell ref="G462:H462"/>
    <mergeCell ref="G463:H463"/>
    <mergeCell ref="G464:H464"/>
    <mergeCell ref="G465:H465"/>
    <mergeCell ref="G466:H466"/>
    <mergeCell ref="E467:E472"/>
    <mergeCell ref="G467:H467"/>
    <mergeCell ref="G468:H468"/>
    <mergeCell ref="G469:H469"/>
    <mergeCell ref="G470:H470"/>
    <mergeCell ref="G471:H471"/>
    <mergeCell ref="G472:H472"/>
    <mergeCell ref="B353:B364"/>
    <mergeCell ref="C353:C364"/>
    <mergeCell ref="E353:E358"/>
    <mergeCell ref="G353:H353"/>
    <mergeCell ref="G354:H354"/>
    <mergeCell ref="G355:H355"/>
    <mergeCell ref="G356:H356"/>
    <mergeCell ref="G357:H357"/>
    <mergeCell ref="G358:H358"/>
    <mergeCell ref="E359:E364"/>
    <mergeCell ref="G359:H359"/>
    <mergeCell ref="G360:H360"/>
    <mergeCell ref="G361:H361"/>
    <mergeCell ref="G362:H362"/>
    <mergeCell ref="G363:H363"/>
    <mergeCell ref="G364:H364"/>
    <mergeCell ref="B341:B352"/>
    <mergeCell ref="C341:C352"/>
    <mergeCell ref="E341:E346"/>
    <mergeCell ref="G341:H341"/>
    <mergeCell ref="G342:H342"/>
    <mergeCell ref="G343:H343"/>
    <mergeCell ref="G344:H344"/>
    <mergeCell ref="G345:H345"/>
    <mergeCell ref="G346:H346"/>
    <mergeCell ref="E347:E352"/>
    <mergeCell ref="G347:H347"/>
    <mergeCell ref="G348:H348"/>
    <mergeCell ref="G349:H349"/>
    <mergeCell ref="G350:H350"/>
    <mergeCell ref="G351:H351"/>
    <mergeCell ref="G352:H352"/>
    <mergeCell ref="B329:B340"/>
    <mergeCell ref="C329:C340"/>
    <mergeCell ref="E329:E334"/>
    <mergeCell ref="G329:H329"/>
    <mergeCell ref="G330:H330"/>
    <mergeCell ref="G331:H331"/>
    <mergeCell ref="G332:H332"/>
    <mergeCell ref="G333:H333"/>
    <mergeCell ref="G334:H334"/>
    <mergeCell ref="E335:E340"/>
    <mergeCell ref="G335:H335"/>
    <mergeCell ref="G336:H336"/>
    <mergeCell ref="G337:H337"/>
    <mergeCell ref="G338:H338"/>
    <mergeCell ref="G339:H339"/>
    <mergeCell ref="G340:H340"/>
    <mergeCell ref="B317:B328"/>
    <mergeCell ref="C317:C328"/>
    <mergeCell ref="E317:E322"/>
    <mergeCell ref="G317:H317"/>
    <mergeCell ref="G318:H318"/>
    <mergeCell ref="G319:H319"/>
    <mergeCell ref="G320:H320"/>
    <mergeCell ref="G321:H321"/>
    <mergeCell ref="G322:H322"/>
    <mergeCell ref="E323:E328"/>
    <mergeCell ref="G323:H323"/>
    <mergeCell ref="G324:H324"/>
    <mergeCell ref="G325:H325"/>
    <mergeCell ref="G326:H326"/>
    <mergeCell ref="G327:H327"/>
    <mergeCell ref="G328:H328"/>
    <mergeCell ref="B305:B316"/>
    <mergeCell ref="C305:C316"/>
    <mergeCell ref="E305:E310"/>
    <mergeCell ref="G305:H305"/>
    <mergeCell ref="G306:H306"/>
    <mergeCell ref="G307:H307"/>
    <mergeCell ref="G308:H308"/>
    <mergeCell ref="G309:H309"/>
    <mergeCell ref="G310:H310"/>
    <mergeCell ref="E311:E316"/>
    <mergeCell ref="G311:H311"/>
    <mergeCell ref="G312:H312"/>
    <mergeCell ref="G313:H313"/>
    <mergeCell ref="G314:H314"/>
    <mergeCell ref="G315:H315"/>
    <mergeCell ref="G316:H316"/>
    <mergeCell ref="B281:B292"/>
    <mergeCell ref="C281:C292"/>
    <mergeCell ref="E281:E286"/>
    <mergeCell ref="G281:H281"/>
    <mergeCell ref="G282:H282"/>
    <mergeCell ref="G283:H283"/>
    <mergeCell ref="G284:H284"/>
    <mergeCell ref="G285:H285"/>
    <mergeCell ref="G286:H286"/>
    <mergeCell ref="E287:E292"/>
    <mergeCell ref="G287:H287"/>
    <mergeCell ref="G288:H288"/>
    <mergeCell ref="G289:H289"/>
    <mergeCell ref="G290:H290"/>
    <mergeCell ref="G291:H291"/>
    <mergeCell ref="G292:H292"/>
    <mergeCell ref="B269:B280"/>
    <mergeCell ref="C269:C280"/>
    <mergeCell ref="E269:E274"/>
    <mergeCell ref="G269:H269"/>
    <mergeCell ref="G270:H270"/>
    <mergeCell ref="G271:H271"/>
    <mergeCell ref="G272:H272"/>
    <mergeCell ref="G273:H273"/>
    <mergeCell ref="G274:H274"/>
    <mergeCell ref="E275:E280"/>
    <mergeCell ref="G275:H275"/>
    <mergeCell ref="G276:H276"/>
    <mergeCell ref="G277:H277"/>
    <mergeCell ref="G278:H278"/>
    <mergeCell ref="G279:H279"/>
    <mergeCell ref="G280:H280"/>
    <mergeCell ref="B257:B268"/>
    <mergeCell ref="C257:C268"/>
    <mergeCell ref="E257:E262"/>
    <mergeCell ref="G257:H257"/>
    <mergeCell ref="G258:H258"/>
    <mergeCell ref="G259:H259"/>
    <mergeCell ref="G260:H260"/>
    <mergeCell ref="G261:H261"/>
    <mergeCell ref="G262:H262"/>
    <mergeCell ref="E263:E268"/>
    <mergeCell ref="G263:H263"/>
    <mergeCell ref="G264:H264"/>
    <mergeCell ref="G265:H265"/>
    <mergeCell ref="G266:H266"/>
    <mergeCell ref="G267:H267"/>
    <mergeCell ref="G268:H268"/>
    <mergeCell ref="B245:B256"/>
    <mergeCell ref="C245:C256"/>
    <mergeCell ref="E245:E250"/>
    <mergeCell ref="G245:H245"/>
    <mergeCell ref="G246:H246"/>
    <mergeCell ref="G247:H247"/>
    <mergeCell ref="G248:H248"/>
    <mergeCell ref="G249:H249"/>
    <mergeCell ref="G250:H250"/>
    <mergeCell ref="E251:E256"/>
    <mergeCell ref="G251:H251"/>
    <mergeCell ref="G252:H252"/>
    <mergeCell ref="G253:H253"/>
    <mergeCell ref="G254:H254"/>
    <mergeCell ref="G255:H255"/>
    <mergeCell ref="G256:H256"/>
    <mergeCell ref="B233:B244"/>
    <mergeCell ref="C233:C244"/>
    <mergeCell ref="E233:E238"/>
    <mergeCell ref="G233:H233"/>
    <mergeCell ref="G234:H234"/>
    <mergeCell ref="G235:H235"/>
    <mergeCell ref="G236:H236"/>
    <mergeCell ref="G237:H237"/>
    <mergeCell ref="G238:H238"/>
    <mergeCell ref="E239:E244"/>
    <mergeCell ref="G239:H239"/>
    <mergeCell ref="G240:H240"/>
    <mergeCell ref="G241:H241"/>
    <mergeCell ref="G242:H242"/>
    <mergeCell ref="G243:H243"/>
    <mergeCell ref="G244:H244"/>
    <mergeCell ref="B221:B232"/>
    <mergeCell ref="C221:C232"/>
    <mergeCell ref="E221:E226"/>
    <mergeCell ref="G221:H221"/>
    <mergeCell ref="G222:H222"/>
    <mergeCell ref="G223:H223"/>
    <mergeCell ref="G224:H224"/>
    <mergeCell ref="G225:H225"/>
    <mergeCell ref="G226:H226"/>
    <mergeCell ref="E227:E232"/>
    <mergeCell ref="G227:H227"/>
    <mergeCell ref="G228:H228"/>
    <mergeCell ref="G229:H229"/>
    <mergeCell ref="G230:H230"/>
    <mergeCell ref="G231:H231"/>
    <mergeCell ref="G232:H232"/>
    <mergeCell ref="B209:B220"/>
    <mergeCell ref="C209:C220"/>
    <mergeCell ref="E209:E214"/>
    <mergeCell ref="G209:H209"/>
    <mergeCell ref="G210:H210"/>
    <mergeCell ref="G211:H211"/>
    <mergeCell ref="G212:H212"/>
    <mergeCell ref="G213:H213"/>
    <mergeCell ref="G214:H214"/>
    <mergeCell ref="E215:E220"/>
    <mergeCell ref="G215:H215"/>
    <mergeCell ref="G216:H216"/>
    <mergeCell ref="G217:H217"/>
    <mergeCell ref="G218:H218"/>
    <mergeCell ref="G219:H219"/>
    <mergeCell ref="G220:H220"/>
    <mergeCell ref="B197:B208"/>
    <mergeCell ref="C197:C208"/>
    <mergeCell ref="E197:E202"/>
    <mergeCell ref="G197:H197"/>
    <mergeCell ref="G198:H198"/>
    <mergeCell ref="G199:H199"/>
    <mergeCell ref="G200:H200"/>
    <mergeCell ref="G201:H201"/>
    <mergeCell ref="G202:H202"/>
    <mergeCell ref="E203:E208"/>
    <mergeCell ref="G203:H203"/>
    <mergeCell ref="G204:H204"/>
    <mergeCell ref="G205:H205"/>
    <mergeCell ref="G206:H206"/>
    <mergeCell ref="G207:H207"/>
    <mergeCell ref="G208:H208"/>
    <mergeCell ref="B185:B196"/>
    <mergeCell ref="C185:C196"/>
    <mergeCell ref="E185:E190"/>
    <mergeCell ref="G185:H185"/>
    <mergeCell ref="G186:H186"/>
    <mergeCell ref="G187:H187"/>
    <mergeCell ref="G188:H188"/>
    <mergeCell ref="G189:H189"/>
    <mergeCell ref="G190:H190"/>
    <mergeCell ref="E191:E196"/>
    <mergeCell ref="G191:H191"/>
    <mergeCell ref="G192:H192"/>
    <mergeCell ref="G193:H193"/>
    <mergeCell ref="G194:H194"/>
    <mergeCell ref="G195:H195"/>
    <mergeCell ref="G196:H196"/>
    <mergeCell ref="B4:U4"/>
    <mergeCell ref="B8:U8"/>
    <mergeCell ref="B2:U2"/>
    <mergeCell ref="B17:B28"/>
    <mergeCell ref="C17:C28"/>
    <mergeCell ref="E17:E22"/>
    <mergeCell ref="E23:E28"/>
    <mergeCell ref="S14:U14"/>
    <mergeCell ref="B15:B16"/>
    <mergeCell ref="C15:C16"/>
    <mergeCell ref="E15:E16"/>
    <mergeCell ref="F15:F16"/>
    <mergeCell ref="I15:J15"/>
    <mergeCell ref="K15:S15"/>
    <mergeCell ref="T15:U15"/>
    <mergeCell ref="E59:E64"/>
    <mergeCell ref="B65:B76"/>
    <mergeCell ref="C65:C76"/>
    <mergeCell ref="E65:E70"/>
    <mergeCell ref="E71:E76"/>
    <mergeCell ref="B29:B40"/>
    <mergeCell ref="C29:C40"/>
    <mergeCell ref="E29:E34"/>
    <mergeCell ref="E35:E40"/>
    <mergeCell ref="B41:B52"/>
    <mergeCell ref="C41:C52"/>
    <mergeCell ref="E41:E46"/>
    <mergeCell ref="E47:E52"/>
    <mergeCell ref="B125:B136"/>
    <mergeCell ref="C125:C136"/>
    <mergeCell ref="E125:E130"/>
    <mergeCell ref="E131:E136"/>
    <mergeCell ref="D15:D16"/>
    <mergeCell ref="B101:B112"/>
    <mergeCell ref="C101:C112"/>
    <mergeCell ref="E101:E106"/>
    <mergeCell ref="E107:E112"/>
    <mergeCell ref="B113:B124"/>
    <mergeCell ref="C113:C124"/>
    <mergeCell ref="E113:E118"/>
    <mergeCell ref="E119:E124"/>
    <mergeCell ref="B77:B88"/>
    <mergeCell ref="C77:C88"/>
    <mergeCell ref="E77:E82"/>
    <mergeCell ref="E83:E88"/>
    <mergeCell ref="B89:B100"/>
    <mergeCell ref="C89:C100"/>
    <mergeCell ref="E89:E94"/>
    <mergeCell ref="E95:E100"/>
    <mergeCell ref="B53:B64"/>
    <mergeCell ref="C53:C64"/>
    <mergeCell ref="E53:E58"/>
    <mergeCell ref="G30:H30"/>
    <mergeCell ref="G31:H31"/>
    <mergeCell ref="G32:H32"/>
    <mergeCell ref="G33:H33"/>
    <mergeCell ref="G34:H34"/>
    <mergeCell ref="G15:H16"/>
    <mergeCell ref="G17:H17"/>
    <mergeCell ref="G18:H18"/>
    <mergeCell ref="G19:H19"/>
    <mergeCell ref="G20:H20"/>
    <mergeCell ref="G21:H21"/>
    <mergeCell ref="G22:H22"/>
    <mergeCell ref="G23:H23"/>
    <mergeCell ref="G24:H24"/>
    <mergeCell ref="G25:H25"/>
    <mergeCell ref="G26:H26"/>
    <mergeCell ref="G27:H27"/>
    <mergeCell ref="G28:H28"/>
    <mergeCell ref="G29:H29"/>
    <mergeCell ref="G40:H40"/>
    <mergeCell ref="G41:H41"/>
    <mergeCell ref="G42:H42"/>
    <mergeCell ref="G43:H43"/>
    <mergeCell ref="G44:H44"/>
    <mergeCell ref="G35:H35"/>
    <mergeCell ref="G36:H36"/>
    <mergeCell ref="G37:H37"/>
    <mergeCell ref="G38:H38"/>
    <mergeCell ref="G39:H39"/>
    <mergeCell ref="G50:H50"/>
    <mergeCell ref="G51:H51"/>
    <mergeCell ref="G52:H52"/>
    <mergeCell ref="G53:H53"/>
    <mergeCell ref="G54:H54"/>
    <mergeCell ref="G45:H45"/>
    <mergeCell ref="G46:H46"/>
    <mergeCell ref="G47:H47"/>
    <mergeCell ref="G48:H48"/>
    <mergeCell ref="G49:H49"/>
    <mergeCell ref="G60:H60"/>
    <mergeCell ref="G61:H61"/>
    <mergeCell ref="G62:H62"/>
    <mergeCell ref="G63:H63"/>
    <mergeCell ref="G64:H64"/>
    <mergeCell ref="G55:H55"/>
    <mergeCell ref="G56:H56"/>
    <mergeCell ref="G57:H57"/>
    <mergeCell ref="G58:H58"/>
    <mergeCell ref="G59:H59"/>
    <mergeCell ref="G70:H70"/>
    <mergeCell ref="G71:H71"/>
    <mergeCell ref="G72:H72"/>
    <mergeCell ref="G73:H73"/>
    <mergeCell ref="G74:H74"/>
    <mergeCell ref="G65:H65"/>
    <mergeCell ref="G66:H66"/>
    <mergeCell ref="G67:H67"/>
    <mergeCell ref="G68:H68"/>
    <mergeCell ref="G69:H69"/>
    <mergeCell ref="G80:H80"/>
    <mergeCell ref="G81:H81"/>
    <mergeCell ref="G82:H82"/>
    <mergeCell ref="G83:H83"/>
    <mergeCell ref="G84:H84"/>
    <mergeCell ref="G75:H75"/>
    <mergeCell ref="G76:H76"/>
    <mergeCell ref="G77:H77"/>
    <mergeCell ref="G78:H78"/>
    <mergeCell ref="G79:H79"/>
    <mergeCell ref="G90:H90"/>
    <mergeCell ref="G91:H91"/>
    <mergeCell ref="G92:H92"/>
    <mergeCell ref="G93:H93"/>
    <mergeCell ref="G94:H94"/>
    <mergeCell ref="G85:H85"/>
    <mergeCell ref="G86:H86"/>
    <mergeCell ref="G87:H87"/>
    <mergeCell ref="G88:H88"/>
    <mergeCell ref="G89:H89"/>
    <mergeCell ref="G100:H100"/>
    <mergeCell ref="G101:H101"/>
    <mergeCell ref="G102:H102"/>
    <mergeCell ref="G103:H103"/>
    <mergeCell ref="G104:H104"/>
    <mergeCell ref="G95:H95"/>
    <mergeCell ref="G96:H96"/>
    <mergeCell ref="G97:H97"/>
    <mergeCell ref="G98:H98"/>
    <mergeCell ref="G99:H99"/>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35:H135"/>
    <mergeCell ref="G136:H136"/>
    <mergeCell ref="D6:J6"/>
    <mergeCell ref="M6:U6"/>
    <mergeCell ref="D7:K7"/>
    <mergeCell ref="M7:U7"/>
    <mergeCell ref="B13:U13"/>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47:H147"/>
    <mergeCell ref="G148:H148"/>
    <mergeCell ref="B137:B148"/>
    <mergeCell ref="C137:C148"/>
    <mergeCell ref="E137:E142"/>
    <mergeCell ref="G137:H137"/>
    <mergeCell ref="G138:H138"/>
    <mergeCell ref="G139:H139"/>
    <mergeCell ref="G140:H140"/>
    <mergeCell ref="G141:H141"/>
    <mergeCell ref="G142:H142"/>
    <mergeCell ref="E143:E148"/>
    <mergeCell ref="G143:H143"/>
    <mergeCell ref="G144:H144"/>
    <mergeCell ref="G145:H145"/>
    <mergeCell ref="G146:H146"/>
    <mergeCell ref="B149:B160"/>
    <mergeCell ref="C149:C160"/>
    <mergeCell ref="E149:E154"/>
    <mergeCell ref="G149:H149"/>
    <mergeCell ref="G150:H150"/>
    <mergeCell ref="G151:H151"/>
    <mergeCell ref="G152:H152"/>
    <mergeCell ref="G153:H153"/>
    <mergeCell ref="G154:H154"/>
    <mergeCell ref="E155:E160"/>
    <mergeCell ref="G155:H155"/>
    <mergeCell ref="G156:H156"/>
    <mergeCell ref="G157:H157"/>
    <mergeCell ref="G158:H158"/>
    <mergeCell ref="G159:H159"/>
    <mergeCell ref="G160:H160"/>
    <mergeCell ref="B161:B172"/>
    <mergeCell ref="C161:C172"/>
    <mergeCell ref="E161:E166"/>
    <mergeCell ref="G161:H161"/>
    <mergeCell ref="G162:H162"/>
    <mergeCell ref="G163:H163"/>
    <mergeCell ref="G164:H164"/>
    <mergeCell ref="G165:H165"/>
    <mergeCell ref="G166:H166"/>
    <mergeCell ref="E167:E172"/>
    <mergeCell ref="G167:H167"/>
    <mergeCell ref="G168:H168"/>
    <mergeCell ref="G169:H169"/>
    <mergeCell ref="G170:H170"/>
    <mergeCell ref="G171:H171"/>
    <mergeCell ref="G172:H172"/>
    <mergeCell ref="B173:B184"/>
    <mergeCell ref="C173:C184"/>
    <mergeCell ref="E173:E178"/>
    <mergeCell ref="G173:H173"/>
    <mergeCell ref="G174:H174"/>
    <mergeCell ref="G175:H175"/>
    <mergeCell ref="G176:H176"/>
    <mergeCell ref="G177:H177"/>
    <mergeCell ref="G178:H178"/>
    <mergeCell ref="E179:E184"/>
    <mergeCell ref="G179:H179"/>
    <mergeCell ref="G180:H180"/>
    <mergeCell ref="G181:H181"/>
    <mergeCell ref="G182:H182"/>
    <mergeCell ref="G183:H183"/>
    <mergeCell ref="G184:H184"/>
    <mergeCell ref="B293:B304"/>
    <mergeCell ref="C293:C304"/>
    <mergeCell ref="E293:E298"/>
    <mergeCell ref="G293:H293"/>
    <mergeCell ref="G294:H294"/>
    <mergeCell ref="G295:H295"/>
    <mergeCell ref="G296:H296"/>
    <mergeCell ref="G297:H297"/>
    <mergeCell ref="G298:H298"/>
    <mergeCell ref="E299:E304"/>
    <mergeCell ref="G299:H299"/>
    <mergeCell ref="G300:H300"/>
    <mergeCell ref="G301:H301"/>
    <mergeCell ref="G302:H302"/>
    <mergeCell ref="G303:H303"/>
    <mergeCell ref="G304:H304"/>
    <mergeCell ref="B365:B376"/>
    <mergeCell ref="C365:C376"/>
    <mergeCell ref="E365:E370"/>
    <mergeCell ref="G365:H365"/>
    <mergeCell ref="G366:H366"/>
    <mergeCell ref="G367:H367"/>
    <mergeCell ref="G368:H368"/>
    <mergeCell ref="G369:H369"/>
    <mergeCell ref="G370:H370"/>
    <mergeCell ref="E371:E376"/>
    <mergeCell ref="G371:H371"/>
    <mergeCell ref="G372:H372"/>
    <mergeCell ref="G373:H373"/>
    <mergeCell ref="G374:H374"/>
    <mergeCell ref="G375:H375"/>
    <mergeCell ref="G376:H376"/>
    <mergeCell ref="B377:B388"/>
    <mergeCell ref="C377:C388"/>
    <mergeCell ref="E377:E382"/>
    <mergeCell ref="G377:H377"/>
    <mergeCell ref="G378:H378"/>
    <mergeCell ref="G379:H379"/>
    <mergeCell ref="G380:H380"/>
    <mergeCell ref="G381:H381"/>
    <mergeCell ref="G382:H382"/>
    <mergeCell ref="E383:E388"/>
    <mergeCell ref="G383:H383"/>
    <mergeCell ref="G384:H384"/>
    <mergeCell ref="G385:H385"/>
    <mergeCell ref="G386:H386"/>
    <mergeCell ref="G387:H387"/>
    <mergeCell ref="G388:H388"/>
    <mergeCell ref="B389:B400"/>
    <mergeCell ref="C389:C400"/>
    <mergeCell ref="E389:E394"/>
    <mergeCell ref="G389:H389"/>
    <mergeCell ref="G390:H390"/>
    <mergeCell ref="G391:H391"/>
    <mergeCell ref="G392:H392"/>
    <mergeCell ref="G393:H393"/>
    <mergeCell ref="G394:H394"/>
    <mergeCell ref="E395:E400"/>
    <mergeCell ref="G395:H395"/>
    <mergeCell ref="G396:H396"/>
    <mergeCell ref="G397:H397"/>
    <mergeCell ref="G398:H398"/>
    <mergeCell ref="G399:H399"/>
    <mergeCell ref="G400:H400"/>
    <mergeCell ref="B401:B412"/>
    <mergeCell ref="C401:C412"/>
    <mergeCell ref="E401:E406"/>
    <mergeCell ref="G401:H401"/>
    <mergeCell ref="G402:H402"/>
    <mergeCell ref="G403:H403"/>
    <mergeCell ref="G404:H404"/>
    <mergeCell ref="G405:H405"/>
    <mergeCell ref="G406:H406"/>
    <mergeCell ref="E407:E412"/>
    <mergeCell ref="G407:H407"/>
    <mergeCell ref="G408:H408"/>
    <mergeCell ref="G409:H409"/>
    <mergeCell ref="G410:H410"/>
    <mergeCell ref="G411:H411"/>
    <mergeCell ref="G412:H412"/>
    <mergeCell ref="B413:B424"/>
    <mergeCell ref="C413:C424"/>
    <mergeCell ref="E413:E418"/>
    <mergeCell ref="G413:H413"/>
    <mergeCell ref="G414:H414"/>
    <mergeCell ref="G415:H415"/>
    <mergeCell ref="G416:H416"/>
    <mergeCell ref="G417:H417"/>
    <mergeCell ref="G418:H418"/>
    <mergeCell ref="E419:E424"/>
    <mergeCell ref="G419:H419"/>
    <mergeCell ref="G420:H420"/>
    <mergeCell ref="G421:H421"/>
    <mergeCell ref="G422:H422"/>
    <mergeCell ref="G423:H423"/>
    <mergeCell ref="G424:H424"/>
    <mergeCell ref="B425:B436"/>
    <mergeCell ref="C425:C436"/>
    <mergeCell ref="E425:E430"/>
    <mergeCell ref="G425:H425"/>
    <mergeCell ref="G426:H426"/>
    <mergeCell ref="G427:H427"/>
    <mergeCell ref="G428:H428"/>
    <mergeCell ref="G429:H429"/>
    <mergeCell ref="G430:H430"/>
    <mergeCell ref="E431:E436"/>
    <mergeCell ref="G431:H431"/>
    <mergeCell ref="G432:H432"/>
    <mergeCell ref="G433:H433"/>
    <mergeCell ref="G434:H434"/>
    <mergeCell ref="G435:H435"/>
    <mergeCell ref="G436:H436"/>
    <mergeCell ref="B437:B448"/>
    <mergeCell ref="C437:C448"/>
    <mergeCell ref="E437:E442"/>
    <mergeCell ref="G437:H437"/>
    <mergeCell ref="G438:H438"/>
    <mergeCell ref="G439:H439"/>
    <mergeCell ref="G440:H440"/>
    <mergeCell ref="G441:H441"/>
    <mergeCell ref="G442:H442"/>
    <mergeCell ref="E443:E448"/>
    <mergeCell ref="G443:H443"/>
    <mergeCell ref="G444:H444"/>
    <mergeCell ref="G445:H445"/>
    <mergeCell ref="G446:H446"/>
    <mergeCell ref="G447:H447"/>
    <mergeCell ref="G448:H448"/>
    <mergeCell ref="B449:B460"/>
    <mergeCell ref="C449:C460"/>
    <mergeCell ref="E449:E454"/>
    <mergeCell ref="G449:H449"/>
    <mergeCell ref="G450:H450"/>
    <mergeCell ref="G451:H451"/>
    <mergeCell ref="G452:H452"/>
    <mergeCell ref="G453:H453"/>
    <mergeCell ref="G454:H454"/>
    <mergeCell ref="E455:E460"/>
    <mergeCell ref="G455:H455"/>
    <mergeCell ref="G456:H456"/>
    <mergeCell ref="G457:H457"/>
    <mergeCell ref="G458:H458"/>
    <mergeCell ref="G459:H459"/>
    <mergeCell ref="G460:H460"/>
  </mergeCells>
  <dataValidations count="6">
    <dataValidation type="list" allowBlank="1" showInputMessage="1" showErrorMessage="1" sqref="G17:G22 G29:G34 G41:G46 G53:G58 G65:G70 G137:G142 G77:G82 G101:G106 G113:G118 G125:G130 G89:G94 G149:G154 G161:G166 G173:G178 G185:G190 G197:G202 G209:G214 G221:G226 G233:G238 G245:G250 G257:G262 G269:G274 G281:G286 G293:G298 G305:G310 G317:G322 G329:G334 G353:G358 G341:G346 G365:G370 G377:G382 G389:G394 G401:G406 G413:G418 G425:G430 G437:G442 G449:G454 G461:G466 G473:G478 G485:G490" xr:uid="{12AFEA37-DE9D-4331-8D26-58A87B462F74}">
      <formula1>$C$11:$S$11</formula1>
    </dataValidation>
    <dataValidation type="list" allowBlank="1" showInputMessage="1" showErrorMessage="1" sqref="C125 C17 C29 C41 C53 C65 C77 C89 C101 C113 C137 C149 C161 C173 C185 C197 C209 C221 C233 C245 C257 C269 C281 C293 C305 C317 C329 C341 C353 C365 C377 C389 C401 C413 C425 C437 C449 C461 C473 C485" xr:uid="{34E88085-362B-4A10-BF54-835362F6EE09}">
      <formula1>$X$17:$X$21</formula1>
    </dataValidation>
    <dataValidation type="list" allowBlank="1" showInputMessage="1" showErrorMessage="1" sqref="E17 E23 E29 E41 E53 E65 E77 E89 E101 E113 E125 E137 E35 E47 E59 E71 E83 E95 E107 E119 E131 E143 E149 E155 E161 E167 E173 E179 E185 E191 E197 E203 E209 E215 E221 E227 E233 E239 E245 E251 E257 E263 E269 E275 E281 E287 E293 E299 E305 E311 E317 E323 E329 E335 E341 E347 E353 E359 E365 E371 E377 E383 E389 E395 E401 E407 E413 E419 E425 E431 E437 E443 E449 E455 E461 E467 E473 E479 E485 E491" xr:uid="{217D092B-4D1C-4387-AF95-F593535398E8}">
      <formula1>$X$22:$X$23</formula1>
    </dataValidation>
    <dataValidation type="list" allowBlank="1" showInputMessage="1" showErrorMessage="1" sqref="D17:D496" xr:uid="{0E1E66B1-9B0F-460C-928B-E32F49E51B4F}">
      <formula1>$Z$21:$Z$61</formula1>
    </dataValidation>
    <dataValidation type="list" allowBlank="1" showInputMessage="1" showErrorMessage="1" sqref="G23:H28 G35:H40 G143:H148 G59:H64 G71:H76 G47:H52 G83:H88 G107:H112 G119:H124 G131:H136 G95:H100 G155:H160 G167:H172 G179:H184 G191:H196 G203:H208 G215:H220 G227:H232 G239:H244 G251:H256 G263:H268 G275:H280 G287:H292 G299:H304 G311:H316 G323:H328 G335:H340 G359:H364 G347:H352 G371:H376 G383:H388 G395:H400 G407:H412 G419:H424 G431:H436 G443:H448 G455:H460 G467:H472 G479:H484 G491:H496" xr:uid="{BBCD1210-CEA0-4BC9-94EF-37762961F608}">
      <formula1>$C$12:$S$12</formula1>
    </dataValidation>
    <dataValidation type="list" allowBlank="1" showInputMessage="1" showErrorMessage="1" sqref="C6" xr:uid="{02C5D8BD-F18A-4262-BE87-765D29D27F95}">
      <formula1>$X$2:$X$6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96DA7-E256-4F0F-A2D9-7B8F0AC97C99}">
  <dimension ref="B1:AU508"/>
  <sheetViews>
    <sheetView zoomScale="69" zoomScaleNormal="69" workbookViewId="0">
      <pane ySplit="16" topLeftCell="A490" activePane="bottomLeft" state="frozenSplit"/>
      <selection pane="bottomLeft" activeCell="N501" sqref="N501"/>
    </sheetView>
  </sheetViews>
  <sheetFormatPr defaultColWidth="8.7109375" defaultRowHeight="13.5"/>
  <cols>
    <col min="1" max="1" width="4.140625" style="1" customWidth="1"/>
    <col min="2" max="2" width="16.42578125" style="1" bestFit="1" customWidth="1"/>
    <col min="3" max="3" width="17.42578125" style="1" bestFit="1" customWidth="1"/>
    <col min="4" max="4" width="17.42578125" style="1" customWidth="1"/>
    <col min="5" max="5" width="14.5703125" style="2" customWidth="1"/>
    <col min="6" max="19" width="14.5703125" style="1" customWidth="1"/>
    <col min="20" max="20" width="14.7109375" style="1" hidden="1" customWidth="1"/>
    <col min="21" max="21" width="28.140625" style="1" customWidth="1"/>
    <col min="22" max="22" width="62.7109375" style="1" customWidth="1"/>
    <col min="23" max="23" width="8.7109375" style="1"/>
    <col min="24" max="24" width="17.42578125" style="1" customWidth="1"/>
    <col min="25" max="25" width="8.7109375" style="1" customWidth="1"/>
    <col min="26" max="26" width="21.85546875" style="1" bestFit="1" customWidth="1"/>
    <col min="27" max="47" width="14.5703125" style="1" customWidth="1"/>
    <col min="48" max="16384" width="8.7109375" style="1"/>
  </cols>
  <sheetData>
    <row r="1" spans="2:47" ht="6" customHeight="1"/>
    <row r="2" spans="2:47" ht="35.25">
      <c r="B2" s="91" t="s">
        <v>31</v>
      </c>
      <c r="C2" s="91"/>
      <c r="D2" s="91"/>
      <c r="E2" s="91"/>
      <c r="F2" s="91"/>
      <c r="G2" s="91"/>
      <c r="H2" s="91"/>
      <c r="I2" s="91"/>
      <c r="J2" s="91"/>
      <c r="K2" s="91"/>
      <c r="L2" s="91"/>
      <c r="M2" s="91"/>
      <c r="N2" s="91"/>
      <c r="O2" s="91"/>
      <c r="P2" s="91"/>
      <c r="Q2" s="91"/>
      <c r="R2" s="91"/>
      <c r="S2" s="91"/>
      <c r="T2" s="91"/>
      <c r="U2" s="91"/>
      <c r="V2" s="24"/>
      <c r="W2" s="24"/>
      <c r="X2" s="1" t="s">
        <v>13</v>
      </c>
    </row>
    <row r="3" spans="2:47" ht="15.95" customHeight="1">
      <c r="B3" s="18"/>
      <c r="C3" s="18"/>
      <c r="D3" s="18"/>
      <c r="E3" s="18"/>
      <c r="F3" s="18"/>
      <c r="G3" s="18"/>
      <c r="H3" s="18"/>
      <c r="I3" s="18"/>
      <c r="J3" s="18"/>
      <c r="K3" s="18"/>
      <c r="L3" s="18"/>
      <c r="M3" s="18"/>
      <c r="N3" s="18"/>
      <c r="O3" s="18"/>
      <c r="P3" s="18"/>
      <c r="Q3" s="18"/>
      <c r="R3" s="18"/>
      <c r="S3" s="18"/>
      <c r="T3" s="18"/>
      <c r="U3" s="18"/>
      <c r="V3" s="24"/>
      <c r="W3" s="24"/>
      <c r="X3" s="1" t="s">
        <v>36</v>
      </c>
      <c r="Y3" s="24"/>
      <c r="Z3" s="24"/>
      <c r="AA3" s="24"/>
      <c r="AB3" s="24"/>
      <c r="AC3" s="24"/>
      <c r="AD3" s="24"/>
      <c r="AE3" s="24"/>
      <c r="AF3" s="24"/>
      <c r="AG3" s="24"/>
      <c r="AH3" s="24"/>
      <c r="AI3" s="24"/>
      <c r="AJ3" s="24"/>
      <c r="AK3" s="24"/>
      <c r="AL3" s="24"/>
      <c r="AM3" s="24"/>
      <c r="AN3" s="24"/>
      <c r="AO3" s="24"/>
      <c r="AP3" s="24"/>
      <c r="AQ3" s="24"/>
      <c r="AR3" s="24"/>
      <c r="AS3" s="24"/>
      <c r="AT3" s="24"/>
      <c r="AU3" s="24"/>
    </row>
    <row r="4" spans="2:47" ht="22.5">
      <c r="B4" s="94" t="s">
        <v>92</v>
      </c>
      <c r="C4" s="94"/>
      <c r="D4" s="94"/>
      <c r="E4" s="94"/>
      <c r="F4" s="94"/>
      <c r="G4" s="94"/>
      <c r="H4" s="94"/>
      <c r="I4" s="94"/>
      <c r="J4" s="94"/>
      <c r="K4" s="94"/>
      <c r="L4" s="94"/>
      <c r="M4" s="94"/>
      <c r="N4" s="94"/>
      <c r="O4" s="94"/>
      <c r="P4" s="94"/>
      <c r="Q4" s="94"/>
      <c r="R4" s="94"/>
      <c r="S4" s="94"/>
      <c r="T4" s="94"/>
      <c r="U4" s="94"/>
      <c r="V4" s="24"/>
      <c r="W4" s="24"/>
      <c r="X4" s="1" t="s">
        <v>34</v>
      </c>
      <c r="Y4" s="24"/>
      <c r="Z4" s="24"/>
      <c r="AA4" s="24"/>
      <c r="AB4" s="24"/>
      <c r="AC4" s="24"/>
      <c r="AD4" s="24"/>
      <c r="AE4" s="24"/>
      <c r="AF4" s="24"/>
      <c r="AG4" s="24"/>
      <c r="AH4" s="24"/>
      <c r="AI4" s="24"/>
      <c r="AJ4" s="24"/>
      <c r="AK4" s="24"/>
      <c r="AL4" s="24"/>
      <c r="AM4" s="24"/>
      <c r="AN4" s="24"/>
      <c r="AO4" s="24"/>
      <c r="AP4" s="24"/>
      <c r="AQ4" s="24"/>
      <c r="AR4" s="24"/>
      <c r="AS4" s="24"/>
      <c r="AT4" s="24"/>
      <c r="AU4" s="24"/>
    </row>
    <row r="5" spans="2:47" ht="11.45" customHeight="1">
      <c r="G5" s="3"/>
      <c r="H5" s="3"/>
      <c r="I5" s="3"/>
      <c r="J5" s="3"/>
      <c r="K5" s="3"/>
      <c r="L5" s="3"/>
      <c r="M5" s="3"/>
      <c r="N5" s="3"/>
      <c r="O5" s="3"/>
      <c r="P5" s="3"/>
      <c r="Q5" s="3"/>
      <c r="R5" s="3"/>
      <c r="S5" s="3"/>
      <c r="T5" s="3"/>
      <c r="U5" s="3"/>
      <c r="V5" s="24"/>
      <c r="W5" s="24"/>
      <c r="X5" s="1" t="s">
        <v>35</v>
      </c>
      <c r="Y5" s="24"/>
      <c r="Z5" s="24"/>
      <c r="AA5" s="24"/>
      <c r="AB5" s="24"/>
      <c r="AC5" s="24"/>
      <c r="AD5" s="24"/>
      <c r="AE5" s="24"/>
      <c r="AF5" s="24"/>
      <c r="AG5" s="24"/>
      <c r="AH5" s="24"/>
      <c r="AI5" s="24"/>
      <c r="AJ5" s="24"/>
      <c r="AK5" s="24"/>
      <c r="AL5" s="24"/>
      <c r="AM5" s="24"/>
      <c r="AN5" s="24"/>
      <c r="AO5" s="24"/>
      <c r="AP5" s="24"/>
      <c r="AQ5" s="24"/>
      <c r="AR5" s="24"/>
      <c r="AS5" s="24"/>
      <c r="AT5" s="24"/>
      <c r="AU5" s="24"/>
    </row>
    <row r="6" spans="2:47" ht="24" customHeight="1">
      <c r="B6" s="17" t="s">
        <v>11</v>
      </c>
      <c r="C6" s="42" t="s">
        <v>20</v>
      </c>
      <c r="D6" s="73" t="s">
        <v>91</v>
      </c>
      <c r="E6" s="71"/>
      <c r="F6" s="71"/>
      <c r="G6" s="71"/>
      <c r="H6" s="71"/>
      <c r="I6" s="71"/>
      <c r="J6" s="71"/>
      <c r="K6" s="47"/>
      <c r="L6" s="48" t="s">
        <v>96</v>
      </c>
      <c r="M6" s="70" t="s">
        <v>89</v>
      </c>
      <c r="N6" s="71"/>
      <c r="O6" s="71"/>
      <c r="P6" s="71"/>
      <c r="Q6" s="71"/>
      <c r="R6" s="71"/>
      <c r="S6" s="71"/>
      <c r="T6" s="71"/>
      <c r="U6" s="71"/>
      <c r="V6" s="24"/>
      <c r="W6" s="24"/>
      <c r="X6" s="1" t="s">
        <v>20</v>
      </c>
      <c r="Y6" s="24"/>
      <c r="Z6" s="24"/>
      <c r="AA6" s="24"/>
      <c r="AB6" s="24"/>
      <c r="AC6" s="24"/>
      <c r="AD6" s="24"/>
      <c r="AE6" s="24"/>
      <c r="AF6" s="24"/>
      <c r="AG6" s="24"/>
      <c r="AH6" s="24"/>
      <c r="AI6" s="24"/>
      <c r="AJ6" s="24"/>
      <c r="AK6" s="24"/>
      <c r="AL6" s="24"/>
      <c r="AM6" s="24"/>
      <c r="AN6" s="24"/>
      <c r="AO6" s="24"/>
      <c r="AP6" s="24"/>
      <c r="AQ6" s="24"/>
      <c r="AR6" s="24"/>
      <c r="AS6" s="24"/>
      <c r="AT6" s="24"/>
      <c r="AU6" s="24"/>
    </row>
    <row r="7" spans="2:47" ht="24.95" customHeight="1">
      <c r="C7" s="3"/>
      <c r="D7" s="72" t="s">
        <v>94</v>
      </c>
      <c r="E7" s="72"/>
      <c r="F7" s="72"/>
      <c r="G7" s="72"/>
      <c r="H7" s="72"/>
      <c r="I7" s="72"/>
      <c r="J7" s="72"/>
      <c r="K7" s="72"/>
      <c r="L7" s="3"/>
      <c r="M7" s="72" t="s">
        <v>90</v>
      </c>
      <c r="N7" s="72"/>
      <c r="O7" s="72"/>
      <c r="P7" s="72"/>
      <c r="Q7" s="72"/>
      <c r="R7" s="72"/>
      <c r="S7" s="72"/>
      <c r="T7" s="72"/>
      <c r="U7" s="72"/>
      <c r="V7" s="24"/>
      <c r="W7" s="24"/>
      <c r="Y7" s="24"/>
      <c r="Z7" s="24"/>
      <c r="AA7" s="24"/>
      <c r="AB7" s="24"/>
      <c r="AC7" s="24"/>
      <c r="AD7" s="24"/>
      <c r="AE7" s="24"/>
      <c r="AF7" s="24"/>
      <c r="AG7" s="24"/>
      <c r="AH7" s="24"/>
      <c r="AI7" s="24"/>
      <c r="AJ7" s="24"/>
      <c r="AK7" s="24"/>
      <c r="AL7" s="24"/>
      <c r="AM7" s="24"/>
      <c r="AN7" s="24"/>
      <c r="AO7" s="24"/>
      <c r="AP7" s="24"/>
      <c r="AQ7" s="24"/>
      <c r="AR7" s="24"/>
      <c r="AS7" s="24"/>
      <c r="AT7" s="24"/>
      <c r="AU7" s="24"/>
    </row>
    <row r="8" spans="2:47" ht="22.5">
      <c r="B8" s="93" t="s">
        <v>93</v>
      </c>
      <c r="C8" s="94"/>
      <c r="D8" s="94"/>
      <c r="E8" s="94"/>
      <c r="F8" s="94"/>
      <c r="G8" s="94"/>
      <c r="H8" s="94"/>
      <c r="I8" s="94"/>
      <c r="J8" s="94"/>
      <c r="K8" s="94"/>
      <c r="L8" s="94"/>
      <c r="M8" s="94"/>
      <c r="N8" s="94"/>
      <c r="O8" s="94"/>
      <c r="P8" s="94"/>
      <c r="Q8" s="94"/>
      <c r="R8" s="94"/>
      <c r="S8" s="94"/>
      <c r="T8" s="94"/>
      <c r="U8" s="94"/>
      <c r="V8" s="24"/>
      <c r="W8" s="24"/>
      <c r="Y8" s="24"/>
      <c r="Z8" s="24"/>
      <c r="AA8" s="24"/>
      <c r="AB8" s="24"/>
      <c r="AC8" s="24"/>
      <c r="AD8" s="24"/>
      <c r="AE8" s="24"/>
      <c r="AF8" s="24"/>
      <c r="AG8" s="24"/>
      <c r="AH8" s="24"/>
      <c r="AI8" s="24"/>
      <c r="AJ8" s="24"/>
      <c r="AK8" s="24"/>
      <c r="AL8" s="24"/>
      <c r="AM8" s="24"/>
      <c r="AN8" s="24"/>
      <c r="AO8" s="24"/>
      <c r="AP8" s="24"/>
      <c r="AQ8" s="24"/>
      <c r="AR8" s="24"/>
      <c r="AS8" s="24"/>
      <c r="AT8" s="24"/>
      <c r="AU8" s="24"/>
    </row>
    <row r="9" spans="2:47" ht="8.1" customHeight="1">
      <c r="E9" s="1"/>
      <c r="V9" s="24"/>
      <c r="W9" s="24"/>
      <c r="Y9" s="24"/>
      <c r="Z9" s="24"/>
      <c r="AA9" s="24"/>
      <c r="AB9" s="24"/>
      <c r="AC9" s="24"/>
      <c r="AD9" s="24"/>
      <c r="AE9" s="24"/>
      <c r="AF9" s="24"/>
      <c r="AG9" s="24"/>
      <c r="AH9" s="24"/>
      <c r="AI9" s="24"/>
      <c r="AJ9" s="24"/>
      <c r="AK9" s="24"/>
      <c r="AL9" s="24"/>
      <c r="AM9" s="24"/>
      <c r="AN9" s="24"/>
      <c r="AO9" s="24"/>
      <c r="AP9" s="24"/>
      <c r="AQ9" s="24"/>
      <c r="AR9" s="24"/>
      <c r="AS9" s="24"/>
      <c r="AT9" s="24"/>
      <c r="AU9" s="24"/>
    </row>
    <row r="10" spans="2:47" ht="18.75">
      <c r="B10" s="19" t="s">
        <v>30</v>
      </c>
      <c r="C10" s="19">
        <v>1</v>
      </c>
      <c r="D10" s="20">
        <v>2</v>
      </c>
      <c r="E10" s="20">
        <v>3</v>
      </c>
      <c r="F10" s="19">
        <v>4</v>
      </c>
      <c r="G10" s="20">
        <v>5</v>
      </c>
      <c r="H10" s="20">
        <v>6</v>
      </c>
      <c r="I10" s="19">
        <v>7</v>
      </c>
      <c r="J10" s="20">
        <v>8</v>
      </c>
      <c r="K10" s="20">
        <v>9</v>
      </c>
      <c r="L10" s="19">
        <v>10</v>
      </c>
      <c r="M10" s="20">
        <v>11</v>
      </c>
      <c r="N10" s="20">
        <v>12</v>
      </c>
      <c r="O10" s="19">
        <v>13</v>
      </c>
      <c r="P10" s="20">
        <v>14</v>
      </c>
      <c r="Q10" s="20">
        <v>15</v>
      </c>
      <c r="R10" s="20">
        <v>16</v>
      </c>
      <c r="S10" s="20">
        <v>17</v>
      </c>
      <c r="T10" s="19">
        <v>16</v>
      </c>
      <c r="U10" s="20" t="s">
        <v>32</v>
      </c>
      <c r="V10" s="24"/>
      <c r="W10" s="24"/>
    </row>
    <row r="11" spans="2:47" ht="18.75">
      <c r="B11" s="29" t="s">
        <v>28</v>
      </c>
      <c r="C11" s="31" t="s">
        <v>74</v>
      </c>
      <c r="D11" s="32" t="s">
        <v>75</v>
      </c>
      <c r="E11" s="32" t="s">
        <v>76</v>
      </c>
      <c r="F11" s="32" t="s">
        <v>110</v>
      </c>
      <c r="G11" s="31" t="s">
        <v>79</v>
      </c>
      <c r="H11" s="31" t="s">
        <v>80</v>
      </c>
      <c r="I11" s="31" t="s">
        <v>103</v>
      </c>
      <c r="J11" s="31" t="s">
        <v>104</v>
      </c>
      <c r="K11" s="31" t="s">
        <v>108</v>
      </c>
      <c r="L11" s="31" t="s">
        <v>109</v>
      </c>
      <c r="M11" s="31" t="s">
        <v>111</v>
      </c>
      <c r="N11" s="31"/>
      <c r="O11" s="31"/>
      <c r="P11" s="31"/>
      <c r="Q11" s="31"/>
      <c r="R11" s="31"/>
      <c r="S11" s="31"/>
      <c r="T11" s="31"/>
      <c r="U11" s="29"/>
      <c r="V11" s="24"/>
      <c r="W11" s="24"/>
    </row>
    <row r="12" spans="2:47" ht="18.75">
      <c r="B12" s="30" t="s">
        <v>29</v>
      </c>
      <c r="C12" s="33" t="s">
        <v>84</v>
      </c>
      <c r="D12" s="33" t="s">
        <v>81</v>
      </c>
      <c r="E12" s="33" t="s">
        <v>87</v>
      </c>
      <c r="F12" s="33" t="s">
        <v>86</v>
      </c>
      <c r="G12" s="33" t="s">
        <v>85</v>
      </c>
      <c r="H12" s="33" t="s">
        <v>88</v>
      </c>
      <c r="I12" s="33" t="s">
        <v>82</v>
      </c>
      <c r="J12" s="33" t="s">
        <v>83</v>
      </c>
      <c r="K12" s="33" t="s">
        <v>105</v>
      </c>
      <c r="L12" s="33" t="s">
        <v>106</v>
      </c>
      <c r="M12" s="33"/>
      <c r="N12" s="33"/>
      <c r="O12" s="33"/>
      <c r="P12" s="33"/>
      <c r="Q12" s="33"/>
      <c r="R12" s="33"/>
      <c r="S12" s="33"/>
      <c r="T12" s="33"/>
      <c r="U12" s="30"/>
    </row>
    <row r="13" spans="2:47" ht="54.6" customHeight="1">
      <c r="B13" s="74" t="s">
        <v>95</v>
      </c>
      <c r="C13" s="74"/>
      <c r="D13" s="74"/>
      <c r="E13" s="74"/>
      <c r="F13" s="74"/>
      <c r="G13" s="74"/>
      <c r="H13" s="74"/>
      <c r="I13" s="74"/>
      <c r="J13" s="74"/>
      <c r="K13" s="74"/>
      <c r="L13" s="74"/>
      <c r="M13" s="74"/>
      <c r="N13" s="74"/>
      <c r="O13" s="74"/>
      <c r="P13" s="74"/>
      <c r="Q13" s="74"/>
      <c r="R13" s="74"/>
      <c r="S13" s="74"/>
      <c r="T13" s="74"/>
      <c r="U13" s="74"/>
    </row>
    <row r="14" spans="2:47" ht="37.5">
      <c r="B14" s="26" t="s">
        <v>33</v>
      </c>
      <c r="C14" s="25"/>
      <c r="D14" s="49" t="s">
        <v>62</v>
      </c>
      <c r="E14" s="49" t="s">
        <v>63</v>
      </c>
      <c r="F14" s="49"/>
      <c r="G14" s="49" t="s">
        <v>64</v>
      </c>
      <c r="H14" s="49"/>
      <c r="I14" s="50" t="s">
        <v>65</v>
      </c>
      <c r="J14" s="50"/>
      <c r="K14" s="50" t="s">
        <v>66</v>
      </c>
      <c r="L14" s="50" t="s">
        <v>67</v>
      </c>
      <c r="M14" s="50" t="s">
        <v>68</v>
      </c>
      <c r="N14" s="50" t="s">
        <v>69</v>
      </c>
      <c r="O14" s="50" t="s">
        <v>70</v>
      </c>
      <c r="P14" s="50" t="s">
        <v>71</v>
      </c>
      <c r="Q14" s="50" t="s">
        <v>72</v>
      </c>
      <c r="R14" s="50" t="s">
        <v>73</v>
      </c>
      <c r="S14" s="92" t="s">
        <v>97</v>
      </c>
      <c r="T14" s="92"/>
      <c r="U14" s="92"/>
    </row>
    <row r="15" spans="2:47" ht="18.75">
      <c r="B15" s="87" t="s">
        <v>6</v>
      </c>
      <c r="C15" s="87" t="s">
        <v>8</v>
      </c>
      <c r="D15" s="87" t="s">
        <v>37</v>
      </c>
      <c r="E15" s="87" t="s">
        <v>0</v>
      </c>
      <c r="F15" s="87" t="s">
        <v>7</v>
      </c>
      <c r="G15" s="76" t="s">
        <v>1</v>
      </c>
      <c r="H15" s="77"/>
      <c r="I15" s="85" t="s">
        <v>27</v>
      </c>
      <c r="J15" s="86"/>
      <c r="K15" s="82" t="s">
        <v>2</v>
      </c>
      <c r="L15" s="83"/>
      <c r="M15" s="83"/>
      <c r="N15" s="83"/>
      <c r="O15" s="83"/>
      <c r="P15" s="83"/>
      <c r="Q15" s="83"/>
      <c r="R15" s="83"/>
      <c r="S15" s="84"/>
      <c r="T15" s="82"/>
      <c r="U15" s="84"/>
    </row>
    <row r="16" spans="2:47" ht="17.45" customHeight="1">
      <c r="B16" s="88"/>
      <c r="C16" s="88"/>
      <c r="D16" s="88"/>
      <c r="E16" s="88"/>
      <c r="F16" s="88"/>
      <c r="G16" s="78"/>
      <c r="H16" s="79"/>
      <c r="I16" s="21" t="s">
        <v>26</v>
      </c>
      <c r="J16" s="21" t="s">
        <v>27</v>
      </c>
      <c r="K16" s="22" t="s">
        <v>4</v>
      </c>
      <c r="L16" s="22" t="s">
        <v>5</v>
      </c>
      <c r="M16" s="22" t="s">
        <v>19</v>
      </c>
      <c r="N16" s="22" t="s">
        <v>69</v>
      </c>
      <c r="O16" s="22" t="s">
        <v>21</v>
      </c>
      <c r="P16" s="22" t="s">
        <v>22</v>
      </c>
      <c r="Q16" s="22" t="s">
        <v>23</v>
      </c>
      <c r="R16" s="22" t="s">
        <v>20</v>
      </c>
      <c r="S16" s="22" t="s">
        <v>24</v>
      </c>
      <c r="T16" s="22" t="s">
        <v>25</v>
      </c>
      <c r="U16" s="23" t="s">
        <v>3</v>
      </c>
      <c r="W16" s="4"/>
      <c r="X16" s="4"/>
      <c r="Y16" s="4"/>
    </row>
    <row r="17" spans="2:26" ht="16.5" hidden="1" customHeight="1">
      <c r="B17" s="89">
        <v>46082</v>
      </c>
      <c r="C17" s="59" t="s">
        <v>16</v>
      </c>
      <c r="D17" s="51"/>
      <c r="E17" s="62" t="s">
        <v>101</v>
      </c>
      <c r="F17" s="5">
        <v>0.41666666666666669</v>
      </c>
      <c r="G17" s="65"/>
      <c r="H17" s="66"/>
      <c r="I17" s="34"/>
      <c r="J17" s="6" t="str">
        <f>IFERROR(S17/I17,"")</f>
        <v/>
      </c>
      <c r="K17" s="38"/>
      <c r="L17" s="38"/>
      <c r="M17" s="38"/>
      <c r="N17" s="38"/>
      <c r="O17" s="38"/>
      <c r="P17" s="38"/>
      <c r="Q17" s="38"/>
      <c r="R17" s="38"/>
      <c r="S17" s="7">
        <f>SUM(K17:R17)</f>
        <v>0</v>
      </c>
      <c r="T17" s="7">
        <v>100000</v>
      </c>
      <c r="U17" s="7">
        <f>T17*S17</f>
        <v>0</v>
      </c>
      <c r="V17" s="4"/>
      <c r="W17" s="4"/>
      <c r="X17" s="4" t="s">
        <v>14</v>
      </c>
      <c r="Y17" s="4"/>
    </row>
    <row r="18" spans="2:26" ht="18.75" hidden="1">
      <c r="B18" s="75"/>
      <c r="C18" s="60"/>
      <c r="D18" s="52"/>
      <c r="E18" s="63"/>
      <c r="F18" s="8">
        <v>0.5</v>
      </c>
      <c r="G18" s="67"/>
      <c r="H18" s="68"/>
      <c r="I18" s="35"/>
      <c r="J18" s="9" t="str">
        <f>IFERROR(S18/I18,"")</f>
        <v/>
      </c>
      <c r="K18" s="39"/>
      <c r="L18" s="39"/>
      <c r="M18" s="39"/>
      <c r="N18" s="39"/>
      <c r="O18" s="39"/>
      <c r="P18" s="39"/>
      <c r="Q18" s="39"/>
      <c r="R18" s="39"/>
      <c r="S18" s="10">
        <f t="shared" ref="S18:S28" si="0">SUM(K18:R18)</f>
        <v>0</v>
      </c>
      <c r="T18" s="10">
        <v>100000</v>
      </c>
      <c r="U18" s="10">
        <f t="shared" ref="U18:U28" si="1">T18*S18</f>
        <v>0</v>
      </c>
      <c r="V18" s="4"/>
      <c r="W18" s="4"/>
      <c r="X18" s="4" t="s">
        <v>15</v>
      </c>
      <c r="Y18" s="4"/>
    </row>
    <row r="19" spans="2:26" ht="18.75" hidden="1">
      <c r="B19" s="75"/>
      <c r="C19" s="60"/>
      <c r="D19" s="52"/>
      <c r="E19" s="63"/>
      <c r="F19" s="8">
        <v>0.58333333333333337</v>
      </c>
      <c r="G19" s="67"/>
      <c r="H19" s="68"/>
      <c r="I19" s="35"/>
      <c r="J19" s="9" t="str">
        <f t="shared" ref="J19:J82" si="2">IFERROR(S19/I19,"")</f>
        <v/>
      </c>
      <c r="K19" s="39"/>
      <c r="L19" s="39"/>
      <c r="M19" s="39"/>
      <c r="N19" s="39"/>
      <c r="O19" s="39"/>
      <c r="P19" s="39"/>
      <c r="Q19" s="39"/>
      <c r="R19" s="39"/>
      <c r="S19" s="10">
        <f t="shared" si="0"/>
        <v>0</v>
      </c>
      <c r="T19" s="10">
        <v>100000</v>
      </c>
      <c r="U19" s="10">
        <f t="shared" si="1"/>
        <v>0</v>
      </c>
      <c r="V19" s="4"/>
      <c r="W19" s="4"/>
      <c r="X19" s="4" t="s">
        <v>16</v>
      </c>
      <c r="Y19" s="4"/>
    </row>
    <row r="20" spans="2:26" ht="18.75" hidden="1">
      <c r="B20" s="75"/>
      <c r="C20" s="60"/>
      <c r="D20" s="52"/>
      <c r="E20" s="63"/>
      <c r="F20" s="8">
        <v>0.66666666666666663</v>
      </c>
      <c r="G20" s="67"/>
      <c r="H20" s="68"/>
      <c r="I20" s="35"/>
      <c r="J20" s="9" t="str">
        <f t="shared" si="2"/>
        <v/>
      </c>
      <c r="K20" s="39"/>
      <c r="L20" s="39"/>
      <c r="M20" s="39"/>
      <c r="N20" s="39"/>
      <c r="O20" s="39"/>
      <c r="P20" s="39"/>
      <c r="Q20" s="39"/>
      <c r="R20" s="39"/>
      <c r="S20" s="10">
        <f t="shared" si="0"/>
        <v>0</v>
      </c>
      <c r="T20" s="10">
        <v>100000</v>
      </c>
      <c r="U20" s="10">
        <f>T20*S20</f>
        <v>0</v>
      </c>
      <c r="V20" s="4"/>
      <c r="W20" s="4"/>
      <c r="X20" s="4" t="s">
        <v>17</v>
      </c>
      <c r="Y20" s="4"/>
      <c r="Z20" s="28" t="s">
        <v>61</v>
      </c>
    </row>
    <row r="21" spans="2:26" ht="18.75" hidden="1">
      <c r="B21" s="75"/>
      <c r="C21" s="60"/>
      <c r="D21" s="52"/>
      <c r="E21" s="63"/>
      <c r="F21" s="8">
        <v>0.75</v>
      </c>
      <c r="G21" s="67"/>
      <c r="H21" s="68"/>
      <c r="I21" s="35"/>
      <c r="J21" s="9" t="str">
        <f t="shared" si="2"/>
        <v/>
      </c>
      <c r="K21" s="39"/>
      <c r="L21" s="39"/>
      <c r="M21" s="39"/>
      <c r="N21" s="39"/>
      <c r="O21" s="39"/>
      <c r="P21" s="39"/>
      <c r="Q21" s="39"/>
      <c r="R21" s="39"/>
      <c r="S21" s="10">
        <f t="shared" si="0"/>
        <v>0</v>
      </c>
      <c r="T21" s="10">
        <v>100000</v>
      </c>
      <c r="U21" s="10">
        <f t="shared" si="1"/>
        <v>0</v>
      </c>
      <c r="V21" s="4"/>
      <c r="W21" s="4"/>
      <c r="X21" s="11" t="s">
        <v>18</v>
      </c>
      <c r="Y21" s="4"/>
      <c r="Z21" s="43"/>
    </row>
    <row r="22" spans="2:26" ht="27" hidden="1">
      <c r="B22" s="75"/>
      <c r="C22" s="60"/>
      <c r="D22" s="53"/>
      <c r="E22" s="64"/>
      <c r="F22" s="12">
        <v>0.83333333333333337</v>
      </c>
      <c r="G22" s="67"/>
      <c r="H22" s="68"/>
      <c r="I22" s="35"/>
      <c r="J22" s="9" t="str">
        <f t="shared" si="2"/>
        <v/>
      </c>
      <c r="K22" s="40"/>
      <c r="L22" s="40"/>
      <c r="M22" s="40"/>
      <c r="N22" s="40"/>
      <c r="O22" s="40"/>
      <c r="P22" s="40"/>
      <c r="Q22" s="40"/>
      <c r="R22" s="40"/>
      <c r="S22" s="16">
        <f t="shared" si="0"/>
        <v>0</v>
      </c>
      <c r="T22" s="16">
        <v>100000</v>
      </c>
      <c r="U22" s="16">
        <f t="shared" si="1"/>
        <v>0</v>
      </c>
      <c r="V22" s="4"/>
      <c r="X22" s="54" t="s">
        <v>101</v>
      </c>
      <c r="Z22" s="44" t="s">
        <v>46</v>
      </c>
    </row>
    <row r="23" spans="2:26" ht="27" hidden="1">
      <c r="B23" s="75"/>
      <c r="C23" s="60"/>
      <c r="D23" s="51"/>
      <c r="E23" s="62" t="s">
        <v>102</v>
      </c>
      <c r="F23" s="5">
        <v>0.91666666666666663</v>
      </c>
      <c r="G23" s="65"/>
      <c r="H23" s="66"/>
      <c r="I23" s="34"/>
      <c r="J23" s="6" t="str">
        <f t="shared" si="2"/>
        <v/>
      </c>
      <c r="K23" s="38"/>
      <c r="L23" s="38"/>
      <c r="M23" s="38"/>
      <c r="N23" s="38"/>
      <c r="O23" s="38"/>
      <c r="P23" s="38"/>
      <c r="Q23" s="38"/>
      <c r="R23" s="38"/>
      <c r="S23" s="7">
        <f t="shared" si="0"/>
        <v>0</v>
      </c>
      <c r="T23" s="7">
        <v>100000</v>
      </c>
      <c r="U23" s="7">
        <f t="shared" si="1"/>
        <v>0</v>
      </c>
      <c r="V23" s="4"/>
      <c r="X23" s="54" t="s">
        <v>102</v>
      </c>
      <c r="Z23" s="44" t="s">
        <v>45</v>
      </c>
    </row>
    <row r="24" spans="2:26" ht="18.75" hidden="1">
      <c r="B24" s="75"/>
      <c r="C24" s="60"/>
      <c r="D24" s="52"/>
      <c r="E24" s="63"/>
      <c r="F24" s="8">
        <v>1</v>
      </c>
      <c r="G24" s="67"/>
      <c r="H24" s="68"/>
      <c r="I24" s="35"/>
      <c r="J24" s="9" t="str">
        <f t="shared" si="2"/>
        <v/>
      </c>
      <c r="K24" s="39"/>
      <c r="L24" s="39"/>
      <c r="M24" s="39"/>
      <c r="N24" s="39"/>
      <c r="O24" s="39"/>
      <c r="P24" s="39"/>
      <c r="Q24" s="39"/>
      <c r="R24" s="39"/>
      <c r="S24" s="10">
        <f t="shared" si="0"/>
        <v>0</v>
      </c>
      <c r="T24" s="10">
        <v>100000</v>
      </c>
      <c r="U24" s="10">
        <f t="shared" si="1"/>
        <v>0</v>
      </c>
      <c r="V24" s="4"/>
      <c r="Y24" s="4"/>
      <c r="Z24" s="44" t="s">
        <v>44</v>
      </c>
    </row>
    <row r="25" spans="2:26" ht="18.75" hidden="1">
      <c r="B25" s="75"/>
      <c r="C25" s="60"/>
      <c r="D25" s="52"/>
      <c r="E25" s="63"/>
      <c r="F25" s="8">
        <v>8.3333333333333329E-2</v>
      </c>
      <c r="G25" s="67"/>
      <c r="H25" s="68"/>
      <c r="I25" s="35"/>
      <c r="J25" s="9" t="str">
        <f t="shared" si="2"/>
        <v/>
      </c>
      <c r="K25" s="39"/>
      <c r="L25" s="39"/>
      <c r="M25" s="39"/>
      <c r="N25" s="39"/>
      <c r="O25" s="39"/>
      <c r="P25" s="39"/>
      <c r="Q25" s="39"/>
      <c r="R25" s="39"/>
      <c r="S25" s="10">
        <f t="shared" si="0"/>
        <v>0</v>
      </c>
      <c r="T25" s="10">
        <v>100000</v>
      </c>
      <c r="U25" s="10">
        <f t="shared" si="1"/>
        <v>0</v>
      </c>
      <c r="Y25" s="4"/>
      <c r="Z25" s="44" t="s">
        <v>47</v>
      </c>
    </row>
    <row r="26" spans="2:26" ht="18.75" hidden="1">
      <c r="B26" s="75"/>
      <c r="C26" s="60"/>
      <c r="D26" s="52"/>
      <c r="E26" s="63"/>
      <c r="F26" s="8">
        <v>0.16666666666666666</v>
      </c>
      <c r="G26" s="67"/>
      <c r="H26" s="68"/>
      <c r="I26" s="35"/>
      <c r="J26" s="9" t="str">
        <f t="shared" si="2"/>
        <v/>
      </c>
      <c r="K26" s="39"/>
      <c r="L26" s="39"/>
      <c r="M26" s="39"/>
      <c r="N26" s="39"/>
      <c r="O26" s="39"/>
      <c r="P26" s="39"/>
      <c r="Q26" s="39"/>
      <c r="R26" s="39"/>
      <c r="S26" s="10">
        <f t="shared" si="0"/>
        <v>0</v>
      </c>
      <c r="T26" s="10">
        <v>100000</v>
      </c>
      <c r="U26" s="10">
        <f t="shared" si="1"/>
        <v>0</v>
      </c>
      <c r="V26" s="4"/>
      <c r="X26" s="4"/>
      <c r="Y26" s="4"/>
      <c r="Z26" s="44" t="s">
        <v>48</v>
      </c>
    </row>
    <row r="27" spans="2:26" ht="18.75" hidden="1">
      <c r="B27" s="75"/>
      <c r="C27" s="60"/>
      <c r="D27" s="52"/>
      <c r="E27" s="63"/>
      <c r="F27" s="8">
        <v>0.25</v>
      </c>
      <c r="G27" s="67"/>
      <c r="H27" s="68"/>
      <c r="I27" s="35"/>
      <c r="J27" s="9" t="str">
        <f t="shared" si="2"/>
        <v/>
      </c>
      <c r="K27" s="39"/>
      <c r="L27" s="39"/>
      <c r="M27" s="39"/>
      <c r="N27" s="39"/>
      <c r="O27" s="39"/>
      <c r="P27" s="39"/>
      <c r="Q27" s="39"/>
      <c r="R27" s="39"/>
      <c r="S27" s="10">
        <f t="shared" si="0"/>
        <v>0</v>
      </c>
      <c r="T27" s="10">
        <v>100000</v>
      </c>
      <c r="U27" s="10">
        <f t="shared" si="1"/>
        <v>0</v>
      </c>
      <c r="V27" s="4"/>
      <c r="Y27" s="4"/>
      <c r="Z27" s="44" t="s">
        <v>49</v>
      </c>
    </row>
    <row r="28" spans="2:26" ht="18.75" hidden="1">
      <c r="B28" s="75"/>
      <c r="C28" s="60"/>
      <c r="D28" s="53"/>
      <c r="E28" s="64"/>
      <c r="F28" s="12">
        <v>0.33333333333333331</v>
      </c>
      <c r="G28" s="67"/>
      <c r="H28" s="68"/>
      <c r="I28" s="36"/>
      <c r="J28" s="9" t="str">
        <f t="shared" si="2"/>
        <v/>
      </c>
      <c r="K28" s="41"/>
      <c r="L28" s="41"/>
      <c r="M28" s="41"/>
      <c r="N28" s="41"/>
      <c r="O28" s="41"/>
      <c r="P28" s="41"/>
      <c r="Q28" s="41"/>
      <c r="R28" s="41"/>
      <c r="S28" s="13">
        <f t="shared" si="0"/>
        <v>0</v>
      </c>
      <c r="T28" s="13">
        <v>100000</v>
      </c>
      <c r="U28" s="13">
        <f t="shared" si="1"/>
        <v>0</v>
      </c>
      <c r="V28" s="4"/>
      <c r="W28" s="4"/>
      <c r="X28" s="4"/>
      <c r="Y28" s="4"/>
      <c r="Z28" s="44" t="s">
        <v>50</v>
      </c>
    </row>
    <row r="29" spans="2:26" ht="18.600000000000001" hidden="1" customHeight="1">
      <c r="B29" s="89">
        <v>46083</v>
      </c>
      <c r="C29" s="59" t="s">
        <v>16</v>
      </c>
      <c r="D29" s="51" t="s">
        <v>56</v>
      </c>
      <c r="E29" s="62" t="s">
        <v>101</v>
      </c>
      <c r="F29" s="5">
        <v>0.41666666666666669</v>
      </c>
      <c r="G29" s="65" t="s">
        <v>77</v>
      </c>
      <c r="H29" s="66"/>
      <c r="I29" s="34">
        <v>20</v>
      </c>
      <c r="J29" s="6">
        <f t="shared" si="2"/>
        <v>1</v>
      </c>
      <c r="K29" s="38"/>
      <c r="L29" s="38"/>
      <c r="M29" s="38">
        <v>5</v>
      </c>
      <c r="N29" s="38"/>
      <c r="O29" s="38"/>
      <c r="P29" s="38"/>
      <c r="Q29" s="38">
        <v>15</v>
      </c>
      <c r="R29" s="38"/>
      <c r="S29" s="7">
        <f>SUM(K29:R29)</f>
        <v>20</v>
      </c>
      <c r="T29" s="7">
        <v>100000</v>
      </c>
      <c r="U29" s="7">
        <f>T29*S29</f>
        <v>2000000</v>
      </c>
      <c r="V29" s="4"/>
      <c r="W29" s="4"/>
      <c r="X29" s="4"/>
      <c r="Y29" s="4"/>
      <c r="Z29" s="44" t="s">
        <v>51</v>
      </c>
    </row>
    <row r="30" spans="2:26" ht="18.75" hidden="1">
      <c r="B30" s="75"/>
      <c r="C30" s="60"/>
      <c r="D30" s="52" t="s">
        <v>56</v>
      </c>
      <c r="E30" s="63"/>
      <c r="F30" s="8">
        <v>0.5</v>
      </c>
      <c r="G30" s="67" t="s">
        <v>77</v>
      </c>
      <c r="H30" s="68"/>
      <c r="I30" s="35">
        <v>20</v>
      </c>
      <c r="J30" s="9">
        <f t="shared" si="2"/>
        <v>0.2</v>
      </c>
      <c r="K30" s="39"/>
      <c r="L30" s="39"/>
      <c r="M30" s="39"/>
      <c r="N30" s="39"/>
      <c r="O30" s="39"/>
      <c r="P30" s="39"/>
      <c r="Q30" s="39"/>
      <c r="R30" s="39">
        <v>4</v>
      </c>
      <c r="S30" s="10">
        <f t="shared" ref="S30:S40" si="3">SUM(K30:R30)</f>
        <v>4</v>
      </c>
      <c r="T30" s="10">
        <v>100000</v>
      </c>
      <c r="U30" s="10">
        <f t="shared" ref="U30:U31" si="4">T30*S30</f>
        <v>400000</v>
      </c>
      <c r="V30" s="4"/>
      <c r="W30" s="4"/>
      <c r="X30" s="4"/>
      <c r="Y30" s="4"/>
      <c r="Z30" s="44" t="s">
        <v>52</v>
      </c>
    </row>
    <row r="31" spans="2:26" ht="18.75" hidden="1">
      <c r="B31" s="75"/>
      <c r="C31" s="60"/>
      <c r="D31" s="52" t="s">
        <v>56</v>
      </c>
      <c r="E31" s="63"/>
      <c r="F31" s="8">
        <v>0.58333333333333337</v>
      </c>
      <c r="G31" s="67" t="s">
        <v>77</v>
      </c>
      <c r="H31" s="68"/>
      <c r="I31" s="35">
        <v>40</v>
      </c>
      <c r="J31" s="9">
        <f t="shared" si="2"/>
        <v>7.4999999999999997E-2</v>
      </c>
      <c r="K31" s="39"/>
      <c r="L31" s="39"/>
      <c r="M31" s="39"/>
      <c r="N31" s="39"/>
      <c r="O31" s="39"/>
      <c r="P31" s="39"/>
      <c r="Q31" s="39"/>
      <c r="R31" s="39">
        <v>3</v>
      </c>
      <c r="S31" s="10">
        <f t="shared" si="3"/>
        <v>3</v>
      </c>
      <c r="T31" s="10">
        <v>100000</v>
      </c>
      <c r="U31" s="10">
        <f t="shared" si="4"/>
        <v>300000</v>
      </c>
      <c r="V31" s="4"/>
      <c r="W31" s="4"/>
      <c r="X31" s="4"/>
      <c r="Y31" s="4"/>
      <c r="Z31" s="44" t="s">
        <v>53</v>
      </c>
    </row>
    <row r="32" spans="2:26" ht="18.75" hidden="1">
      <c r="B32" s="75"/>
      <c r="C32" s="60"/>
      <c r="D32" s="52" t="s">
        <v>56</v>
      </c>
      <c r="E32" s="63"/>
      <c r="F32" s="8">
        <v>0.66666666666666663</v>
      </c>
      <c r="G32" s="67" t="s">
        <v>77</v>
      </c>
      <c r="H32" s="68"/>
      <c r="I32" s="35">
        <v>45</v>
      </c>
      <c r="J32" s="9">
        <f t="shared" si="2"/>
        <v>4.4444444444444446E-2</v>
      </c>
      <c r="K32" s="39"/>
      <c r="L32" s="39"/>
      <c r="M32" s="39">
        <v>2</v>
      </c>
      <c r="N32" s="39"/>
      <c r="O32" s="39"/>
      <c r="P32" s="39"/>
      <c r="Q32" s="39"/>
      <c r="R32" s="39"/>
      <c r="S32" s="10">
        <f t="shared" si="3"/>
        <v>2</v>
      </c>
      <c r="T32" s="10">
        <v>100000</v>
      </c>
      <c r="U32" s="10">
        <f>T32*S32</f>
        <v>200000</v>
      </c>
      <c r="V32" s="4"/>
      <c r="W32" s="4"/>
      <c r="X32" s="4"/>
      <c r="Y32" s="4"/>
      <c r="Z32" s="44" t="s">
        <v>54</v>
      </c>
    </row>
    <row r="33" spans="2:26" ht="18.75" hidden="1">
      <c r="B33" s="75"/>
      <c r="C33" s="60"/>
      <c r="D33" s="52" t="s">
        <v>56</v>
      </c>
      <c r="E33" s="63"/>
      <c r="F33" s="8">
        <v>0.75</v>
      </c>
      <c r="G33" s="67" t="s">
        <v>77</v>
      </c>
      <c r="H33" s="68"/>
      <c r="I33" s="35">
        <v>35</v>
      </c>
      <c r="J33" s="9">
        <f t="shared" si="2"/>
        <v>5.7142857142857141E-2</v>
      </c>
      <c r="K33" s="39"/>
      <c r="L33" s="39"/>
      <c r="M33" s="39">
        <v>2</v>
      </c>
      <c r="N33" s="39"/>
      <c r="O33" s="39"/>
      <c r="P33" s="39"/>
      <c r="Q33" s="39"/>
      <c r="R33" s="39"/>
      <c r="S33" s="10">
        <f t="shared" si="3"/>
        <v>2</v>
      </c>
      <c r="T33" s="10">
        <v>100000</v>
      </c>
      <c r="U33" s="10">
        <f t="shared" ref="U33:U40" si="5">T33*S33</f>
        <v>200000</v>
      </c>
      <c r="V33" s="4"/>
      <c r="W33" s="4"/>
      <c r="X33" s="11"/>
      <c r="Y33" s="4"/>
      <c r="Z33" s="44" t="s">
        <v>40</v>
      </c>
    </row>
    <row r="34" spans="2:26" ht="18.75" hidden="1">
      <c r="B34" s="75"/>
      <c r="C34" s="60"/>
      <c r="D34" s="53" t="s">
        <v>56</v>
      </c>
      <c r="E34" s="64"/>
      <c r="F34" s="12">
        <v>0.83333333333333337</v>
      </c>
      <c r="G34" s="67" t="s">
        <v>77</v>
      </c>
      <c r="H34" s="68"/>
      <c r="I34" s="36">
        <v>50</v>
      </c>
      <c r="J34" s="9">
        <f t="shared" si="2"/>
        <v>0</v>
      </c>
      <c r="K34" s="41"/>
      <c r="L34" s="41"/>
      <c r="M34" s="41"/>
      <c r="N34" s="41"/>
      <c r="O34" s="41"/>
      <c r="P34" s="41"/>
      <c r="Q34" s="41"/>
      <c r="R34" s="41"/>
      <c r="S34" s="13">
        <f t="shared" si="3"/>
        <v>0</v>
      </c>
      <c r="T34" s="13">
        <v>100000</v>
      </c>
      <c r="U34" s="13">
        <f t="shared" si="5"/>
        <v>0</v>
      </c>
      <c r="V34" s="4"/>
      <c r="Y34" s="4"/>
      <c r="Z34" s="44" t="s">
        <v>41</v>
      </c>
    </row>
    <row r="35" spans="2:26" ht="18.75" hidden="1">
      <c r="B35" s="75"/>
      <c r="C35" s="60"/>
      <c r="D35" s="51" t="s">
        <v>56</v>
      </c>
      <c r="E35" s="62" t="s">
        <v>102</v>
      </c>
      <c r="F35" s="5">
        <v>0.91666666666666663</v>
      </c>
      <c r="G35" s="65" t="s">
        <v>87</v>
      </c>
      <c r="H35" s="66"/>
      <c r="I35" s="34">
        <v>50</v>
      </c>
      <c r="J35" s="6">
        <f t="shared" si="2"/>
        <v>0.08</v>
      </c>
      <c r="K35" s="38"/>
      <c r="L35" s="38"/>
      <c r="M35" s="38">
        <v>4</v>
      </c>
      <c r="N35" s="38"/>
      <c r="O35" s="38"/>
      <c r="P35" s="38"/>
      <c r="Q35" s="38"/>
      <c r="R35" s="38"/>
      <c r="S35" s="7">
        <f t="shared" si="3"/>
        <v>4</v>
      </c>
      <c r="T35" s="7">
        <v>100000</v>
      </c>
      <c r="U35" s="7">
        <f t="shared" si="5"/>
        <v>400000</v>
      </c>
      <c r="V35" s="4"/>
      <c r="Y35" s="4"/>
      <c r="Z35" s="44" t="s">
        <v>55</v>
      </c>
    </row>
    <row r="36" spans="2:26" ht="18.75" hidden="1">
      <c r="B36" s="75"/>
      <c r="C36" s="60"/>
      <c r="D36" s="52" t="s">
        <v>56</v>
      </c>
      <c r="E36" s="63"/>
      <c r="F36" s="8">
        <v>1</v>
      </c>
      <c r="G36" s="67" t="s">
        <v>87</v>
      </c>
      <c r="H36" s="68"/>
      <c r="I36" s="35">
        <v>52</v>
      </c>
      <c r="J36" s="9">
        <f t="shared" si="2"/>
        <v>3.8461538461538464E-2</v>
      </c>
      <c r="K36" s="39"/>
      <c r="L36" s="39"/>
      <c r="M36" s="39"/>
      <c r="N36" s="39"/>
      <c r="O36" s="39"/>
      <c r="P36" s="39"/>
      <c r="Q36" s="39"/>
      <c r="R36" s="39">
        <v>2</v>
      </c>
      <c r="S36" s="10">
        <f t="shared" si="3"/>
        <v>2</v>
      </c>
      <c r="T36" s="10">
        <v>100000</v>
      </c>
      <c r="U36" s="10">
        <f t="shared" si="5"/>
        <v>200000</v>
      </c>
      <c r="V36" s="4"/>
      <c r="Y36" s="4"/>
      <c r="Z36" s="44" t="s">
        <v>56</v>
      </c>
    </row>
    <row r="37" spans="2:26" ht="18.75" hidden="1">
      <c r="B37" s="75"/>
      <c r="C37" s="60"/>
      <c r="D37" s="52" t="s">
        <v>56</v>
      </c>
      <c r="E37" s="63"/>
      <c r="F37" s="8">
        <v>8.3333333333333329E-2</v>
      </c>
      <c r="G37" s="67" t="s">
        <v>87</v>
      </c>
      <c r="H37" s="68"/>
      <c r="I37" s="35">
        <v>52</v>
      </c>
      <c r="J37" s="9">
        <f t="shared" si="2"/>
        <v>0</v>
      </c>
      <c r="K37" s="39"/>
      <c r="L37" s="39"/>
      <c r="M37" s="39"/>
      <c r="N37" s="39"/>
      <c r="O37" s="39"/>
      <c r="P37" s="39"/>
      <c r="Q37" s="39"/>
      <c r="R37" s="39"/>
      <c r="S37" s="10">
        <f t="shared" si="3"/>
        <v>0</v>
      </c>
      <c r="T37" s="10">
        <v>100000</v>
      </c>
      <c r="U37" s="10">
        <f t="shared" si="5"/>
        <v>0</v>
      </c>
      <c r="V37" s="4"/>
      <c r="Y37" s="4"/>
      <c r="Z37" s="44" t="s">
        <v>38</v>
      </c>
    </row>
    <row r="38" spans="2:26" ht="18.75" hidden="1">
      <c r="B38" s="75"/>
      <c r="C38" s="60"/>
      <c r="D38" s="52" t="s">
        <v>56</v>
      </c>
      <c r="E38" s="63"/>
      <c r="F38" s="8">
        <v>0.16666666666666666</v>
      </c>
      <c r="G38" s="67" t="s">
        <v>87</v>
      </c>
      <c r="H38" s="68"/>
      <c r="I38" s="35">
        <v>52</v>
      </c>
      <c r="J38" s="9">
        <f t="shared" si="2"/>
        <v>0</v>
      </c>
      <c r="K38" s="39"/>
      <c r="L38" s="39"/>
      <c r="M38" s="39"/>
      <c r="N38" s="39"/>
      <c r="O38" s="39"/>
      <c r="P38" s="39"/>
      <c r="Q38" s="39"/>
      <c r="R38" s="39"/>
      <c r="S38" s="10">
        <f t="shared" si="3"/>
        <v>0</v>
      </c>
      <c r="T38" s="10">
        <v>100000</v>
      </c>
      <c r="U38" s="10">
        <f t="shared" si="5"/>
        <v>0</v>
      </c>
      <c r="V38" s="4"/>
      <c r="W38" s="4"/>
      <c r="X38" s="4"/>
      <c r="Y38" s="4"/>
      <c r="Z38" s="44" t="s">
        <v>39</v>
      </c>
    </row>
    <row r="39" spans="2:26" ht="18.75" hidden="1">
      <c r="B39" s="75"/>
      <c r="C39" s="60"/>
      <c r="D39" s="52" t="s">
        <v>56</v>
      </c>
      <c r="E39" s="63"/>
      <c r="F39" s="8">
        <v>0.25</v>
      </c>
      <c r="G39" s="67" t="s">
        <v>87</v>
      </c>
      <c r="H39" s="68"/>
      <c r="I39" s="35">
        <v>52</v>
      </c>
      <c r="J39" s="9">
        <f t="shared" si="2"/>
        <v>3.8461538461538464E-2</v>
      </c>
      <c r="K39" s="39"/>
      <c r="L39" s="39"/>
      <c r="M39" s="39"/>
      <c r="N39" s="39"/>
      <c r="O39" s="39"/>
      <c r="P39" s="39"/>
      <c r="Q39" s="39"/>
      <c r="R39" s="39">
        <v>2</v>
      </c>
      <c r="S39" s="10">
        <f t="shared" si="3"/>
        <v>2</v>
      </c>
      <c r="T39" s="10">
        <v>100000</v>
      </c>
      <c r="U39" s="10">
        <f t="shared" si="5"/>
        <v>200000</v>
      </c>
      <c r="V39" s="4"/>
      <c r="Y39" s="4"/>
      <c r="Z39" s="44" t="s">
        <v>57</v>
      </c>
    </row>
    <row r="40" spans="2:26" ht="18.75" hidden="1">
      <c r="B40" s="90"/>
      <c r="C40" s="60"/>
      <c r="D40" s="53" t="s">
        <v>56</v>
      </c>
      <c r="E40" s="64"/>
      <c r="F40" s="12">
        <v>0.33333333333333331</v>
      </c>
      <c r="G40" s="67" t="s">
        <v>87</v>
      </c>
      <c r="H40" s="68"/>
      <c r="I40" s="36">
        <v>52</v>
      </c>
      <c r="J40" s="9">
        <f t="shared" si="2"/>
        <v>0</v>
      </c>
      <c r="K40" s="41"/>
      <c r="L40" s="41"/>
      <c r="M40" s="41"/>
      <c r="N40" s="41"/>
      <c r="O40" s="41"/>
      <c r="P40" s="41"/>
      <c r="Q40" s="41"/>
      <c r="R40" s="41"/>
      <c r="S40" s="13">
        <f t="shared" si="3"/>
        <v>0</v>
      </c>
      <c r="T40" s="13">
        <v>100000</v>
      </c>
      <c r="U40" s="13">
        <f t="shared" si="5"/>
        <v>0</v>
      </c>
      <c r="V40" s="4"/>
      <c r="W40" s="4"/>
      <c r="X40" s="4"/>
      <c r="Y40" s="4"/>
      <c r="Z40" s="44" t="s">
        <v>58</v>
      </c>
    </row>
    <row r="41" spans="2:26" ht="18.600000000000001" hidden="1" customHeight="1">
      <c r="B41" s="75">
        <v>46084</v>
      </c>
      <c r="C41" s="59" t="s">
        <v>16</v>
      </c>
      <c r="D41" s="51" t="s">
        <v>60</v>
      </c>
      <c r="E41" s="62" t="s">
        <v>101</v>
      </c>
      <c r="F41" s="5">
        <v>0.41666666666666669</v>
      </c>
      <c r="G41" s="65" t="s">
        <v>74</v>
      </c>
      <c r="H41" s="66"/>
      <c r="I41" s="34">
        <v>0</v>
      </c>
      <c r="J41" s="6" t="str">
        <f t="shared" si="2"/>
        <v/>
      </c>
      <c r="K41" s="38"/>
      <c r="L41" s="38"/>
      <c r="M41" s="38"/>
      <c r="N41" s="38"/>
      <c r="O41" s="38"/>
      <c r="P41" s="38"/>
      <c r="Q41" s="38">
        <v>10</v>
      </c>
      <c r="R41" s="38"/>
      <c r="S41" s="7">
        <f>SUM(K41:R41)</f>
        <v>10</v>
      </c>
      <c r="T41" s="7">
        <v>100000</v>
      </c>
      <c r="U41" s="7">
        <f>T41*S41</f>
        <v>1000000</v>
      </c>
      <c r="V41" s="4"/>
      <c r="W41" s="4"/>
      <c r="X41" s="4"/>
      <c r="Y41" s="4"/>
      <c r="Z41" s="44" t="s">
        <v>59</v>
      </c>
    </row>
    <row r="42" spans="2:26" ht="18.75" hidden="1">
      <c r="B42" s="75"/>
      <c r="C42" s="60"/>
      <c r="D42" s="52" t="s">
        <v>60</v>
      </c>
      <c r="E42" s="63"/>
      <c r="F42" s="8">
        <v>0.5</v>
      </c>
      <c r="G42" s="67" t="s">
        <v>74</v>
      </c>
      <c r="H42" s="68"/>
      <c r="I42" s="35">
        <v>0</v>
      </c>
      <c r="J42" s="9" t="str">
        <f t="shared" si="2"/>
        <v/>
      </c>
      <c r="K42" s="39"/>
      <c r="L42" s="39"/>
      <c r="M42" s="39"/>
      <c r="N42" s="39"/>
      <c r="O42" s="39"/>
      <c r="P42" s="39"/>
      <c r="Q42" s="39"/>
      <c r="R42" s="39"/>
      <c r="S42" s="10">
        <f t="shared" ref="S42:S52" si="6">SUM(K42:R42)</f>
        <v>0</v>
      </c>
      <c r="T42" s="10">
        <v>100000</v>
      </c>
      <c r="U42" s="10">
        <f t="shared" ref="U42:U43" si="7">T42*S42</f>
        <v>0</v>
      </c>
      <c r="V42" s="4"/>
      <c r="W42" s="4"/>
      <c r="X42" s="4"/>
      <c r="Y42" s="4"/>
      <c r="Z42" s="44" t="s">
        <v>60</v>
      </c>
    </row>
    <row r="43" spans="2:26" ht="18.75" hidden="1">
      <c r="B43" s="75"/>
      <c r="C43" s="60"/>
      <c r="D43" s="52" t="s">
        <v>60</v>
      </c>
      <c r="E43" s="63"/>
      <c r="F43" s="8">
        <v>0.58333333333333337</v>
      </c>
      <c r="G43" s="67" t="s">
        <v>74</v>
      </c>
      <c r="H43" s="68"/>
      <c r="I43" s="35">
        <v>0</v>
      </c>
      <c r="J43" s="9" t="str">
        <f t="shared" si="2"/>
        <v/>
      </c>
      <c r="K43" s="39"/>
      <c r="L43" s="39"/>
      <c r="M43" s="39"/>
      <c r="N43" s="39"/>
      <c r="O43" s="39"/>
      <c r="P43" s="39"/>
      <c r="Q43" s="39"/>
      <c r="R43" s="39"/>
      <c r="S43" s="10">
        <f t="shared" si="6"/>
        <v>0</v>
      </c>
      <c r="T43" s="10">
        <v>100000</v>
      </c>
      <c r="U43" s="10">
        <f t="shared" si="7"/>
        <v>0</v>
      </c>
      <c r="V43" s="4"/>
      <c r="W43" s="4"/>
      <c r="X43" s="4"/>
      <c r="Y43" s="4"/>
      <c r="Z43" s="44" t="s">
        <v>42</v>
      </c>
    </row>
    <row r="44" spans="2:26" ht="18.75" hidden="1">
      <c r="B44" s="75"/>
      <c r="C44" s="60"/>
      <c r="D44" s="52" t="s">
        <v>60</v>
      </c>
      <c r="E44" s="63"/>
      <c r="F44" s="8">
        <v>0.66666666666666663</v>
      </c>
      <c r="G44" s="67" t="s">
        <v>74</v>
      </c>
      <c r="H44" s="68"/>
      <c r="I44" s="35">
        <v>30</v>
      </c>
      <c r="J44" s="9">
        <f t="shared" si="2"/>
        <v>0.23333333333333334</v>
      </c>
      <c r="K44" s="39"/>
      <c r="L44" s="39"/>
      <c r="M44" s="39"/>
      <c r="N44" s="39"/>
      <c r="O44" s="39"/>
      <c r="P44" s="39"/>
      <c r="Q44" s="39"/>
      <c r="R44" s="39">
        <v>7</v>
      </c>
      <c r="S44" s="10">
        <f t="shared" si="6"/>
        <v>7</v>
      </c>
      <c r="T44" s="10">
        <v>100000</v>
      </c>
      <c r="U44" s="10">
        <f>T44*S44</f>
        <v>700000</v>
      </c>
      <c r="V44" s="4"/>
      <c r="W44" s="4"/>
      <c r="X44" s="4"/>
      <c r="Y44" s="4"/>
      <c r="Z44" s="44" t="s">
        <v>43</v>
      </c>
    </row>
    <row r="45" spans="2:26" ht="18.75" hidden="1">
      <c r="B45" s="75"/>
      <c r="C45" s="60"/>
      <c r="D45" s="52" t="s">
        <v>60</v>
      </c>
      <c r="E45" s="63"/>
      <c r="F45" s="8">
        <v>0.75</v>
      </c>
      <c r="G45" s="67" t="s">
        <v>74</v>
      </c>
      <c r="H45" s="68"/>
      <c r="I45" s="35">
        <v>40</v>
      </c>
      <c r="J45" s="9">
        <f t="shared" si="2"/>
        <v>0.1</v>
      </c>
      <c r="K45" s="39"/>
      <c r="L45" s="39"/>
      <c r="M45" s="39">
        <v>4</v>
      </c>
      <c r="N45" s="39"/>
      <c r="O45" s="39"/>
      <c r="P45" s="39"/>
      <c r="Q45" s="39"/>
      <c r="R45" s="39"/>
      <c r="S45" s="10">
        <f t="shared" si="6"/>
        <v>4</v>
      </c>
      <c r="T45" s="10">
        <v>100000</v>
      </c>
      <c r="U45" s="10">
        <f t="shared" ref="U45:U52" si="8">T45*S45</f>
        <v>400000</v>
      </c>
      <c r="V45" s="4"/>
      <c r="W45" s="4"/>
      <c r="X45" s="11"/>
      <c r="Y45" s="4"/>
      <c r="Z45" s="45"/>
    </row>
    <row r="46" spans="2:26" ht="18.75" hidden="1">
      <c r="B46" s="75"/>
      <c r="C46" s="60"/>
      <c r="D46" s="53" t="s">
        <v>60</v>
      </c>
      <c r="E46" s="64"/>
      <c r="F46" s="12">
        <v>0.83333333333333337</v>
      </c>
      <c r="G46" s="67" t="s">
        <v>74</v>
      </c>
      <c r="H46" s="68"/>
      <c r="I46" s="36">
        <v>50</v>
      </c>
      <c r="J46" s="9">
        <f t="shared" si="2"/>
        <v>0.1</v>
      </c>
      <c r="K46" s="41"/>
      <c r="L46" s="41"/>
      <c r="M46" s="41"/>
      <c r="N46" s="41"/>
      <c r="O46" s="41"/>
      <c r="P46" s="41"/>
      <c r="Q46" s="41"/>
      <c r="R46" s="41">
        <v>5</v>
      </c>
      <c r="S46" s="13">
        <f t="shared" si="6"/>
        <v>5</v>
      </c>
      <c r="T46" s="13">
        <v>100000</v>
      </c>
      <c r="U46" s="13">
        <f t="shared" si="8"/>
        <v>500000</v>
      </c>
      <c r="V46" s="4"/>
      <c r="Y46" s="4"/>
      <c r="Z46" s="45"/>
    </row>
    <row r="47" spans="2:26" ht="18.75" hidden="1">
      <c r="B47" s="75"/>
      <c r="C47" s="60"/>
      <c r="D47" s="51" t="s">
        <v>60</v>
      </c>
      <c r="E47" s="62" t="s">
        <v>102</v>
      </c>
      <c r="F47" s="5">
        <v>0.91666666666666663</v>
      </c>
      <c r="G47" s="65" t="s">
        <v>83</v>
      </c>
      <c r="H47" s="66"/>
      <c r="I47" s="34">
        <v>60</v>
      </c>
      <c r="J47" s="6">
        <f t="shared" si="2"/>
        <v>1.6666666666666666E-2</v>
      </c>
      <c r="K47" s="38">
        <v>1</v>
      </c>
      <c r="L47" s="38"/>
      <c r="M47" s="38"/>
      <c r="N47" s="38"/>
      <c r="O47" s="38"/>
      <c r="P47" s="38"/>
      <c r="Q47" s="38"/>
      <c r="R47" s="38"/>
      <c r="S47" s="7">
        <f t="shared" si="6"/>
        <v>1</v>
      </c>
      <c r="T47" s="7">
        <v>100000</v>
      </c>
      <c r="U47" s="7">
        <f t="shared" si="8"/>
        <v>100000</v>
      </c>
      <c r="V47" s="4"/>
      <c r="Y47" s="4"/>
      <c r="Z47" s="45"/>
    </row>
    <row r="48" spans="2:26" ht="18.75" hidden="1">
      <c r="B48" s="75"/>
      <c r="C48" s="60"/>
      <c r="D48" s="52" t="s">
        <v>60</v>
      </c>
      <c r="E48" s="63"/>
      <c r="F48" s="8">
        <v>1</v>
      </c>
      <c r="G48" s="67" t="s">
        <v>83</v>
      </c>
      <c r="H48" s="68"/>
      <c r="I48" s="35">
        <v>20</v>
      </c>
      <c r="J48" s="9">
        <f t="shared" si="2"/>
        <v>0.05</v>
      </c>
      <c r="K48" s="39">
        <v>1</v>
      </c>
      <c r="L48" s="39"/>
      <c r="M48" s="39"/>
      <c r="N48" s="39"/>
      <c r="O48" s="39"/>
      <c r="P48" s="39"/>
      <c r="Q48" s="39"/>
      <c r="R48" s="39"/>
      <c r="S48" s="10">
        <f t="shared" si="6"/>
        <v>1</v>
      </c>
      <c r="T48" s="10">
        <v>100000</v>
      </c>
      <c r="U48" s="10">
        <f t="shared" si="8"/>
        <v>100000</v>
      </c>
      <c r="V48" s="4"/>
      <c r="Y48" s="4"/>
      <c r="Z48" s="45"/>
    </row>
    <row r="49" spans="2:26" ht="18.75" hidden="1">
      <c r="B49" s="75"/>
      <c r="C49" s="60"/>
      <c r="D49" s="52" t="s">
        <v>59</v>
      </c>
      <c r="E49" s="63"/>
      <c r="F49" s="8">
        <v>8.3333333333333329E-2</v>
      </c>
      <c r="G49" s="67" t="s">
        <v>83</v>
      </c>
      <c r="H49" s="68"/>
      <c r="I49" s="35">
        <v>30</v>
      </c>
      <c r="J49" s="9">
        <f t="shared" si="2"/>
        <v>0.23333333333333334</v>
      </c>
      <c r="K49" s="39">
        <v>1</v>
      </c>
      <c r="L49" s="39"/>
      <c r="M49" s="39"/>
      <c r="N49" s="39"/>
      <c r="O49" s="39"/>
      <c r="P49" s="39"/>
      <c r="Q49" s="39">
        <v>6</v>
      </c>
      <c r="R49" s="39"/>
      <c r="S49" s="10">
        <f t="shared" si="6"/>
        <v>7</v>
      </c>
      <c r="T49" s="10">
        <v>100000</v>
      </c>
      <c r="U49" s="10">
        <f t="shared" si="8"/>
        <v>700000</v>
      </c>
      <c r="V49" s="4"/>
      <c r="Y49" s="4"/>
      <c r="Z49" s="45"/>
    </row>
    <row r="50" spans="2:26" ht="18.75" hidden="1">
      <c r="B50" s="75"/>
      <c r="C50" s="60"/>
      <c r="D50" s="52" t="s">
        <v>59</v>
      </c>
      <c r="E50" s="63"/>
      <c r="F50" s="8">
        <v>0.16666666666666666</v>
      </c>
      <c r="G50" s="67" t="s">
        <v>83</v>
      </c>
      <c r="H50" s="68"/>
      <c r="I50" s="35">
        <v>50</v>
      </c>
      <c r="J50" s="9">
        <f t="shared" si="2"/>
        <v>0.02</v>
      </c>
      <c r="K50" s="39"/>
      <c r="L50" s="39"/>
      <c r="M50" s="39"/>
      <c r="N50" s="39"/>
      <c r="O50" s="39"/>
      <c r="P50" s="39"/>
      <c r="Q50" s="39"/>
      <c r="R50" s="39">
        <v>1</v>
      </c>
      <c r="S50" s="10">
        <f t="shared" si="6"/>
        <v>1</v>
      </c>
      <c r="T50" s="10">
        <v>100000</v>
      </c>
      <c r="U50" s="10">
        <f t="shared" si="8"/>
        <v>100000</v>
      </c>
      <c r="V50" s="4"/>
      <c r="W50" s="4"/>
      <c r="X50" s="4"/>
      <c r="Y50" s="4"/>
      <c r="Z50" s="45"/>
    </row>
    <row r="51" spans="2:26" ht="18.75" hidden="1">
      <c r="B51" s="75"/>
      <c r="C51" s="60"/>
      <c r="D51" s="52" t="s">
        <v>59</v>
      </c>
      <c r="E51" s="63"/>
      <c r="F51" s="8">
        <v>0.25</v>
      </c>
      <c r="G51" s="67" t="s">
        <v>83</v>
      </c>
      <c r="H51" s="68"/>
      <c r="I51" s="35">
        <v>30</v>
      </c>
      <c r="J51" s="9">
        <f t="shared" si="2"/>
        <v>3.3333333333333333E-2</v>
      </c>
      <c r="K51" s="39"/>
      <c r="L51" s="39"/>
      <c r="M51" s="39"/>
      <c r="N51" s="39"/>
      <c r="O51" s="39"/>
      <c r="P51" s="39"/>
      <c r="Q51" s="39"/>
      <c r="R51" s="39">
        <v>1</v>
      </c>
      <c r="S51" s="10">
        <f t="shared" si="6"/>
        <v>1</v>
      </c>
      <c r="T51" s="10">
        <v>100000</v>
      </c>
      <c r="U51" s="10">
        <f t="shared" si="8"/>
        <v>100000</v>
      </c>
      <c r="V51" s="4"/>
      <c r="Y51" s="4"/>
      <c r="Z51" s="45"/>
    </row>
    <row r="52" spans="2:26" ht="18.75" hidden="1">
      <c r="B52" s="75"/>
      <c r="C52" s="60"/>
      <c r="D52" s="53" t="s">
        <v>59</v>
      </c>
      <c r="E52" s="64"/>
      <c r="F52" s="12">
        <v>0.33333333333333331</v>
      </c>
      <c r="G52" s="67" t="s">
        <v>83</v>
      </c>
      <c r="H52" s="68"/>
      <c r="I52" s="36">
        <v>50</v>
      </c>
      <c r="J52" s="9">
        <f t="shared" si="2"/>
        <v>0.04</v>
      </c>
      <c r="K52" s="41"/>
      <c r="L52" s="41"/>
      <c r="M52" s="41"/>
      <c r="N52" s="41"/>
      <c r="O52" s="41"/>
      <c r="P52" s="41"/>
      <c r="Q52" s="41"/>
      <c r="R52" s="41">
        <v>2</v>
      </c>
      <c r="S52" s="13">
        <f t="shared" si="6"/>
        <v>2</v>
      </c>
      <c r="T52" s="13">
        <v>100000</v>
      </c>
      <c r="U52" s="13">
        <f t="shared" si="8"/>
        <v>200000</v>
      </c>
      <c r="V52" s="4"/>
      <c r="W52" s="4"/>
      <c r="X52" s="4"/>
      <c r="Y52" s="4"/>
      <c r="Z52" s="45"/>
    </row>
    <row r="53" spans="2:26" ht="16.5" hidden="1" customHeight="1">
      <c r="B53" s="58">
        <v>46085</v>
      </c>
      <c r="C53" s="59" t="s">
        <v>16</v>
      </c>
      <c r="D53" s="51" t="s">
        <v>59</v>
      </c>
      <c r="E53" s="62" t="s">
        <v>101</v>
      </c>
      <c r="F53" s="5">
        <v>0.41666666666666669</v>
      </c>
      <c r="G53" s="65" t="s">
        <v>75</v>
      </c>
      <c r="H53" s="66"/>
      <c r="I53" s="34">
        <v>40</v>
      </c>
      <c r="J53" s="6">
        <f t="shared" si="2"/>
        <v>0.125</v>
      </c>
      <c r="K53" s="38"/>
      <c r="L53" s="38"/>
      <c r="M53" s="38"/>
      <c r="N53" s="38"/>
      <c r="O53" s="38"/>
      <c r="P53" s="38"/>
      <c r="Q53" s="38"/>
      <c r="R53" s="38">
        <v>5</v>
      </c>
      <c r="S53" s="7">
        <f>SUM(K53:R53)</f>
        <v>5</v>
      </c>
      <c r="T53" s="7">
        <v>100000</v>
      </c>
      <c r="U53" s="7">
        <f>T53*S53</f>
        <v>500000</v>
      </c>
      <c r="V53" s="4"/>
      <c r="W53" s="4"/>
      <c r="X53" s="4"/>
      <c r="Y53" s="4"/>
      <c r="Z53" s="45"/>
    </row>
    <row r="54" spans="2:26" ht="18.75" hidden="1">
      <c r="B54" s="58"/>
      <c r="C54" s="60"/>
      <c r="D54" s="52" t="s">
        <v>59</v>
      </c>
      <c r="E54" s="63"/>
      <c r="F54" s="8">
        <v>0.5</v>
      </c>
      <c r="G54" s="67" t="s">
        <v>75</v>
      </c>
      <c r="H54" s="68"/>
      <c r="I54" s="35">
        <v>0</v>
      </c>
      <c r="J54" s="9" t="str">
        <f t="shared" si="2"/>
        <v/>
      </c>
      <c r="K54" s="39"/>
      <c r="L54" s="39"/>
      <c r="M54" s="39"/>
      <c r="N54" s="39"/>
      <c r="O54" s="39"/>
      <c r="P54" s="39"/>
      <c r="Q54" s="39"/>
      <c r="R54" s="39"/>
      <c r="S54" s="10">
        <f t="shared" ref="S54:S64" si="9">SUM(K54:R54)</f>
        <v>0</v>
      </c>
      <c r="T54" s="10">
        <v>100000</v>
      </c>
      <c r="U54" s="10">
        <f t="shared" ref="U54:U55" si="10">T54*S54</f>
        <v>0</v>
      </c>
      <c r="V54" s="4"/>
      <c r="W54" s="4"/>
      <c r="X54" s="4"/>
      <c r="Y54" s="4"/>
      <c r="Z54" s="45"/>
    </row>
    <row r="55" spans="2:26" ht="18.75" hidden="1">
      <c r="B55" s="58"/>
      <c r="C55" s="60"/>
      <c r="D55" s="52" t="s">
        <v>59</v>
      </c>
      <c r="E55" s="63"/>
      <c r="F55" s="8">
        <v>0.58333333333333337</v>
      </c>
      <c r="G55" s="67" t="s">
        <v>75</v>
      </c>
      <c r="H55" s="68"/>
      <c r="I55" s="35">
        <v>0</v>
      </c>
      <c r="J55" s="9" t="str">
        <f t="shared" si="2"/>
        <v/>
      </c>
      <c r="K55" s="39"/>
      <c r="L55" s="39"/>
      <c r="M55" s="39"/>
      <c r="N55" s="39"/>
      <c r="O55" s="39"/>
      <c r="P55" s="39"/>
      <c r="Q55" s="39"/>
      <c r="R55" s="39"/>
      <c r="S55" s="10">
        <f t="shared" si="9"/>
        <v>0</v>
      </c>
      <c r="T55" s="10">
        <v>100000</v>
      </c>
      <c r="U55" s="10">
        <f t="shared" si="10"/>
        <v>0</v>
      </c>
      <c r="V55" s="4"/>
      <c r="W55" s="4"/>
      <c r="X55" s="4"/>
      <c r="Y55" s="4"/>
      <c r="Z55" s="45"/>
    </row>
    <row r="56" spans="2:26" ht="37.5" hidden="1">
      <c r="B56" s="58"/>
      <c r="C56" s="60"/>
      <c r="D56" s="52" t="s">
        <v>52</v>
      </c>
      <c r="E56" s="63"/>
      <c r="F56" s="8">
        <v>0.66666666666666663</v>
      </c>
      <c r="G56" s="67" t="s">
        <v>75</v>
      </c>
      <c r="H56" s="68"/>
      <c r="I56" s="35">
        <v>40</v>
      </c>
      <c r="J56" s="9">
        <f t="shared" si="2"/>
        <v>0.4</v>
      </c>
      <c r="K56" s="39"/>
      <c r="L56" s="39"/>
      <c r="M56" s="39"/>
      <c r="N56" s="39"/>
      <c r="O56" s="39"/>
      <c r="P56" s="39"/>
      <c r="Q56" s="39">
        <v>10</v>
      </c>
      <c r="R56" s="39">
        <v>6</v>
      </c>
      <c r="S56" s="10">
        <f t="shared" si="9"/>
        <v>16</v>
      </c>
      <c r="T56" s="10">
        <v>100000</v>
      </c>
      <c r="U56" s="10">
        <f>T56*S56</f>
        <v>1600000</v>
      </c>
      <c r="V56" s="4"/>
      <c r="W56" s="4"/>
      <c r="X56" s="4"/>
      <c r="Y56" s="4"/>
      <c r="Z56" s="45"/>
    </row>
    <row r="57" spans="2:26" ht="37.5" hidden="1">
      <c r="B57" s="58"/>
      <c r="C57" s="60"/>
      <c r="D57" s="52" t="s">
        <v>52</v>
      </c>
      <c r="E57" s="63"/>
      <c r="F57" s="8">
        <v>0.75</v>
      </c>
      <c r="G57" s="67" t="s">
        <v>75</v>
      </c>
      <c r="H57" s="68"/>
      <c r="I57" s="35">
        <v>30</v>
      </c>
      <c r="J57" s="9">
        <f t="shared" si="2"/>
        <v>0.23333333333333334</v>
      </c>
      <c r="K57" s="39"/>
      <c r="L57" s="39"/>
      <c r="M57" s="39"/>
      <c r="N57" s="39"/>
      <c r="O57" s="39"/>
      <c r="P57" s="39"/>
      <c r="Q57" s="39"/>
      <c r="R57" s="39">
        <v>7</v>
      </c>
      <c r="S57" s="10">
        <f t="shared" si="9"/>
        <v>7</v>
      </c>
      <c r="T57" s="10">
        <v>100000</v>
      </c>
      <c r="U57" s="10">
        <f t="shared" ref="U57:U64" si="11">T57*S57</f>
        <v>700000</v>
      </c>
      <c r="V57" s="4"/>
      <c r="W57" s="4"/>
      <c r="X57" s="11"/>
      <c r="Y57" s="4"/>
      <c r="Z57" s="45"/>
    </row>
    <row r="58" spans="2:26" ht="37.5" hidden="1">
      <c r="B58" s="58"/>
      <c r="C58" s="60"/>
      <c r="D58" s="53" t="s">
        <v>52</v>
      </c>
      <c r="E58" s="64"/>
      <c r="F58" s="12">
        <v>0.83333333333333337</v>
      </c>
      <c r="G58" s="67" t="s">
        <v>75</v>
      </c>
      <c r="H58" s="68"/>
      <c r="I58" s="36">
        <v>30</v>
      </c>
      <c r="J58" s="9">
        <f t="shared" si="2"/>
        <v>0</v>
      </c>
      <c r="K58" s="41"/>
      <c r="L58" s="41"/>
      <c r="M58" s="41"/>
      <c r="N58" s="41"/>
      <c r="O58" s="41"/>
      <c r="P58" s="41"/>
      <c r="Q58" s="41"/>
      <c r="R58" s="41"/>
      <c r="S58" s="13">
        <f t="shared" si="9"/>
        <v>0</v>
      </c>
      <c r="T58" s="13">
        <v>100000</v>
      </c>
      <c r="U58" s="13">
        <f t="shared" si="11"/>
        <v>0</v>
      </c>
      <c r="V58" s="4"/>
      <c r="Y58" s="4"/>
      <c r="Z58" s="45"/>
    </row>
    <row r="59" spans="2:26" ht="37.5" hidden="1">
      <c r="B59" s="58"/>
      <c r="C59" s="60"/>
      <c r="D59" s="51" t="s">
        <v>47</v>
      </c>
      <c r="E59" s="62" t="s">
        <v>102</v>
      </c>
      <c r="F59" s="5">
        <v>0.91666666666666663</v>
      </c>
      <c r="G59" s="65" t="s">
        <v>88</v>
      </c>
      <c r="H59" s="66"/>
      <c r="I59" s="34">
        <v>10</v>
      </c>
      <c r="J59" s="6">
        <f t="shared" si="2"/>
        <v>0.7</v>
      </c>
      <c r="K59" s="38"/>
      <c r="L59" s="38"/>
      <c r="M59" s="38"/>
      <c r="N59" s="38"/>
      <c r="O59" s="38"/>
      <c r="P59" s="38"/>
      <c r="Q59" s="38">
        <v>6</v>
      </c>
      <c r="R59" s="38">
        <v>1</v>
      </c>
      <c r="S59" s="7">
        <f t="shared" si="9"/>
        <v>7</v>
      </c>
      <c r="T59" s="7">
        <v>100000</v>
      </c>
      <c r="U59" s="7">
        <f t="shared" si="11"/>
        <v>700000</v>
      </c>
      <c r="V59" s="4"/>
      <c r="Y59" s="4"/>
      <c r="Z59" s="45"/>
    </row>
    <row r="60" spans="2:26" ht="37.5" hidden="1">
      <c r="B60" s="58"/>
      <c r="C60" s="60"/>
      <c r="D60" s="52" t="s">
        <v>47</v>
      </c>
      <c r="E60" s="63"/>
      <c r="F60" s="8">
        <v>1</v>
      </c>
      <c r="G60" s="67" t="s">
        <v>88</v>
      </c>
      <c r="H60" s="68"/>
      <c r="I60" s="35">
        <v>78</v>
      </c>
      <c r="J60" s="9">
        <f t="shared" si="2"/>
        <v>1.282051282051282E-2</v>
      </c>
      <c r="K60" s="39"/>
      <c r="L60" s="39"/>
      <c r="M60" s="39"/>
      <c r="N60" s="39"/>
      <c r="O60" s="39"/>
      <c r="P60" s="39"/>
      <c r="Q60" s="39"/>
      <c r="R60" s="39">
        <v>1</v>
      </c>
      <c r="S60" s="10">
        <f t="shared" si="9"/>
        <v>1</v>
      </c>
      <c r="T60" s="10">
        <v>100000</v>
      </c>
      <c r="U60" s="10">
        <f t="shared" si="11"/>
        <v>100000</v>
      </c>
      <c r="V60" s="4"/>
      <c r="Y60" s="4"/>
      <c r="Z60" s="45"/>
    </row>
    <row r="61" spans="2:26" ht="37.5" hidden="1">
      <c r="B61" s="58"/>
      <c r="C61" s="60"/>
      <c r="D61" s="52" t="s">
        <v>47</v>
      </c>
      <c r="E61" s="63"/>
      <c r="F61" s="8">
        <v>8.3333333333333329E-2</v>
      </c>
      <c r="G61" s="67" t="s">
        <v>88</v>
      </c>
      <c r="H61" s="68"/>
      <c r="I61" s="35">
        <v>78</v>
      </c>
      <c r="J61" s="9">
        <f t="shared" si="2"/>
        <v>1.282051282051282E-2</v>
      </c>
      <c r="K61" s="39"/>
      <c r="L61" s="39"/>
      <c r="M61" s="39"/>
      <c r="N61" s="39"/>
      <c r="O61" s="39"/>
      <c r="P61" s="39"/>
      <c r="Q61" s="39"/>
      <c r="R61" s="39">
        <v>1</v>
      </c>
      <c r="S61" s="10">
        <f t="shared" si="9"/>
        <v>1</v>
      </c>
      <c r="T61" s="10">
        <v>100000</v>
      </c>
      <c r="U61" s="10">
        <f t="shared" si="11"/>
        <v>100000</v>
      </c>
      <c r="V61" s="4"/>
      <c r="Y61" s="4"/>
      <c r="Z61" s="46"/>
    </row>
    <row r="62" spans="2:26" ht="37.5" hidden="1">
      <c r="B62" s="58"/>
      <c r="C62" s="60"/>
      <c r="D62" s="52" t="s">
        <v>47</v>
      </c>
      <c r="E62" s="63"/>
      <c r="F62" s="8">
        <v>0.16666666666666666</v>
      </c>
      <c r="G62" s="67" t="s">
        <v>88</v>
      </c>
      <c r="H62" s="68"/>
      <c r="I62" s="35">
        <v>78</v>
      </c>
      <c r="J62" s="9">
        <f t="shared" si="2"/>
        <v>0</v>
      </c>
      <c r="K62" s="39"/>
      <c r="L62" s="39"/>
      <c r="M62" s="39"/>
      <c r="N62" s="39"/>
      <c r="O62" s="39"/>
      <c r="P62" s="39"/>
      <c r="Q62" s="39"/>
      <c r="R62" s="39"/>
      <c r="S62" s="10">
        <f t="shared" si="9"/>
        <v>0</v>
      </c>
      <c r="T62" s="10">
        <v>100000</v>
      </c>
      <c r="U62" s="10">
        <f t="shared" si="11"/>
        <v>0</v>
      </c>
      <c r="V62" s="4"/>
      <c r="W62" s="4"/>
      <c r="X62" s="4"/>
      <c r="Y62" s="4"/>
    </row>
    <row r="63" spans="2:26" ht="37.5" hidden="1">
      <c r="B63" s="58"/>
      <c r="C63" s="60"/>
      <c r="D63" s="52" t="s">
        <v>47</v>
      </c>
      <c r="E63" s="63"/>
      <c r="F63" s="8">
        <v>0.25</v>
      </c>
      <c r="G63" s="67" t="s">
        <v>88</v>
      </c>
      <c r="H63" s="68"/>
      <c r="I63" s="35">
        <v>78</v>
      </c>
      <c r="J63" s="9">
        <f t="shared" si="2"/>
        <v>0</v>
      </c>
      <c r="K63" s="39"/>
      <c r="L63" s="39"/>
      <c r="M63" s="39"/>
      <c r="N63" s="39"/>
      <c r="O63" s="39"/>
      <c r="P63" s="39"/>
      <c r="Q63" s="39"/>
      <c r="R63" s="39"/>
      <c r="S63" s="10">
        <f t="shared" si="9"/>
        <v>0</v>
      </c>
      <c r="T63" s="10">
        <v>100000</v>
      </c>
      <c r="U63" s="10">
        <f t="shared" si="11"/>
        <v>0</v>
      </c>
      <c r="V63" s="4"/>
      <c r="Y63" s="4"/>
    </row>
    <row r="64" spans="2:26" ht="37.5" hidden="1">
      <c r="B64" s="58"/>
      <c r="C64" s="60"/>
      <c r="D64" s="53" t="s">
        <v>47</v>
      </c>
      <c r="E64" s="64"/>
      <c r="F64" s="14">
        <v>0.33333333333333331</v>
      </c>
      <c r="G64" s="67" t="s">
        <v>88</v>
      </c>
      <c r="H64" s="68"/>
      <c r="I64" s="37">
        <v>78</v>
      </c>
      <c r="J64" s="9">
        <f t="shared" si="2"/>
        <v>0</v>
      </c>
      <c r="K64" s="40"/>
      <c r="L64" s="40"/>
      <c r="M64" s="40"/>
      <c r="N64" s="40"/>
      <c r="O64" s="40"/>
      <c r="P64" s="40"/>
      <c r="Q64" s="40"/>
      <c r="R64" s="40"/>
      <c r="S64" s="16">
        <f t="shared" si="9"/>
        <v>0</v>
      </c>
      <c r="T64" s="16">
        <v>100000</v>
      </c>
      <c r="U64" s="16">
        <f t="shared" si="11"/>
        <v>0</v>
      </c>
      <c r="V64" s="4"/>
      <c r="W64" s="4"/>
      <c r="X64" s="4"/>
      <c r="Y64" s="4"/>
    </row>
    <row r="65" spans="2:25" ht="33.75" hidden="1" customHeight="1">
      <c r="B65" s="58">
        <v>46086</v>
      </c>
      <c r="C65" s="59" t="s">
        <v>16</v>
      </c>
      <c r="D65" s="51" t="s">
        <v>47</v>
      </c>
      <c r="E65" s="62" t="s">
        <v>101</v>
      </c>
      <c r="F65" s="5">
        <v>0.41666666666666669</v>
      </c>
      <c r="G65" s="65" t="s">
        <v>77</v>
      </c>
      <c r="H65" s="66"/>
      <c r="I65" s="34">
        <v>80</v>
      </c>
      <c r="J65" s="6">
        <f t="shared" si="2"/>
        <v>2.5000000000000001E-2</v>
      </c>
      <c r="K65" s="38"/>
      <c r="L65" s="38"/>
      <c r="M65" s="38"/>
      <c r="N65" s="38"/>
      <c r="O65" s="38"/>
      <c r="P65" s="38"/>
      <c r="Q65" s="38"/>
      <c r="R65" s="38">
        <v>2</v>
      </c>
      <c r="S65" s="7">
        <f>SUM(K65:R65)</f>
        <v>2</v>
      </c>
      <c r="T65" s="7">
        <v>100000</v>
      </c>
      <c r="U65" s="7">
        <f>T65*S65</f>
        <v>200000</v>
      </c>
      <c r="V65" s="4"/>
      <c r="W65" s="4"/>
      <c r="X65" s="4"/>
      <c r="Y65" s="4"/>
    </row>
    <row r="66" spans="2:25" ht="37.5" hidden="1">
      <c r="B66" s="58"/>
      <c r="C66" s="60"/>
      <c r="D66" s="52" t="s">
        <v>47</v>
      </c>
      <c r="E66" s="63"/>
      <c r="F66" s="8">
        <v>0.5</v>
      </c>
      <c r="G66" s="67" t="s">
        <v>77</v>
      </c>
      <c r="H66" s="68"/>
      <c r="I66" s="35">
        <v>75</v>
      </c>
      <c r="J66" s="9">
        <f t="shared" si="2"/>
        <v>0</v>
      </c>
      <c r="K66" s="39"/>
      <c r="L66" s="39"/>
      <c r="M66" s="39"/>
      <c r="N66" s="39"/>
      <c r="O66" s="39"/>
      <c r="P66" s="39"/>
      <c r="Q66" s="39"/>
      <c r="R66" s="39"/>
      <c r="S66" s="10">
        <f t="shared" ref="S66:S76" si="12">SUM(K66:R66)</f>
        <v>0</v>
      </c>
      <c r="T66" s="10">
        <v>100000</v>
      </c>
      <c r="U66" s="10">
        <f t="shared" ref="U66:U67" si="13">T66*S66</f>
        <v>0</v>
      </c>
      <c r="V66" s="4"/>
      <c r="W66" s="4"/>
      <c r="X66" s="4"/>
      <c r="Y66" s="4"/>
    </row>
    <row r="67" spans="2:25" ht="37.5" hidden="1">
      <c r="B67" s="58"/>
      <c r="C67" s="60"/>
      <c r="D67" s="52" t="s">
        <v>47</v>
      </c>
      <c r="E67" s="63"/>
      <c r="F67" s="8">
        <v>0.58333333333333337</v>
      </c>
      <c r="G67" s="67" t="s">
        <v>77</v>
      </c>
      <c r="H67" s="68"/>
      <c r="I67" s="35">
        <v>84</v>
      </c>
      <c r="J67" s="9">
        <f t="shared" si="2"/>
        <v>5.9523809523809521E-2</v>
      </c>
      <c r="K67" s="39"/>
      <c r="L67" s="39"/>
      <c r="M67" s="39"/>
      <c r="N67" s="39"/>
      <c r="O67" s="39"/>
      <c r="P67" s="39"/>
      <c r="Q67" s="39"/>
      <c r="R67" s="39">
        <v>5</v>
      </c>
      <c r="S67" s="10">
        <f t="shared" si="12"/>
        <v>5</v>
      </c>
      <c r="T67" s="10">
        <v>100000</v>
      </c>
      <c r="U67" s="10">
        <f t="shared" si="13"/>
        <v>500000</v>
      </c>
      <c r="V67" s="4"/>
      <c r="W67" s="4"/>
      <c r="X67" s="4"/>
      <c r="Y67" s="4"/>
    </row>
    <row r="68" spans="2:25" ht="37.5" hidden="1">
      <c r="B68" s="58"/>
      <c r="C68" s="60"/>
      <c r="D68" s="52" t="s">
        <v>47</v>
      </c>
      <c r="E68" s="63"/>
      <c r="F68" s="8">
        <v>0.66666666666666663</v>
      </c>
      <c r="G68" s="67" t="s">
        <v>77</v>
      </c>
      <c r="H68" s="68"/>
      <c r="I68" s="35">
        <v>75</v>
      </c>
      <c r="J68" s="9">
        <f t="shared" si="2"/>
        <v>0</v>
      </c>
      <c r="K68" s="39"/>
      <c r="L68" s="39"/>
      <c r="M68" s="39"/>
      <c r="N68" s="39"/>
      <c r="O68" s="39"/>
      <c r="P68" s="39"/>
      <c r="Q68" s="39"/>
      <c r="R68" s="39"/>
      <c r="S68" s="10">
        <f t="shared" si="12"/>
        <v>0</v>
      </c>
      <c r="T68" s="10">
        <v>100000</v>
      </c>
      <c r="U68" s="10">
        <f>T68*S68</f>
        <v>0</v>
      </c>
      <c r="V68" s="4"/>
      <c r="W68" s="4"/>
      <c r="X68" s="4"/>
      <c r="Y68" s="4"/>
    </row>
    <row r="69" spans="2:25" ht="37.5" hidden="1">
      <c r="B69" s="58"/>
      <c r="C69" s="60"/>
      <c r="D69" s="52" t="s">
        <v>47</v>
      </c>
      <c r="E69" s="63"/>
      <c r="F69" s="8">
        <v>0.75</v>
      </c>
      <c r="G69" s="67" t="s">
        <v>77</v>
      </c>
      <c r="H69" s="68"/>
      <c r="I69" s="35">
        <v>6</v>
      </c>
      <c r="J69" s="9">
        <f t="shared" si="2"/>
        <v>0</v>
      </c>
      <c r="K69" s="39"/>
      <c r="L69" s="39"/>
      <c r="M69" s="39"/>
      <c r="N69" s="39"/>
      <c r="O69" s="39"/>
      <c r="P69" s="39"/>
      <c r="Q69" s="39"/>
      <c r="R69" s="39"/>
      <c r="S69" s="10">
        <f t="shared" si="12"/>
        <v>0</v>
      </c>
      <c r="T69" s="10">
        <v>100000</v>
      </c>
      <c r="U69" s="10">
        <f t="shared" ref="U69:U76" si="14">T69*S69</f>
        <v>0</v>
      </c>
      <c r="V69" s="4"/>
      <c r="W69" s="4"/>
      <c r="X69" s="11"/>
      <c r="Y69" s="4"/>
    </row>
    <row r="70" spans="2:25" ht="37.5" hidden="1">
      <c r="B70" s="58"/>
      <c r="C70" s="60"/>
      <c r="D70" s="53" t="s">
        <v>47</v>
      </c>
      <c r="E70" s="64"/>
      <c r="F70" s="12">
        <v>0.83333333333333337</v>
      </c>
      <c r="G70" s="67" t="s">
        <v>77</v>
      </c>
      <c r="H70" s="68"/>
      <c r="I70" s="36"/>
      <c r="J70" s="9" t="str">
        <f t="shared" si="2"/>
        <v/>
      </c>
      <c r="K70" s="41"/>
      <c r="L70" s="41"/>
      <c r="M70" s="41"/>
      <c r="N70" s="41"/>
      <c r="O70" s="41"/>
      <c r="P70" s="41"/>
      <c r="Q70" s="41"/>
      <c r="R70" s="41"/>
      <c r="S70" s="13">
        <f t="shared" si="12"/>
        <v>0</v>
      </c>
      <c r="T70" s="13">
        <v>100000</v>
      </c>
      <c r="U70" s="13">
        <f t="shared" si="14"/>
        <v>0</v>
      </c>
      <c r="V70" s="4"/>
      <c r="Y70" s="4"/>
    </row>
    <row r="71" spans="2:25" ht="37.5" hidden="1">
      <c r="B71" s="58"/>
      <c r="C71" s="60"/>
      <c r="D71" s="51" t="s">
        <v>47</v>
      </c>
      <c r="E71" s="62" t="s">
        <v>102</v>
      </c>
      <c r="F71" s="5">
        <v>0.91666666666666663</v>
      </c>
      <c r="G71" s="65" t="s">
        <v>87</v>
      </c>
      <c r="H71" s="66"/>
      <c r="I71" s="34"/>
      <c r="J71" s="6" t="str">
        <f t="shared" si="2"/>
        <v/>
      </c>
      <c r="K71" s="38"/>
      <c r="L71" s="38"/>
      <c r="M71" s="38"/>
      <c r="N71" s="38"/>
      <c r="O71" s="38"/>
      <c r="P71" s="38"/>
      <c r="Q71" s="38">
        <v>2</v>
      </c>
      <c r="R71" s="38"/>
      <c r="S71" s="7">
        <f t="shared" si="12"/>
        <v>2</v>
      </c>
      <c r="T71" s="7">
        <v>100000</v>
      </c>
      <c r="U71" s="7">
        <f t="shared" si="14"/>
        <v>200000</v>
      </c>
      <c r="V71" s="4"/>
      <c r="Y71" s="4"/>
    </row>
    <row r="72" spans="2:25" ht="37.5" hidden="1">
      <c r="B72" s="58"/>
      <c r="C72" s="60"/>
      <c r="D72" s="52" t="s">
        <v>47</v>
      </c>
      <c r="E72" s="63"/>
      <c r="F72" s="8">
        <v>1</v>
      </c>
      <c r="G72" s="67" t="s">
        <v>87</v>
      </c>
      <c r="H72" s="68"/>
      <c r="I72" s="35"/>
      <c r="J72" s="9" t="str">
        <f t="shared" si="2"/>
        <v/>
      </c>
      <c r="K72" s="39"/>
      <c r="L72" s="39"/>
      <c r="M72" s="39"/>
      <c r="N72" s="39"/>
      <c r="O72" s="39"/>
      <c r="P72" s="39"/>
      <c r="Q72" s="39"/>
      <c r="R72" s="39"/>
      <c r="S72" s="10">
        <f t="shared" si="12"/>
        <v>0</v>
      </c>
      <c r="T72" s="10">
        <v>100000</v>
      </c>
      <c r="U72" s="10">
        <f t="shared" si="14"/>
        <v>0</v>
      </c>
      <c r="V72" s="4"/>
      <c r="Y72" s="4"/>
    </row>
    <row r="73" spans="2:25" ht="37.5" hidden="1">
      <c r="B73" s="58"/>
      <c r="C73" s="60"/>
      <c r="D73" s="52" t="s">
        <v>47</v>
      </c>
      <c r="E73" s="63"/>
      <c r="F73" s="8">
        <v>8.3333333333333329E-2</v>
      </c>
      <c r="G73" s="67" t="s">
        <v>87</v>
      </c>
      <c r="H73" s="68"/>
      <c r="I73" s="35">
        <v>40</v>
      </c>
      <c r="J73" s="9">
        <f t="shared" si="2"/>
        <v>2.5000000000000001E-2</v>
      </c>
      <c r="K73" s="39">
        <v>1</v>
      </c>
      <c r="L73" s="39"/>
      <c r="M73" s="39"/>
      <c r="N73" s="39"/>
      <c r="O73" s="39"/>
      <c r="P73" s="39"/>
      <c r="Q73" s="39"/>
      <c r="R73" s="39"/>
      <c r="S73" s="10">
        <f t="shared" si="12"/>
        <v>1</v>
      </c>
      <c r="T73" s="10">
        <v>100000</v>
      </c>
      <c r="U73" s="10">
        <f t="shared" si="14"/>
        <v>100000</v>
      </c>
      <c r="V73" s="4"/>
      <c r="Y73" s="4"/>
    </row>
    <row r="74" spans="2:25" ht="37.5" hidden="1">
      <c r="B74" s="58"/>
      <c r="C74" s="60"/>
      <c r="D74" s="52" t="s">
        <v>47</v>
      </c>
      <c r="E74" s="63"/>
      <c r="F74" s="8">
        <v>0.16666666666666666</v>
      </c>
      <c r="G74" s="67" t="s">
        <v>87</v>
      </c>
      <c r="H74" s="68"/>
      <c r="I74" s="35">
        <v>80</v>
      </c>
      <c r="J74" s="9">
        <f t="shared" si="2"/>
        <v>1.2500000000000001E-2</v>
      </c>
      <c r="K74" s="39">
        <v>1</v>
      </c>
      <c r="L74" s="39"/>
      <c r="M74" s="39"/>
      <c r="N74" s="39"/>
      <c r="O74" s="39"/>
      <c r="P74" s="39"/>
      <c r="Q74" s="39"/>
      <c r="R74" s="39"/>
      <c r="S74" s="10">
        <f t="shared" si="12"/>
        <v>1</v>
      </c>
      <c r="T74" s="10">
        <v>100000</v>
      </c>
      <c r="U74" s="10">
        <f t="shared" si="14"/>
        <v>100000</v>
      </c>
      <c r="V74" s="4"/>
      <c r="W74" s="4"/>
      <c r="X74" s="4"/>
      <c r="Y74" s="4"/>
    </row>
    <row r="75" spans="2:25" ht="37.5" hidden="1">
      <c r="B75" s="58"/>
      <c r="C75" s="60"/>
      <c r="D75" s="52" t="s">
        <v>47</v>
      </c>
      <c r="E75" s="63"/>
      <c r="F75" s="8">
        <v>0.25</v>
      </c>
      <c r="G75" s="67" t="s">
        <v>87</v>
      </c>
      <c r="H75" s="68"/>
      <c r="I75" s="35">
        <v>60</v>
      </c>
      <c r="J75" s="9">
        <f t="shared" si="2"/>
        <v>1.6666666666666666E-2</v>
      </c>
      <c r="K75" s="39">
        <v>1</v>
      </c>
      <c r="L75" s="39"/>
      <c r="M75" s="39"/>
      <c r="N75" s="39"/>
      <c r="O75" s="39"/>
      <c r="P75" s="39"/>
      <c r="Q75" s="39"/>
      <c r="R75" s="39"/>
      <c r="S75" s="10">
        <f t="shared" si="12"/>
        <v>1</v>
      </c>
      <c r="T75" s="10">
        <v>100000</v>
      </c>
      <c r="U75" s="10">
        <f t="shared" si="14"/>
        <v>100000</v>
      </c>
      <c r="V75" s="4"/>
      <c r="Y75" s="4"/>
    </row>
    <row r="76" spans="2:25" ht="37.5" hidden="1">
      <c r="B76" s="58"/>
      <c r="C76" s="60"/>
      <c r="D76" s="53" t="s">
        <v>47</v>
      </c>
      <c r="E76" s="64"/>
      <c r="F76" s="14">
        <v>0.33333333333333331</v>
      </c>
      <c r="G76" s="67" t="s">
        <v>87</v>
      </c>
      <c r="H76" s="68"/>
      <c r="I76" s="37">
        <v>60</v>
      </c>
      <c r="J76" s="9">
        <f t="shared" si="2"/>
        <v>1.6666666666666666E-2</v>
      </c>
      <c r="K76" s="40">
        <v>1</v>
      </c>
      <c r="L76" s="40"/>
      <c r="M76" s="40"/>
      <c r="N76" s="40"/>
      <c r="O76" s="40"/>
      <c r="P76" s="40"/>
      <c r="Q76" s="40"/>
      <c r="R76" s="40"/>
      <c r="S76" s="16">
        <f t="shared" si="12"/>
        <v>1</v>
      </c>
      <c r="T76" s="16">
        <v>100000</v>
      </c>
      <c r="U76" s="16">
        <f t="shared" si="14"/>
        <v>100000</v>
      </c>
      <c r="V76" s="4"/>
      <c r="W76" s="4"/>
      <c r="X76" s="4"/>
      <c r="Y76" s="4"/>
    </row>
    <row r="77" spans="2:25" ht="31.5" hidden="1" customHeight="1">
      <c r="B77" s="58">
        <v>46087</v>
      </c>
      <c r="C77" s="59" t="s">
        <v>16</v>
      </c>
      <c r="D77" s="51" t="s">
        <v>47</v>
      </c>
      <c r="E77" s="62" t="s">
        <v>101</v>
      </c>
      <c r="F77" s="5">
        <v>0.41666666666666669</v>
      </c>
      <c r="G77" s="65" t="s">
        <v>78</v>
      </c>
      <c r="H77" s="66"/>
      <c r="I77" s="34">
        <v>82</v>
      </c>
      <c r="J77" s="6">
        <f t="shared" si="2"/>
        <v>2.4390243902439025E-2</v>
      </c>
      <c r="K77" s="38"/>
      <c r="L77" s="38"/>
      <c r="M77" s="38"/>
      <c r="N77" s="38"/>
      <c r="O77" s="38"/>
      <c r="P77" s="38"/>
      <c r="Q77" s="38"/>
      <c r="R77" s="38">
        <v>2</v>
      </c>
      <c r="S77" s="7">
        <f>SUM(K77:R77)</f>
        <v>2</v>
      </c>
      <c r="T77" s="7">
        <v>100000</v>
      </c>
      <c r="U77" s="7">
        <f>T77*S77</f>
        <v>200000</v>
      </c>
      <c r="V77" s="4"/>
      <c r="W77" s="4"/>
      <c r="X77" s="4"/>
      <c r="Y77" s="4"/>
    </row>
    <row r="78" spans="2:25" ht="37.5" hidden="1">
      <c r="B78" s="58"/>
      <c r="C78" s="60"/>
      <c r="D78" s="52" t="s">
        <v>47</v>
      </c>
      <c r="E78" s="63"/>
      <c r="F78" s="8">
        <v>0.5</v>
      </c>
      <c r="G78" s="67" t="s">
        <v>78</v>
      </c>
      <c r="H78" s="68"/>
      <c r="I78" s="35">
        <v>84</v>
      </c>
      <c r="J78" s="9">
        <f t="shared" si="2"/>
        <v>0</v>
      </c>
      <c r="K78" s="39"/>
      <c r="L78" s="39"/>
      <c r="M78" s="39"/>
      <c r="N78" s="39"/>
      <c r="O78" s="39"/>
      <c r="P78" s="39"/>
      <c r="Q78" s="39"/>
      <c r="R78" s="39"/>
      <c r="S78" s="10">
        <f t="shared" ref="S78:S88" si="15">SUM(K78:R78)</f>
        <v>0</v>
      </c>
      <c r="T78" s="10">
        <v>100000</v>
      </c>
      <c r="U78" s="10">
        <f t="shared" ref="U78:U79" si="16">T78*S78</f>
        <v>0</v>
      </c>
      <c r="V78" s="4"/>
      <c r="W78" s="4"/>
      <c r="X78" s="4"/>
      <c r="Y78" s="4"/>
    </row>
    <row r="79" spans="2:25" ht="37.5" hidden="1">
      <c r="B79" s="58"/>
      <c r="C79" s="60"/>
      <c r="D79" s="52" t="s">
        <v>47</v>
      </c>
      <c r="E79" s="63"/>
      <c r="F79" s="8">
        <v>0.58333333333333337</v>
      </c>
      <c r="G79" s="67" t="s">
        <v>78</v>
      </c>
      <c r="H79" s="68"/>
      <c r="I79" s="35">
        <v>84</v>
      </c>
      <c r="J79" s="9">
        <f t="shared" si="2"/>
        <v>0</v>
      </c>
      <c r="K79" s="39"/>
      <c r="L79" s="39"/>
      <c r="M79" s="39"/>
      <c r="N79" s="39"/>
      <c r="O79" s="39"/>
      <c r="P79" s="39"/>
      <c r="Q79" s="39"/>
      <c r="R79" s="39"/>
      <c r="S79" s="10">
        <f t="shared" si="15"/>
        <v>0</v>
      </c>
      <c r="T79" s="10">
        <v>100000</v>
      </c>
      <c r="U79" s="10">
        <f t="shared" si="16"/>
        <v>0</v>
      </c>
      <c r="V79" s="4"/>
      <c r="W79" s="4"/>
      <c r="X79" s="4"/>
      <c r="Y79" s="4"/>
    </row>
    <row r="80" spans="2:25" ht="37.5" hidden="1">
      <c r="B80" s="58"/>
      <c r="C80" s="60"/>
      <c r="D80" s="52" t="s">
        <v>47</v>
      </c>
      <c r="E80" s="63"/>
      <c r="F80" s="8">
        <v>0.66666666666666663</v>
      </c>
      <c r="G80" s="67" t="s">
        <v>78</v>
      </c>
      <c r="H80" s="68"/>
      <c r="I80" s="35">
        <v>84</v>
      </c>
      <c r="J80" s="9">
        <f t="shared" si="2"/>
        <v>0</v>
      </c>
      <c r="K80" s="39"/>
      <c r="L80" s="39"/>
      <c r="M80" s="39"/>
      <c r="N80" s="39"/>
      <c r="O80" s="39"/>
      <c r="P80" s="39"/>
      <c r="Q80" s="39"/>
      <c r="R80" s="39"/>
      <c r="S80" s="10">
        <f t="shared" si="15"/>
        <v>0</v>
      </c>
      <c r="T80" s="10">
        <v>100000</v>
      </c>
      <c r="U80" s="10">
        <f>T80*S80</f>
        <v>0</v>
      </c>
      <c r="V80" s="4"/>
      <c r="W80" s="4"/>
      <c r="X80" s="4"/>
      <c r="Y80" s="4"/>
    </row>
    <row r="81" spans="2:25" ht="37.5" hidden="1">
      <c r="B81" s="58"/>
      <c r="C81" s="60"/>
      <c r="D81" s="52" t="s">
        <v>47</v>
      </c>
      <c r="E81" s="63"/>
      <c r="F81" s="8">
        <v>0.75</v>
      </c>
      <c r="G81" s="67" t="s">
        <v>78</v>
      </c>
      <c r="H81" s="68"/>
      <c r="I81" s="35">
        <v>84</v>
      </c>
      <c r="J81" s="9">
        <f t="shared" si="2"/>
        <v>2.3809523809523808E-2</v>
      </c>
      <c r="K81" s="39">
        <v>2</v>
      </c>
      <c r="L81" s="39"/>
      <c r="M81" s="39"/>
      <c r="N81" s="39"/>
      <c r="O81" s="39"/>
      <c r="P81" s="39"/>
      <c r="Q81" s="39"/>
      <c r="R81" s="39"/>
      <c r="S81" s="10">
        <f t="shared" si="15"/>
        <v>2</v>
      </c>
      <c r="T81" s="10">
        <v>100000</v>
      </c>
      <c r="U81" s="10">
        <f t="shared" ref="U81:U88" si="17">T81*S81</f>
        <v>200000</v>
      </c>
      <c r="V81" s="4"/>
      <c r="W81" s="4"/>
      <c r="X81" s="11"/>
      <c r="Y81" s="4"/>
    </row>
    <row r="82" spans="2:25" ht="37.5" hidden="1">
      <c r="B82" s="58"/>
      <c r="C82" s="60"/>
      <c r="D82" s="53" t="s">
        <v>47</v>
      </c>
      <c r="E82" s="64"/>
      <c r="F82" s="12">
        <v>0.83333333333333337</v>
      </c>
      <c r="G82" s="67" t="s">
        <v>78</v>
      </c>
      <c r="H82" s="68"/>
      <c r="I82" s="36">
        <v>82</v>
      </c>
      <c r="J82" s="9">
        <f t="shared" si="2"/>
        <v>0</v>
      </c>
      <c r="K82" s="41"/>
      <c r="L82" s="41"/>
      <c r="M82" s="41"/>
      <c r="N82" s="41"/>
      <c r="O82" s="41"/>
      <c r="P82" s="41"/>
      <c r="Q82" s="41"/>
      <c r="R82" s="41"/>
      <c r="S82" s="13">
        <f t="shared" si="15"/>
        <v>0</v>
      </c>
      <c r="T82" s="13">
        <v>100000</v>
      </c>
      <c r="U82" s="13">
        <f t="shared" si="17"/>
        <v>0</v>
      </c>
      <c r="V82" s="4"/>
      <c r="Y82" s="4"/>
    </row>
    <row r="83" spans="2:25" ht="37.5" hidden="1">
      <c r="B83" s="58"/>
      <c r="C83" s="60"/>
      <c r="D83" s="51" t="s">
        <v>47</v>
      </c>
      <c r="E83" s="62" t="s">
        <v>102</v>
      </c>
      <c r="F83" s="5">
        <v>0.91666666666666663</v>
      </c>
      <c r="G83" s="65" t="s">
        <v>85</v>
      </c>
      <c r="H83" s="66"/>
      <c r="I83" s="34">
        <v>82</v>
      </c>
      <c r="J83" s="6">
        <f t="shared" ref="J83:J136" si="18">IFERROR(S83/I83,"")</f>
        <v>4.878048780487805E-2</v>
      </c>
      <c r="K83" s="38"/>
      <c r="L83" s="38"/>
      <c r="M83" s="38"/>
      <c r="N83" s="38"/>
      <c r="O83" s="38"/>
      <c r="P83" s="38"/>
      <c r="Q83" s="38">
        <v>3</v>
      </c>
      <c r="R83" s="38">
        <v>1</v>
      </c>
      <c r="S83" s="7">
        <f t="shared" si="15"/>
        <v>4</v>
      </c>
      <c r="T83" s="7">
        <v>100000</v>
      </c>
      <c r="U83" s="7">
        <f t="shared" si="17"/>
        <v>400000</v>
      </c>
      <c r="V83" s="4"/>
      <c r="Y83" s="4"/>
    </row>
    <row r="84" spans="2:25" ht="37.5" hidden="1">
      <c r="B84" s="58"/>
      <c r="C84" s="60"/>
      <c r="D84" s="52" t="s">
        <v>47</v>
      </c>
      <c r="E84" s="63"/>
      <c r="F84" s="8">
        <v>1</v>
      </c>
      <c r="G84" s="67" t="s">
        <v>85</v>
      </c>
      <c r="H84" s="68"/>
      <c r="I84" s="35">
        <v>46</v>
      </c>
      <c r="J84" s="9">
        <f t="shared" si="18"/>
        <v>2.1739130434782608E-2</v>
      </c>
      <c r="K84" s="39"/>
      <c r="L84" s="39"/>
      <c r="M84" s="39"/>
      <c r="N84" s="39"/>
      <c r="O84" s="39"/>
      <c r="P84" s="39"/>
      <c r="Q84" s="39"/>
      <c r="R84" s="39">
        <v>1</v>
      </c>
      <c r="S84" s="10">
        <f t="shared" si="15"/>
        <v>1</v>
      </c>
      <c r="T84" s="10">
        <v>100000</v>
      </c>
      <c r="U84" s="10">
        <f t="shared" si="17"/>
        <v>100000</v>
      </c>
      <c r="V84" s="4"/>
      <c r="Y84" s="4"/>
    </row>
    <row r="85" spans="2:25" ht="37.5" hidden="1">
      <c r="B85" s="58"/>
      <c r="C85" s="60"/>
      <c r="D85" s="52" t="s">
        <v>47</v>
      </c>
      <c r="E85" s="63"/>
      <c r="F85" s="8">
        <v>8.3333333333333329E-2</v>
      </c>
      <c r="G85" s="67" t="s">
        <v>85</v>
      </c>
      <c r="H85" s="68"/>
      <c r="I85" s="35">
        <v>40</v>
      </c>
      <c r="J85" s="9">
        <f t="shared" si="18"/>
        <v>0</v>
      </c>
      <c r="K85" s="39"/>
      <c r="L85" s="39"/>
      <c r="M85" s="39"/>
      <c r="N85" s="39"/>
      <c r="O85" s="39"/>
      <c r="P85" s="39"/>
      <c r="Q85" s="39"/>
      <c r="R85" s="39"/>
      <c r="S85" s="10">
        <f t="shared" si="15"/>
        <v>0</v>
      </c>
      <c r="T85" s="10">
        <v>100000</v>
      </c>
      <c r="U85" s="10">
        <f t="shared" si="17"/>
        <v>0</v>
      </c>
      <c r="V85" s="4"/>
      <c r="Y85" s="4"/>
    </row>
    <row r="86" spans="2:25" ht="37.5" hidden="1">
      <c r="B86" s="58"/>
      <c r="C86" s="60"/>
      <c r="D86" s="52" t="s">
        <v>47</v>
      </c>
      <c r="E86" s="63"/>
      <c r="F86" s="8">
        <v>0.16666666666666666</v>
      </c>
      <c r="G86" s="67" t="s">
        <v>85</v>
      </c>
      <c r="H86" s="68"/>
      <c r="I86" s="35">
        <v>82</v>
      </c>
      <c r="J86" s="9">
        <f t="shared" si="18"/>
        <v>0</v>
      </c>
      <c r="K86" s="39"/>
      <c r="L86" s="39"/>
      <c r="M86" s="39"/>
      <c r="N86" s="39"/>
      <c r="O86" s="39"/>
      <c r="P86" s="39"/>
      <c r="Q86" s="39"/>
      <c r="R86" s="39"/>
      <c r="S86" s="10">
        <f t="shared" si="15"/>
        <v>0</v>
      </c>
      <c r="T86" s="10">
        <v>100000</v>
      </c>
      <c r="U86" s="10">
        <f t="shared" si="17"/>
        <v>0</v>
      </c>
      <c r="V86" s="4"/>
      <c r="W86" s="4"/>
      <c r="X86" s="4"/>
      <c r="Y86" s="4"/>
    </row>
    <row r="87" spans="2:25" ht="37.5" hidden="1">
      <c r="B87" s="58"/>
      <c r="C87" s="60"/>
      <c r="D87" s="52" t="s">
        <v>47</v>
      </c>
      <c r="E87" s="63"/>
      <c r="F87" s="8">
        <v>0.25</v>
      </c>
      <c r="G87" s="67" t="s">
        <v>85</v>
      </c>
      <c r="H87" s="68"/>
      <c r="I87" s="35">
        <v>30</v>
      </c>
      <c r="J87" s="9">
        <f t="shared" si="18"/>
        <v>0</v>
      </c>
      <c r="K87" s="39"/>
      <c r="L87" s="39"/>
      <c r="M87" s="39"/>
      <c r="N87" s="39"/>
      <c r="O87" s="39"/>
      <c r="P87" s="39"/>
      <c r="Q87" s="39"/>
      <c r="R87" s="39"/>
      <c r="S87" s="10">
        <f t="shared" si="15"/>
        <v>0</v>
      </c>
      <c r="T87" s="10">
        <v>100000</v>
      </c>
      <c r="U87" s="10">
        <f t="shared" si="17"/>
        <v>0</v>
      </c>
      <c r="V87" s="4"/>
      <c r="Y87" s="4"/>
    </row>
    <row r="88" spans="2:25" ht="37.5" hidden="1">
      <c r="B88" s="58"/>
      <c r="C88" s="60"/>
      <c r="D88" s="53" t="s">
        <v>47</v>
      </c>
      <c r="E88" s="64"/>
      <c r="F88" s="14">
        <v>0.33333333333333331</v>
      </c>
      <c r="G88" s="67" t="s">
        <v>85</v>
      </c>
      <c r="H88" s="68"/>
      <c r="I88" s="37"/>
      <c r="J88" s="9" t="str">
        <f t="shared" si="18"/>
        <v/>
      </c>
      <c r="K88" s="40"/>
      <c r="L88" s="40"/>
      <c r="M88" s="40"/>
      <c r="N88" s="40"/>
      <c r="O88" s="40"/>
      <c r="P88" s="40"/>
      <c r="Q88" s="40"/>
      <c r="R88" s="40"/>
      <c r="S88" s="16">
        <f t="shared" si="15"/>
        <v>0</v>
      </c>
      <c r="T88" s="16">
        <v>100000</v>
      </c>
      <c r="U88" s="16">
        <f t="shared" si="17"/>
        <v>0</v>
      </c>
      <c r="V88" s="4"/>
      <c r="W88" s="4"/>
      <c r="X88" s="4"/>
      <c r="Y88" s="4"/>
    </row>
    <row r="89" spans="2:25" ht="45.75" hidden="1" customHeight="1">
      <c r="B89" s="58">
        <v>46088</v>
      </c>
      <c r="C89" s="59" t="s">
        <v>16</v>
      </c>
      <c r="D89" s="51" t="s">
        <v>54</v>
      </c>
      <c r="E89" s="62" t="s">
        <v>101</v>
      </c>
      <c r="F89" s="5">
        <v>0.41666666666666669</v>
      </c>
      <c r="G89" s="65" t="s">
        <v>75</v>
      </c>
      <c r="H89" s="66"/>
      <c r="I89" s="34"/>
      <c r="J89" s="6" t="str">
        <f t="shared" si="18"/>
        <v/>
      </c>
      <c r="K89" s="38"/>
      <c r="L89" s="38"/>
      <c r="M89" s="38"/>
      <c r="N89" s="38"/>
      <c r="O89" s="38"/>
      <c r="P89" s="38"/>
      <c r="Q89" s="38">
        <v>7</v>
      </c>
      <c r="R89" s="38"/>
      <c r="S89" s="7">
        <f>SUM(K89:R89)</f>
        <v>7</v>
      </c>
      <c r="T89" s="7">
        <v>100000</v>
      </c>
      <c r="U89" s="7">
        <f>T89*S89</f>
        <v>700000</v>
      </c>
      <c r="V89" s="4"/>
      <c r="W89" s="4"/>
      <c r="X89" s="4"/>
      <c r="Y89" s="4"/>
    </row>
    <row r="90" spans="2:25" ht="37.5" hidden="1">
      <c r="B90" s="58"/>
      <c r="C90" s="60"/>
      <c r="D90" s="52" t="s">
        <v>54</v>
      </c>
      <c r="E90" s="63"/>
      <c r="F90" s="8">
        <v>0.5</v>
      </c>
      <c r="G90" s="67" t="s">
        <v>75</v>
      </c>
      <c r="H90" s="68"/>
      <c r="I90" s="35"/>
      <c r="J90" s="9" t="str">
        <f t="shared" si="18"/>
        <v/>
      </c>
      <c r="K90" s="39"/>
      <c r="L90" s="39"/>
      <c r="M90" s="39"/>
      <c r="N90" s="39"/>
      <c r="O90" s="39"/>
      <c r="P90" s="39"/>
      <c r="Q90" s="39"/>
      <c r="R90" s="39"/>
      <c r="S90" s="10">
        <f t="shared" ref="S90:S100" si="19">SUM(K90:R90)</f>
        <v>0</v>
      </c>
      <c r="T90" s="10">
        <v>100000</v>
      </c>
      <c r="U90" s="10">
        <f t="shared" ref="U90:U91" si="20">T90*S90</f>
        <v>0</v>
      </c>
      <c r="V90" s="4"/>
      <c r="W90" s="4"/>
      <c r="X90" s="4"/>
      <c r="Y90" s="4"/>
    </row>
    <row r="91" spans="2:25" ht="37.5" hidden="1">
      <c r="B91" s="58"/>
      <c r="C91" s="60"/>
      <c r="D91" s="52" t="s">
        <v>54</v>
      </c>
      <c r="E91" s="63"/>
      <c r="F91" s="8">
        <v>0.58333333333333337</v>
      </c>
      <c r="G91" s="67" t="s">
        <v>75</v>
      </c>
      <c r="H91" s="68"/>
      <c r="I91" s="35">
        <v>25</v>
      </c>
      <c r="J91" s="9">
        <f t="shared" si="18"/>
        <v>0</v>
      </c>
      <c r="K91" s="39"/>
      <c r="L91" s="39"/>
      <c r="M91" s="39"/>
      <c r="N91" s="39"/>
      <c r="O91" s="39"/>
      <c r="P91" s="39"/>
      <c r="Q91" s="39"/>
      <c r="R91" s="39"/>
      <c r="S91" s="10">
        <f t="shared" si="19"/>
        <v>0</v>
      </c>
      <c r="T91" s="10">
        <v>100000</v>
      </c>
      <c r="U91" s="10">
        <f t="shared" si="20"/>
        <v>0</v>
      </c>
      <c r="V91" s="4"/>
      <c r="W91" s="4"/>
      <c r="X91" s="4"/>
      <c r="Y91" s="4"/>
    </row>
    <row r="92" spans="2:25" ht="37.5" hidden="1">
      <c r="B92" s="58"/>
      <c r="C92" s="60"/>
      <c r="D92" s="52" t="s">
        <v>54</v>
      </c>
      <c r="E92" s="63"/>
      <c r="F92" s="8">
        <v>0.66666666666666663</v>
      </c>
      <c r="G92" s="67" t="s">
        <v>75</v>
      </c>
      <c r="H92" s="68"/>
      <c r="I92" s="35">
        <v>50</v>
      </c>
      <c r="J92" s="9">
        <f t="shared" si="18"/>
        <v>0</v>
      </c>
      <c r="K92" s="39"/>
      <c r="L92" s="39"/>
      <c r="M92" s="39"/>
      <c r="N92" s="39"/>
      <c r="O92" s="39"/>
      <c r="P92" s="39"/>
      <c r="Q92" s="39"/>
      <c r="R92" s="39"/>
      <c r="S92" s="10">
        <f t="shared" si="19"/>
        <v>0</v>
      </c>
      <c r="T92" s="10">
        <v>100000</v>
      </c>
      <c r="U92" s="10">
        <f>T92*S92</f>
        <v>0</v>
      </c>
      <c r="V92" s="4"/>
      <c r="W92" s="4"/>
      <c r="X92" s="4"/>
      <c r="Y92" s="4"/>
    </row>
    <row r="93" spans="2:25" ht="37.5" hidden="1">
      <c r="B93" s="58"/>
      <c r="C93" s="60"/>
      <c r="D93" s="52" t="s">
        <v>54</v>
      </c>
      <c r="E93" s="63"/>
      <c r="F93" s="8">
        <v>0.75</v>
      </c>
      <c r="G93" s="67" t="s">
        <v>75</v>
      </c>
      <c r="H93" s="68"/>
      <c r="I93" s="35">
        <v>45</v>
      </c>
      <c r="J93" s="9">
        <f t="shared" si="18"/>
        <v>0</v>
      </c>
      <c r="K93" s="39"/>
      <c r="L93" s="39"/>
      <c r="M93" s="39"/>
      <c r="N93" s="39"/>
      <c r="O93" s="39"/>
      <c r="P93" s="39"/>
      <c r="Q93" s="39"/>
      <c r="R93" s="39"/>
      <c r="S93" s="10">
        <f t="shared" si="19"/>
        <v>0</v>
      </c>
      <c r="T93" s="10">
        <v>100000</v>
      </c>
      <c r="U93" s="10">
        <f t="shared" ref="U93:U100" si="21">T93*S93</f>
        <v>0</v>
      </c>
      <c r="V93" s="4"/>
      <c r="W93" s="4"/>
      <c r="X93" s="11"/>
      <c r="Y93" s="4"/>
    </row>
    <row r="94" spans="2:25" ht="37.5" hidden="1">
      <c r="B94" s="58"/>
      <c r="C94" s="60"/>
      <c r="D94" s="53" t="s">
        <v>54</v>
      </c>
      <c r="E94" s="64"/>
      <c r="F94" s="12">
        <v>0.83333333333333337</v>
      </c>
      <c r="G94" s="67" t="s">
        <v>75</v>
      </c>
      <c r="H94" s="68"/>
      <c r="I94" s="36">
        <v>60</v>
      </c>
      <c r="J94" s="9">
        <f t="shared" si="18"/>
        <v>0</v>
      </c>
      <c r="K94" s="41"/>
      <c r="L94" s="41"/>
      <c r="M94" s="41"/>
      <c r="N94" s="41"/>
      <c r="O94" s="41"/>
      <c r="P94" s="41"/>
      <c r="Q94" s="41"/>
      <c r="R94" s="41"/>
      <c r="S94" s="13">
        <f t="shared" si="19"/>
        <v>0</v>
      </c>
      <c r="T94" s="13">
        <v>100000</v>
      </c>
      <c r="U94" s="13">
        <f t="shared" si="21"/>
        <v>0</v>
      </c>
      <c r="V94" s="4"/>
      <c r="Y94" s="4"/>
    </row>
    <row r="95" spans="2:25" ht="37.5" hidden="1">
      <c r="B95" s="58"/>
      <c r="C95" s="60"/>
      <c r="D95" s="51" t="s">
        <v>54</v>
      </c>
      <c r="E95" s="62" t="s">
        <v>102</v>
      </c>
      <c r="F95" s="5">
        <v>0.91666666666666663</v>
      </c>
      <c r="G95" s="65" t="s">
        <v>88</v>
      </c>
      <c r="H95" s="66"/>
      <c r="I95" s="34">
        <v>40</v>
      </c>
      <c r="J95" s="6">
        <f t="shared" si="18"/>
        <v>0.25</v>
      </c>
      <c r="K95" s="38"/>
      <c r="L95" s="38"/>
      <c r="M95" s="38"/>
      <c r="N95" s="38"/>
      <c r="O95" s="38"/>
      <c r="P95" s="38"/>
      <c r="Q95" s="38">
        <v>10</v>
      </c>
      <c r="R95" s="38"/>
      <c r="S95" s="7">
        <f t="shared" si="19"/>
        <v>10</v>
      </c>
      <c r="T95" s="7">
        <v>100000</v>
      </c>
      <c r="U95" s="7">
        <f t="shared" si="21"/>
        <v>1000000</v>
      </c>
      <c r="V95" s="4"/>
      <c r="Y95" s="4"/>
    </row>
    <row r="96" spans="2:25" ht="37.5" hidden="1">
      <c r="B96" s="58"/>
      <c r="C96" s="60"/>
      <c r="D96" s="52" t="s">
        <v>54</v>
      </c>
      <c r="E96" s="63"/>
      <c r="F96" s="8">
        <v>1</v>
      </c>
      <c r="G96" s="67" t="s">
        <v>88</v>
      </c>
      <c r="H96" s="68"/>
      <c r="I96" s="35">
        <v>50</v>
      </c>
      <c r="J96" s="9">
        <f t="shared" si="18"/>
        <v>0.04</v>
      </c>
      <c r="K96" s="39"/>
      <c r="L96" s="39"/>
      <c r="M96" s="39">
        <v>2</v>
      </c>
      <c r="N96" s="39"/>
      <c r="O96" s="39"/>
      <c r="P96" s="39"/>
      <c r="Q96" s="39"/>
      <c r="R96" s="39"/>
      <c r="S96" s="10">
        <f t="shared" si="19"/>
        <v>2</v>
      </c>
      <c r="T96" s="10">
        <v>100000</v>
      </c>
      <c r="U96" s="10">
        <f t="shared" si="21"/>
        <v>200000</v>
      </c>
      <c r="V96" s="4"/>
      <c r="Y96" s="4"/>
    </row>
    <row r="97" spans="2:25" ht="37.5" hidden="1">
      <c r="B97" s="58"/>
      <c r="C97" s="60"/>
      <c r="D97" s="52" t="s">
        <v>54</v>
      </c>
      <c r="E97" s="63"/>
      <c r="F97" s="8">
        <v>8.3333333333333329E-2</v>
      </c>
      <c r="G97" s="67" t="s">
        <v>88</v>
      </c>
      <c r="H97" s="68"/>
      <c r="I97" s="35">
        <v>50</v>
      </c>
      <c r="J97" s="9">
        <f t="shared" si="18"/>
        <v>0.04</v>
      </c>
      <c r="K97" s="39"/>
      <c r="L97" s="39"/>
      <c r="M97" s="39">
        <v>2</v>
      </c>
      <c r="N97" s="39"/>
      <c r="O97" s="39"/>
      <c r="P97" s="39"/>
      <c r="Q97" s="39"/>
      <c r="R97" s="39"/>
      <c r="S97" s="10">
        <f t="shared" si="19"/>
        <v>2</v>
      </c>
      <c r="T97" s="10">
        <v>100000</v>
      </c>
      <c r="U97" s="10">
        <f t="shared" si="21"/>
        <v>200000</v>
      </c>
      <c r="V97" s="4"/>
      <c r="Y97" s="4"/>
    </row>
    <row r="98" spans="2:25" ht="37.5" hidden="1">
      <c r="B98" s="58"/>
      <c r="C98" s="60"/>
      <c r="D98" s="52" t="s">
        <v>54</v>
      </c>
      <c r="E98" s="63"/>
      <c r="F98" s="8">
        <v>0.16666666666666666</v>
      </c>
      <c r="G98" s="67" t="s">
        <v>88</v>
      </c>
      <c r="H98" s="68"/>
      <c r="I98" s="35">
        <v>50</v>
      </c>
      <c r="J98" s="9">
        <f t="shared" si="18"/>
        <v>0</v>
      </c>
      <c r="K98" s="39"/>
      <c r="L98" s="39"/>
      <c r="M98" s="39"/>
      <c r="N98" s="39"/>
      <c r="O98" s="39"/>
      <c r="P98" s="39"/>
      <c r="Q98" s="39"/>
      <c r="R98" s="39"/>
      <c r="S98" s="10">
        <f t="shared" si="19"/>
        <v>0</v>
      </c>
      <c r="T98" s="10">
        <v>100000</v>
      </c>
      <c r="U98" s="10">
        <f t="shared" si="21"/>
        <v>0</v>
      </c>
      <c r="V98" s="4"/>
      <c r="W98" s="4"/>
      <c r="X98" s="4"/>
      <c r="Y98" s="4"/>
    </row>
    <row r="99" spans="2:25" ht="37.5" hidden="1">
      <c r="B99" s="58"/>
      <c r="C99" s="60"/>
      <c r="D99" s="52" t="s">
        <v>54</v>
      </c>
      <c r="E99" s="63"/>
      <c r="F99" s="8">
        <v>0.25</v>
      </c>
      <c r="G99" s="67" t="s">
        <v>88</v>
      </c>
      <c r="H99" s="68"/>
      <c r="I99" s="35">
        <v>50</v>
      </c>
      <c r="J99" s="9">
        <f t="shared" si="18"/>
        <v>0</v>
      </c>
      <c r="K99" s="39"/>
      <c r="L99" s="39"/>
      <c r="M99" s="39"/>
      <c r="N99" s="39"/>
      <c r="O99" s="39"/>
      <c r="P99" s="39"/>
      <c r="Q99" s="39"/>
      <c r="R99" s="39"/>
      <c r="S99" s="10">
        <f t="shared" si="19"/>
        <v>0</v>
      </c>
      <c r="T99" s="10">
        <v>100000</v>
      </c>
      <c r="U99" s="10">
        <f t="shared" si="21"/>
        <v>0</v>
      </c>
      <c r="V99" s="4"/>
      <c r="Y99" s="4"/>
    </row>
    <row r="100" spans="2:25" ht="37.5" hidden="1">
      <c r="B100" s="58"/>
      <c r="C100" s="60"/>
      <c r="D100" s="53" t="s">
        <v>54</v>
      </c>
      <c r="E100" s="64"/>
      <c r="F100" s="14">
        <v>0.33333333333333331</v>
      </c>
      <c r="G100" s="67" t="s">
        <v>88</v>
      </c>
      <c r="H100" s="68"/>
      <c r="I100" s="37"/>
      <c r="J100" s="9" t="str">
        <f t="shared" si="18"/>
        <v/>
      </c>
      <c r="K100" s="40"/>
      <c r="L100" s="40"/>
      <c r="M100" s="40"/>
      <c r="N100" s="40"/>
      <c r="O100" s="40"/>
      <c r="P100" s="40"/>
      <c r="Q100" s="40"/>
      <c r="R100" s="40"/>
      <c r="S100" s="16">
        <f t="shared" si="19"/>
        <v>0</v>
      </c>
      <c r="T100" s="16">
        <v>100000</v>
      </c>
      <c r="U100" s="16">
        <f t="shared" si="21"/>
        <v>0</v>
      </c>
      <c r="V100" s="4"/>
      <c r="W100" s="4"/>
      <c r="X100" s="4"/>
      <c r="Y100" s="4"/>
    </row>
    <row r="101" spans="2:25" ht="16.5" hidden="1" customHeight="1">
      <c r="B101" s="58">
        <v>46089</v>
      </c>
      <c r="C101" s="59" t="s">
        <v>16</v>
      </c>
      <c r="D101" s="51"/>
      <c r="E101" s="62" t="s">
        <v>101</v>
      </c>
      <c r="F101" s="5">
        <v>0.41666666666666669</v>
      </c>
      <c r="G101" s="65"/>
      <c r="H101" s="66"/>
      <c r="I101" s="34"/>
      <c r="J101" s="6" t="str">
        <f t="shared" si="18"/>
        <v/>
      </c>
      <c r="K101" s="38"/>
      <c r="L101" s="38"/>
      <c r="M101" s="38"/>
      <c r="N101" s="38"/>
      <c r="O101" s="38"/>
      <c r="P101" s="38"/>
      <c r="Q101" s="38"/>
      <c r="R101" s="38"/>
      <c r="S101" s="7">
        <f>SUM(K101:R101)</f>
        <v>0</v>
      </c>
      <c r="T101" s="7">
        <v>100000</v>
      </c>
      <c r="U101" s="7">
        <f>T101*S101</f>
        <v>0</v>
      </c>
      <c r="V101" s="4"/>
      <c r="W101" s="4"/>
      <c r="X101" s="4"/>
      <c r="Y101" s="4"/>
    </row>
    <row r="102" spans="2:25" ht="18.75" hidden="1">
      <c r="B102" s="58"/>
      <c r="C102" s="60"/>
      <c r="D102" s="52"/>
      <c r="E102" s="63"/>
      <c r="F102" s="8">
        <v>0.5</v>
      </c>
      <c r="G102" s="67"/>
      <c r="H102" s="68"/>
      <c r="I102" s="35"/>
      <c r="J102" s="9" t="str">
        <f t="shared" si="18"/>
        <v/>
      </c>
      <c r="K102" s="39"/>
      <c r="L102" s="39"/>
      <c r="M102" s="39"/>
      <c r="N102" s="39"/>
      <c r="O102" s="39"/>
      <c r="P102" s="39"/>
      <c r="Q102" s="39"/>
      <c r="R102" s="39"/>
      <c r="S102" s="10">
        <f t="shared" ref="S102:S112" si="22">SUM(K102:R102)</f>
        <v>0</v>
      </c>
      <c r="T102" s="10">
        <v>100000</v>
      </c>
      <c r="U102" s="10">
        <f t="shared" ref="U102:U103" si="23">T102*S102</f>
        <v>0</v>
      </c>
      <c r="V102" s="4"/>
      <c r="W102" s="4"/>
      <c r="X102" s="4"/>
      <c r="Y102" s="4"/>
    </row>
    <row r="103" spans="2:25" ht="18.75" hidden="1">
      <c r="B103" s="58"/>
      <c r="C103" s="60"/>
      <c r="D103" s="52"/>
      <c r="E103" s="63"/>
      <c r="F103" s="8">
        <v>0.58333333333333337</v>
      </c>
      <c r="G103" s="67"/>
      <c r="H103" s="68"/>
      <c r="I103" s="35"/>
      <c r="J103" s="9" t="str">
        <f t="shared" si="18"/>
        <v/>
      </c>
      <c r="K103" s="39"/>
      <c r="L103" s="39"/>
      <c r="M103" s="39"/>
      <c r="N103" s="39"/>
      <c r="O103" s="39"/>
      <c r="P103" s="39"/>
      <c r="Q103" s="39"/>
      <c r="R103" s="39"/>
      <c r="S103" s="10">
        <f t="shared" si="22"/>
        <v>0</v>
      </c>
      <c r="T103" s="10">
        <v>100000</v>
      </c>
      <c r="U103" s="10">
        <f t="shared" si="23"/>
        <v>0</v>
      </c>
      <c r="V103" s="4"/>
      <c r="W103" s="4"/>
      <c r="X103" s="4"/>
      <c r="Y103" s="4"/>
    </row>
    <row r="104" spans="2:25" ht="18.75" hidden="1">
      <c r="B104" s="58"/>
      <c r="C104" s="60"/>
      <c r="D104" s="52"/>
      <c r="E104" s="63"/>
      <c r="F104" s="8">
        <v>0.66666666666666663</v>
      </c>
      <c r="G104" s="67"/>
      <c r="H104" s="68"/>
      <c r="I104" s="35"/>
      <c r="J104" s="9" t="str">
        <f t="shared" si="18"/>
        <v/>
      </c>
      <c r="K104" s="39"/>
      <c r="L104" s="39"/>
      <c r="M104" s="39"/>
      <c r="N104" s="39"/>
      <c r="O104" s="39"/>
      <c r="P104" s="39"/>
      <c r="Q104" s="39"/>
      <c r="R104" s="39"/>
      <c r="S104" s="10">
        <f t="shared" si="22"/>
        <v>0</v>
      </c>
      <c r="T104" s="10">
        <v>100000</v>
      </c>
      <c r="U104" s="10">
        <f>T104*S104</f>
        <v>0</v>
      </c>
      <c r="V104" s="4"/>
      <c r="W104" s="4"/>
      <c r="X104" s="4"/>
      <c r="Y104" s="4"/>
    </row>
    <row r="105" spans="2:25" ht="18.75" hidden="1">
      <c r="B105" s="58"/>
      <c r="C105" s="60"/>
      <c r="D105" s="52"/>
      <c r="E105" s="63"/>
      <c r="F105" s="8">
        <v>0.75</v>
      </c>
      <c r="G105" s="67"/>
      <c r="H105" s="68"/>
      <c r="I105" s="35"/>
      <c r="J105" s="9" t="str">
        <f t="shared" si="18"/>
        <v/>
      </c>
      <c r="K105" s="39"/>
      <c r="L105" s="39"/>
      <c r="M105" s="39"/>
      <c r="N105" s="39"/>
      <c r="O105" s="39"/>
      <c r="P105" s="39"/>
      <c r="Q105" s="39"/>
      <c r="R105" s="39"/>
      <c r="S105" s="10">
        <f t="shared" si="22"/>
        <v>0</v>
      </c>
      <c r="T105" s="10">
        <v>100000</v>
      </c>
      <c r="U105" s="10">
        <f t="shared" ref="U105:U112" si="24">T105*S105</f>
        <v>0</v>
      </c>
      <c r="V105" s="4"/>
      <c r="W105" s="4"/>
      <c r="X105" s="11"/>
      <c r="Y105" s="4"/>
    </row>
    <row r="106" spans="2:25" ht="18.75" hidden="1">
      <c r="B106" s="58"/>
      <c r="C106" s="60"/>
      <c r="D106" s="53"/>
      <c r="E106" s="64"/>
      <c r="F106" s="12">
        <v>0.83333333333333337</v>
      </c>
      <c r="G106" s="67"/>
      <c r="H106" s="68"/>
      <c r="I106" s="36"/>
      <c r="J106" s="9" t="str">
        <f t="shared" si="18"/>
        <v/>
      </c>
      <c r="K106" s="41"/>
      <c r="L106" s="41"/>
      <c r="M106" s="41"/>
      <c r="N106" s="41"/>
      <c r="O106" s="41"/>
      <c r="P106" s="41"/>
      <c r="Q106" s="41"/>
      <c r="R106" s="41"/>
      <c r="S106" s="13">
        <f t="shared" si="22"/>
        <v>0</v>
      </c>
      <c r="T106" s="13">
        <v>100000</v>
      </c>
      <c r="U106" s="13">
        <f t="shared" si="24"/>
        <v>0</v>
      </c>
      <c r="V106" s="4"/>
      <c r="Y106" s="4"/>
    </row>
    <row r="107" spans="2:25" ht="18.75" hidden="1">
      <c r="B107" s="58"/>
      <c r="C107" s="60"/>
      <c r="D107" s="51"/>
      <c r="E107" s="62" t="s">
        <v>102</v>
      </c>
      <c r="F107" s="5">
        <v>0.91666666666666663</v>
      </c>
      <c r="G107" s="65"/>
      <c r="H107" s="66"/>
      <c r="I107" s="34"/>
      <c r="J107" s="6" t="str">
        <f t="shared" si="18"/>
        <v/>
      </c>
      <c r="K107" s="38"/>
      <c r="L107" s="38"/>
      <c r="M107" s="38"/>
      <c r="N107" s="38"/>
      <c r="O107" s="38"/>
      <c r="P107" s="38"/>
      <c r="Q107" s="38"/>
      <c r="R107" s="38"/>
      <c r="S107" s="7">
        <f t="shared" si="22"/>
        <v>0</v>
      </c>
      <c r="T107" s="7">
        <v>100000</v>
      </c>
      <c r="U107" s="7">
        <f t="shared" si="24"/>
        <v>0</v>
      </c>
      <c r="V107" s="4"/>
      <c r="Y107" s="4"/>
    </row>
    <row r="108" spans="2:25" ht="18.75" hidden="1">
      <c r="B108" s="58"/>
      <c r="C108" s="60"/>
      <c r="D108" s="52"/>
      <c r="E108" s="63"/>
      <c r="F108" s="8">
        <v>1</v>
      </c>
      <c r="G108" s="67"/>
      <c r="H108" s="68"/>
      <c r="I108" s="35"/>
      <c r="J108" s="9" t="str">
        <f t="shared" si="18"/>
        <v/>
      </c>
      <c r="K108" s="39"/>
      <c r="L108" s="39"/>
      <c r="M108" s="39"/>
      <c r="N108" s="39"/>
      <c r="O108" s="39"/>
      <c r="P108" s="39"/>
      <c r="Q108" s="39"/>
      <c r="R108" s="39"/>
      <c r="S108" s="10">
        <f t="shared" si="22"/>
        <v>0</v>
      </c>
      <c r="T108" s="10">
        <v>100000</v>
      </c>
      <c r="U108" s="10">
        <f t="shared" si="24"/>
        <v>0</v>
      </c>
      <c r="V108" s="4"/>
      <c r="Y108" s="4"/>
    </row>
    <row r="109" spans="2:25" ht="18.75" hidden="1">
      <c r="B109" s="58"/>
      <c r="C109" s="60"/>
      <c r="D109" s="52"/>
      <c r="E109" s="63"/>
      <c r="F109" s="8">
        <v>8.3333333333333329E-2</v>
      </c>
      <c r="G109" s="67"/>
      <c r="H109" s="68"/>
      <c r="I109" s="35"/>
      <c r="J109" s="9" t="str">
        <f t="shared" si="18"/>
        <v/>
      </c>
      <c r="K109" s="39"/>
      <c r="L109" s="39"/>
      <c r="M109" s="39"/>
      <c r="N109" s="39"/>
      <c r="O109" s="39"/>
      <c r="P109" s="39"/>
      <c r="Q109" s="39"/>
      <c r="R109" s="39"/>
      <c r="S109" s="10">
        <f t="shared" si="22"/>
        <v>0</v>
      </c>
      <c r="T109" s="10">
        <v>100000</v>
      </c>
      <c r="U109" s="10">
        <f t="shared" si="24"/>
        <v>0</v>
      </c>
      <c r="V109" s="4"/>
      <c r="Y109" s="4"/>
    </row>
    <row r="110" spans="2:25" ht="18.75" hidden="1">
      <c r="B110" s="58"/>
      <c r="C110" s="60"/>
      <c r="D110" s="52"/>
      <c r="E110" s="63"/>
      <c r="F110" s="8">
        <v>0.16666666666666666</v>
      </c>
      <c r="G110" s="67"/>
      <c r="H110" s="68"/>
      <c r="I110" s="35"/>
      <c r="J110" s="9" t="str">
        <f t="shared" si="18"/>
        <v/>
      </c>
      <c r="K110" s="39"/>
      <c r="L110" s="39"/>
      <c r="M110" s="39"/>
      <c r="N110" s="39"/>
      <c r="O110" s="39"/>
      <c r="P110" s="39"/>
      <c r="Q110" s="39"/>
      <c r="R110" s="39"/>
      <c r="S110" s="10">
        <f t="shared" si="22"/>
        <v>0</v>
      </c>
      <c r="T110" s="10">
        <v>100000</v>
      </c>
      <c r="U110" s="10">
        <f t="shared" si="24"/>
        <v>0</v>
      </c>
      <c r="V110" s="4"/>
      <c r="W110" s="4"/>
      <c r="X110" s="4"/>
      <c r="Y110" s="4"/>
    </row>
    <row r="111" spans="2:25" ht="18.75" hidden="1">
      <c r="B111" s="58"/>
      <c r="C111" s="60"/>
      <c r="D111" s="52"/>
      <c r="E111" s="63"/>
      <c r="F111" s="8">
        <v>0.25</v>
      </c>
      <c r="G111" s="67"/>
      <c r="H111" s="68"/>
      <c r="I111" s="35"/>
      <c r="J111" s="9" t="str">
        <f t="shared" si="18"/>
        <v/>
      </c>
      <c r="K111" s="39"/>
      <c r="L111" s="39"/>
      <c r="M111" s="39"/>
      <c r="N111" s="39"/>
      <c r="O111" s="39"/>
      <c r="P111" s="39"/>
      <c r="Q111" s="39"/>
      <c r="R111" s="39"/>
      <c r="S111" s="10">
        <f t="shared" si="22"/>
        <v>0</v>
      </c>
      <c r="T111" s="10">
        <v>100000</v>
      </c>
      <c r="U111" s="10">
        <f t="shared" si="24"/>
        <v>0</v>
      </c>
      <c r="V111" s="4"/>
      <c r="Y111" s="4"/>
    </row>
    <row r="112" spans="2:25" ht="18.75" hidden="1">
      <c r="B112" s="58"/>
      <c r="C112" s="60"/>
      <c r="D112" s="53"/>
      <c r="E112" s="64"/>
      <c r="F112" s="14">
        <v>0.33333333333333331</v>
      </c>
      <c r="G112" s="67"/>
      <c r="H112" s="68"/>
      <c r="I112" s="37"/>
      <c r="J112" s="9" t="str">
        <f t="shared" si="18"/>
        <v/>
      </c>
      <c r="K112" s="40"/>
      <c r="L112" s="40"/>
      <c r="M112" s="40"/>
      <c r="N112" s="40"/>
      <c r="O112" s="40"/>
      <c r="P112" s="40"/>
      <c r="Q112" s="40"/>
      <c r="R112" s="40"/>
      <c r="S112" s="16">
        <f t="shared" si="22"/>
        <v>0</v>
      </c>
      <c r="T112" s="16">
        <v>100000</v>
      </c>
      <c r="U112" s="16">
        <f t="shared" si="24"/>
        <v>0</v>
      </c>
      <c r="V112" s="4"/>
      <c r="W112" s="4"/>
      <c r="X112" s="4"/>
      <c r="Y112" s="4"/>
    </row>
    <row r="113" spans="2:25" ht="39.75" hidden="1" customHeight="1">
      <c r="B113" s="58">
        <v>46090</v>
      </c>
      <c r="C113" s="59" t="s">
        <v>16</v>
      </c>
      <c r="D113" s="51" t="s">
        <v>54</v>
      </c>
      <c r="E113" s="62" t="s">
        <v>101</v>
      </c>
      <c r="F113" s="5">
        <v>0.41666666666666669</v>
      </c>
      <c r="G113" s="65" t="s">
        <v>74</v>
      </c>
      <c r="H113" s="66"/>
      <c r="I113" s="34"/>
      <c r="J113" s="6" t="str">
        <f t="shared" si="18"/>
        <v/>
      </c>
      <c r="K113" s="38"/>
      <c r="L113" s="38"/>
      <c r="M113" s="38"/>
      <c r="N113" s="38"/>
      <c r="O113" s="38"/>
      <c r="P113" s="38"/>
      <c r="Q113" s="38"/>
      <c r="R113" s="38"/>
      <c r="S113" s="7">
        <f>SUM(K113:R113)</f>
        <v>0</v>
      </c>
      <c r="T113" s="7">
        <v>100000</v>
      </c>
      <c r="U113" s="7">
        <f>T113*S113</f>
        <v>0</v>
      </c>
      <c r="V113" s="4"/>
      <c r="W113" s="4"/>
      <c r="X113" s="4"/>
      <c r="Y113" s="4"/>
    </row>
    <row r="114" spans="2:25" ht="37.5" hidden="1">
      <c r="B114" s="58"/>
      <c r="C114" s="60"/>
      <c r="D114" s="52" t="s">
        <v>54</v>
      </c>
      <c r="E114" s="63"/>
      <c r="F114" s="8">
        <v>0.5</v>
      </c>
      <c r="G114" s="67" t="s">
        <v>74</v>
      </c>
      <c r="H114" s="68"/>
      <c r="I114" s="35"/>
      <c r="J114" s="9" t="str">
        <f t="shared" si="18"/>
        <v/>
      </c>
      <c r="K114" s="39"/>
      <c r="L114" s="39"/>
      <c r="M114" s="39"/>
      <c r="N114" s="39"/>
      <c r="O114" s="39"/>
      <c r="P114" s="39"/>
      <c r="Q114" s="39"/>
      <c r="R114" s="39"/>
      <c r="S114" s="10">
        <f t="shared" ref="S114:S124" si="25">SUM(K114:R114)</f>
        <v>0</v>
      </c>
      <c r="T114" s="10">
        <v>100000</v>
      </c>
      <c r="U114" s="10">
        <f t="shared" ref="U114:U115" si="26">T114*S114</f>
        <v>0</v>
      </c>
      <c r="V114" s="4"/>
      <c r="W114" s="4"/>
      <c r="X114" s="4"/>
      <c r="Y114" s="4"/>
    </row>
    <row r="115" spans="2:25" ht="37.5" hidden="1">
      <c r="B115" s="58"/>
      <c r="C115" s="60"/>
      <c r="D115" s="52" t="s">
        <v>54</v>
      </c>
      <c r="E115" s="63"/>
      <c r="F115" s="8">
        <v>0.58333333333333337</v>
      </c>
      <c r="G115" s="67" t="s">
        <v>74</v>
      </c>
      <c r="H115" s="68"/>
      <c r="I115" s="35">
        <v>10</v>
      </c>
      <c r="J115" s="9">
        <f t="shared" si="18"/>
        <v>0.5</v>
      </c>
      <c r="K115" s="39"/>
      <c r="L115" s="39"/>
      <c r="M115" s="39"/>
      <c r="N115" s="39"/>
      <c r="O115" s="39"/>
      <c r="P115" s="39"/>
      <c r="Q115" s="39">
        <v>5</v>
      </c>
      <c r="R115" s="39"/>
      <c r="S115" s="10">
        <f t="shared" si="25"/>
        <v>5</v>
      </c>
      <c r="T115" s="10">
        <v>100000</v>
      </c>
      <c r="U115" s="10">
        <f t="shared" si="26"/>
        <v>500000</v>
      </c>
      <c r="V115" s="4"/>
      <c r="W115" s="4"/>
      <c r="X115" s="4"/>
      <c r="Y115" s="4"/>
    </row>
    <row r="116" spans="2:25" ht="37.5" hidden="1">
      <c r="B116" s="58"/>
      <c r="C116" s="60"/>
      <c r="D116" s="52" t="s">
        <v>54</v>
      </c>
      <c r="E116" s="63"/>
      <c r="F116" s="8">
        <v>0.66666666666666663</v>
      </c>
      <c r="G116" s="67" t="s">
        <v>74</v>
      </c>
      <c r="H116" s="68"/>
      <c r="I116" s="35">
        <v>50</v>
      </c>
      <c r="J116" s="9">
        <f t="shared" si="18"/>
        <v>0</v>
      </c>
      <c r="K116" s="39"/>
      <c r="L116" s="39"/>
      <c r="M116" s="39"/>
      <c r="N116" s="39"/>
      <c r="O116" s="39"/>
      <c r="P116" s="39"/>
      <c r="Q116" s="39"/>
      <c r="R116" s="39"/>
      <c r="S116" s="10">
        <f t="shared" si="25"/>
        <v>0</v>
      </c>
      <c r="T116" s="10">
        <v>100000</v>
      </c>
      <c r="U116" s="10">
        <f>T116*S116</f>
        <v>0</v>
      </c>
      <c r="V116" s="4"/>
      <c r="W116" s="4"/>
      <c r="X116" s="4"/>
      <c r="Y116" s="4"/>
    </row>
    <row r="117" spans="2:25" ht="37.5" hidden="1">
      <c r="B117" s="58"/>
      <c r="C117" s="60"/>
      <c r="D117" s="52" t="s">
        <v>54</v>
      </c>
      <c r="E117" s="63"/>
      <c r="F117" s="8">
        <v>0.75</v>
      </c>
      <c r="G117" s="67" t="s">
        <v>74</v>
      </c>
      <c r="H117" s="68"/>
      <c r="I117" s="35">
        <v>60</v>
      </c>
      <c r="J117" s="9">
        <f t="shared" si="18"/>
        <v>0</v>
      </c>
      <c r="K117" s="39"/>
      <c r="L117" s="39"/>
      <c r="M117" s="39"/>
      <c r="N117" s="39"/>
      <c r="O117" s="39"/>
      <c r="P117" s="39"/>
      <c r="Q117" s="39"/>
      <c r="R117" s="39"/>
      <c r="S117" s="10">
        <f t="shared" si="25"/>
        <v>0</v>
      </c>
      <c r="T117" s="10">
        <v>100000</v>
      </c>
      <c r="U117" s="10">
        <f t="shared" ref="U117:U124" si="27">T117*S117</f>
        <v>0</v>
      </c>
      <c r="V117" s="4"/>
      <c r="W117" s="4"/>
      <c r="X117" s="11"/>
      <c r="Y117" s="4"/>
    </row>
    <row r="118" spans="2:25" ht="37.5" hidden="1">
      <c r="B118" s="58"/>
      <c r="C118" s="60"/>
      <c r="D118" s="53" t="s">
        <v>54</v>
      </c>
      <c r="E118" s="64"/>
      <c r="F118" s="12">
        <v>0.83333333333333337</v>
      </c>
      <c r="G118" s="67" t="s">
        <v>74</v>
      </c>
      <c r="H118" s="68"/>
      <c r="I118" s="36">
        <v>60</v>
      </c>
      <c r="J118" s="9">
        <f t="shared" si="18"/>
        <v>0</v>
      </c>
      <c r="K118" s="41"/>
      <c r="L118" s="41"/>
      <c r="M118" s="41"/>
      <c r="N118" s="41"/>
      <c r="O118" s="41"/>
      <c r="P118" s="41"/>
      <c r="Q118" s="41"/>
      <c r="R118" s="41"/>
      <c r="S118" s="13">
        <f t="shared" si="25"/>
        <v>0</v>
      </c>
      <c r="T118" s="13">
        <v>100000</v>
      </c>
      <c r="U118" s="13">
        <f t="shared" si="27"/>
        <v>0</v>
      </c>
      <c r="V118" s="4"/>
      <c r="Y118" s="4"/>
    </row>
    <row r="119" spans="2:25" ht="18.75" hidden="1">
      <c r="B119" s="58"/>
      <c r="C119" s="60"/>
      <c r="D119" s="51"/>
      <c r="E119" s="62" t="s">
        <v>102</v>
      </c>
      <c r="F119" s="5">
        <v>0.91666666666666663</v>
      </c>
      <c r="G119" s="65"/>
      <c r="H119" s="66"/>
      <c r="I119" s="34"/>
      <c r="J119" s="6" t="str">
        <f t="shared" si="18"/>
        <v/>
      </c>
      <c r="K119" s="38"/>
      <c r="L119" s="38"/>
      <c r="M119" s="38"/>
      <c r="N119" s="38"/>
      <c r="O119" s="38"/>
      <c r="P119" s="38"/>
      <c r="Q119" s="38"/>
      <c r="R119" s="38"/>
      <c r="S119" s="7">
        <f t="shared" si="25"/>
        <v>0</v>
      </c>
      <c r="T119" s="7">
        <v>100000</v>
      </c>
      <c r="U119" s="7">
        <f t="shared" si="27"/>
        <v>0</v>
      </c>
      <c r="V119" s="4"/>
      <c r="Y119" s="4"/>
    </row>
    <row r="120" spans="2:25" ht="18.75" hidden="1">
      <c r="B120" s="58"/>
      <c r="C120" s="60"/>
      <c r="D120" s="52"/>
      <c r="E120" s="63"/>
      <c r="F120" s="8">
        <v>1</v>
      </c>
      <c r="G120" s="67"/>
      <c r="H120" s="68"/>
      <c r="I120" s="35"/>
      <c r="J120" s="9" t="str">
        <f t="shared" si="18"/>
        <v/>
      </c>
      <c r="K120" s="39"/>
      <c r="L120" s="39"/>
      <c r="M120" s="39"/>
      <c r="N120" s="39"/>
      <c r="O120" s="39"/>
      <c r="P120" s="39"/>
      <c r="Q120" s="39"/>
      <c r="R120" s="39"/>
      <c r="S120" s="10">
        <f t="shared" si="25"/>
        <v>0</v>
      </c>
      <c r="T120" s="10">
        <v>100000</v>
      </c>
      <c r="U120" s="10">
        <f t="shared" si="27"/>
        <v>0</v>
      </c>
      <c r="V120" s="4"/>
      <c r="Y120" s="4"/>
    </row>
    <row r="121" spans="2:25" ht="18.75" hidden="1">
      <c r="B121" s="58"/>
      <c r="C121" s="60"/>
      <c r="D121" s="52"/>
      <c r="E121" s="63"/>
      <c r="F121" s="8">
        <v>8.3333333333333329E-2</v>
      </c>
      <c r="G121" s="67"/>
      <c r="H121" s="68"/>
      <c r="I121" s="35"/>
      <c r="J121" s="9" t="str">
        <f t="shared" si="18"/>
        <v/>
      </c>
      <c r="K121" s="39"/>
      <c r="L121" s="39"/>
      <c r="M121" s="39"/>
      <c r="N121" s="39"/>
      <c r="O121" s="39"/>
      <c r="P121" s="39"/>
      <c r="Q121" s="39"/>
      <c r="R121" s="39"/>
      <c r="S121" s="10">
        <f t="shared" si="25"/>
        <v>0</v>
      </c>
      <c r="T121" s="10">
        <v>100000</v>
      </c>
      <c r="U121" s="10">
        <f t="shared" si="27"/>
        <v>0</v>
      </c>
      <c r="V121" s="4"/>
      <c r="Y121" s="4"/>
    </row>
    <row r="122" spans="2:25" ht="18.75" hidden="1">
      <c r="B122" s="58"/>
      <c r="C122" s="60"/>
      <c r="D122" s="52"/>
      <c r="E122" s="63"/>
      <c r="F122" s="8">
        <v>0.16666666666666666</v>
      </c>
      <c r="G122" s="67"/>
      <c r="H122" s="68"/>
      <c r="I122" s="35"/>
      <c r="J122" s="9" t="str">
        <f t="shared" si="18"/>
        <v/>
      </c>
      <c r="K122" s="39"/>
      <c r="L122" s="39"/>
      <c r="M122" s="39"/>
      <c r="N122" s="39"/>
      <c r="O122" s="39"/>
      <c r="P122" s="39"/>
      <c r="Q122" s="39"/>
      <c r="R122" s="39"/>
      <c r="S122" s="10">
        <f t="shared" si="25"/>
        <v>0</v>
      </c>
      <c r="T122" s="10">
        <v>100000</v>
      </c>
      <c r="U122" s="10">
        <f t="shared" si="27"/>
        <v>0</v>
      </c>
      <c r="V122" s="4"/>
      <c r="W122" s="4"/>
      <c r="X122" s="4"/>
      <c r="Y122" s="4"/>
    </row>
    <row r="123" spans="2:25" ht="18.75" hidden="1">
      <c r="B123" s="58"/>
      <c r="C123" s="60"/>
      <c r="D123" s="52"/>
      <c r="E123" s="63"/>
      <c r="F123" s="8">
        <v>0.25</v>
      </c>
      <c r="G123" s="67"/>
      <c r="H123" s="68"/>
      <c r="I123" s="35"/>
      <c r="J123" s="9" t="str">
        <f t="shared" si="18"/>
        <v/>
      </c>
      <c r="K123" s="39"/>
      <c r="L123" s="39"/>
      <c r="M123" s="39"/>
      <c r="N123" s="39"/>
      <c r="O123" s="39"/>
      <c r="P123" s="39"/>
      <c r="Q123" s="39"/>
      <c r="R123" s="39"/>
      <c r="S123" s="10">
        <f t="shared" si="25"/>
        <v>0</v>
      </c>
      <c r="T123" s="10">
        <v>100000</v>
      </c>
      <c r="U123" s="10">
        <f t="shared" si="27"/>
        <v>0</v>
      </c>
      <c r="V123" s="4"/>
      <c r="Y123" s="4"/>
    </row>
    <row r="124" spans="2:25" ht="18.75" hidden="1">
      <c r="B124" s="58"/>
      <c r="C124" s="60"/>
      <c r="D124" s="53"/>
      <c r="E124" s="64"/>
      <c r="F124" s="14">
        <v>0.33333333333333331</v>
      </c>
      <c r="G124" s="67"/>
      <c r="H124" s="68"/>
      <c r="I124" s="37"/>
      <c r="J124" s="9" t="str">
        <f t="shared" si="18"/>
        <v/>
      </c>
      <c r="K124" s="40"/>
      <c r="L124" s="40"/>
      <c r="M124" s="40"/>
      <c r="N124" s="40"/>
      <c r="O124" s="40"/>
      <c r="P124" s="40"/>
      <c r="Q124" s="40"/>
      <c r="R124" s="40"/>
      <c r="S124" s="16">
        <f t="shared" si="25"/>
        <v>0</v>
      </c>
      <c r="T124" s="16">
        <v>100000</v>
      </c>
      <c r="U124" s="16">
        <f t="shared" si="27"/>
        <v>0</v>
      </c>
      <c r="V124" s="4"/>
      <c r="W124" s="4"/>
      <c r="X124" s="4"/>
      <c r="Y124" s="4"/>
    </row>
    <row r="125" spans="2:25" ht="33.75" hidden="1" customHeight="1">
      <c r="B125" s="58">
        <v>46091</v>
      </c>
      <c r="C125" s="59" t="s">
        <v>16</v>
      </c>
      <c r="D125" s="51" t="s">
        <v>53</v>
      </c>
      <c r="E125" s="62" t="s">
        <v>101</v>
      </c>
      <c r="F125" s="5">
        <v>0.41666666666666669</v>
      </c>
      <c r="G125" s="65" t="s">
        <v>78</v>
      </c>
      <c r="H125" s="66"/>
      <c r="I125" s="34">
        <v>0</v>
      </c>
      <c r="J125" s="6" t="str">
        <f t="shared" si="18"/>
        <v/>
      </c>
      <c r="K125" s="38"/>
      <c r="L125" s="38"/>
      <c r="M125" s="38"/>
      <c r="N125" s="38"/>
      <c r="O125" s="38"/>
      <c r="P125" s="38"/>
      <c r="Q125" s="38"/>
      <c r="R125" s="38"/>
      <c r="S125" s="7">
        <f>SUM(K125:R125)</f>
        <v>0</v>
      </c>
      <c r="T125" s="7">
        <v>100000</v>
      </c>
      <c r="U125" s="7">
        <f>T125*S125</f>
        <v>0</v>
      </c>
      <c r="V125" s="4"/>
      <c r="W125" s="4"/>
      <c r="X125" s="4"/>
      <c r="Y125" s="4"/>
    </row>
    <row r="126" spans="2:25" ht="37.5" hidden="1">
      <c r="B126" s="58"/>
      <c r="C126" s="60"/>
      <c r="D126" s="52" t="s">
        <v>53</v>
      </c>
      <c r="E126" s="63"/>
      <c r="F126" s="8">
        <v>0.5</v>
      </c>
      <c r="G126" s="67" t="s">
        <v>78</v>
      </c>
      <c r="H126" s="68"/>
      <c r="I126" s="35">
        <v>60</v>
      </c>
      <c r="J126" s="9">
        <f t="shared" si="18"/>
        <v>0.15</v>
      </c>
      <c r="K126" s="39"/>
      <c r="L126" s="39"/>
      <c r="M126" s="39">
        <v>1</v>
      </c>
      <c r="N126" s="39"/>
      <c r="O126" s="39"/>
      <c r="P126" s="39"/>
      <c r="Q126" s="39">
        <v>8</v>
      </c>
      <c r="R126" s="39"/>
      <c r="S126" s="10">
        <f t="shared" ref="S126:S136" si="28">SUM(K126:R126)</f>
        <v>9</v>
      </c>
      <c r="T126" s="10">
        <v>100000</v>
      </c>
      <c r="U126" s="10">
        <f t="shared" ref="U126:U127" si="29">T126*S126</f>
        <v>900000</v>
      </c>
      <c r="V126" s="4"/>
      <c r="W126" s="4"/>
      <c r="X126" s="4"/>
      <c r="Y126" s="4"/>
    </row>
    <row r="127" spans="2:25" ht="37.5" hidden="1">
      <c r="B127" s="58"/>
      <c r="C127" s="60"/>
      <c r="D127" s="52" t="s">
        <v>53</v>
      </c>
      <c r="E127" s="63"/>
      <c r="F127" s="8">
        <v>0.58333333333333337</v>
      </c>
      <c r="G127" s="67" t="s">
        <v>78</v>
      </c>
      <c r="H127" s="68"/>
      <c r="I127" s="35">
        <v>65</v>
      </c>
      <c r="J127" s="9">
        <f t="shared" si="18"/>
        <v>0</v>
      </c>
      <c r="K127" s="39"/>
      <c r="L127" s="39"/>
      <c r="M127" s="39"/>
      <c r="N127" s="39"/>
      <c r="O127" s="39"/>
      <c r="P127" s="39"/>
      <c r="Q127" s="39"/>
      <c r="R127" s="39"/>
      <c r="S127" s="10">
        <f t="shared" si="28"/>
        <v>0</v>
      </c>
      <c r="T127" s="10">
        <v>100000</v>
      </c>
      <c r="U127" s="10">
        <f t="shared" si="29"/>
        <v>0</v>
      </c>
      <c r="V127" s="4"/>
      <c r="W127" s="4"/>
      <c r="X127" s="4"/>
      <c r="Y127" s="4"/>
    </row>
    <row r="128" spans="2:25" ht="37.5" hidden="1">
      <c r="B128" s="58"/>
      <c r="C128" s="60"/>
      <c r="D128" s="52" t="s">
        <v>53</v>
      </c>
      <c r="E128" s="63"/>
      <c r="F128" s="8">
        <v>0.66666666666666663</v>
      </c>
      <c r="G128" s="67" t="s">
        <v>78</v>
      </c>
      <c r="H128" s="68"/>
      <c r="I128" s="35">
        <v>65</v>
      </c>
      <c r="J128" s="9">
        <f t="shared" si="18"/>
        <v>0</v>
      </c>
      <c r="K128" s="39"/>
      <c r="L128" s="39"/>
      <c r="M128" s="39"/>
      <c r="N128" s="39"/>
      <c r="O128" s="39"/>
      <c r="P128" s="39"/>
      <c r="Q128" s="39"/>
      <c r="R128" s="39"/>
      <c r="S128" s="10">
        <f t="shared" si="28"/>
        <v>0</v>
      </c>
      <c r="T128" s="10">
        <v>100000</v>
      </c>
      <c r="U128" s="10">
        <f>T128*S128</f>
        <v>0</v>
      </c>
      <c r="V128" s="4"/>
      <c r="W128" s="4"/>
      <c r="X128" s="4"/>
      <c r="Y128" s="4"/>
    </row>
    <row r="129" spans="2:25" ht="37.5" hidden="1">
      <c r="B129" s="58"/>
      <c r="C129" s="60"/>
      <c r="D129" s="52" t="s">
        <v>53</v>
      </c>
      <c r="E129" s="63"/>
      <c r="F129" s="8">
        <v>0.75</v>
      </c>
      <c r="G129" s="67" t="s">
        <v>78</v>
      </c>
      <c r="H129" s="68"/>
      <c r="I129" s="35">
        <v>65</v>
      </c>
      <c r="J129" s="9">
        <f t="shared" si="18"/>
        <v>0</v>
      </c>
      <c r="K129" s="39"/>
      <c r="L129" s="39"/>
      <c r="M129" s="39"/>
      <c r="N129" s="39"/>
      <c r="O129" s="39"/>
      <c r="P129" s="39"/>
      <c r="Q129" s="39"/>
      <c r="R129" s="39"/>
      <c r="S129" s="10">
        <f t="shared" si="28"/>
        <v>0</v>
      </c>
      <c r="T129" s="10">
        <v>100000</v>
      </c>
      <c r="U129" s="10">
        <f t="shared" ref="U129:U136" si="30">T129*S129</f>
        <v>0</v>
      </c>
      <c r="V129" s="4"/>
      <c r="W129" s="4"/>
      <c r="X129" s="11"/>
      <c r="Y129" s="4"/>
    </row>
    <row r="130" spans="2:25" ht="37.5" hidden="1">
      <c r="B130" s="58"/>
      <c r="C130" s="60"/>
      <c r="D130" s="53" t="s">
        <v>53</v>
      </c>
      <c r="E130" s="64"/>
      <c r="F130" s="12">
        <v>0.83333333333333337</v>
      </c>
      <c r="G130" s="67" t="s">
        <v>78</v>
      </c>
      <c r="H130" s="68"/>
      <c r="I130" s="36">
        <v>65</v>
      </c>
      <c r="J130" s="9">
        <f t="shared" si="18"/>
        <v>0</v>
      </c>
      <c r="K130" s="41"/>
      <c r="L130" s="41"/>
      <c r="M130" s="39"/>
      <c r="N130" s="41"/>
      <c r="O130" s="41"/>
      <c r="P130" s="41"/>
      <c r="Q130" s="41"/>
      <c r="R130" s="41"/>
      <c r="S130" s="13">
        <f t="shared" si="28"/>
        <v>0</v>
      </c>
      <c r="T130" s="13">
        <v>100000</v>
      </c>
      <c r="U130" s="13">
        <f t="shared" si="30"/>
        <v>0</v>
      </c>
      <c r="V130" s="4"/>
      <c r="Y130" s="4"/>
    </row>
    <row r="131" spans="2:25" ht="37.5" hidden="1">
      <c r="B131" s="58"/>
      <c r="C131" s="60"/>
      <c r="D131" s="51" t="s">
        <v>53</v>
      </c>
      <c r="E131" s="62" t="s">
        <v>102</v>
      </c>
      <c r="F131" s="5">
        <v>0.91666666666666663</v>
      </c>
      <c r="G131" s="65" t="s">
        <v>84</v>
      </c>
      <c r="H131" s="66"/>
      <c r="I131" s="34">
        <v>60</v>
      </c>
      <c r="J131" s="6">
        <f t="shared" si="18"/>
        <v>1.6666666666666666E-2</v>
      </c>
      <c r="K131" s="38">
        <v>1</v>
      </c>
      <c r="L131" s="38"/>
      <c r="M131" s="38"/>
      <c r="N131" s="38"/>
      <c r="O131" s="38"/>
      <c r="P131" s="38"/>
      <c r="Q131" s="38"/>
      <c r="R131" s="38"/>
      <c r="S131" s="7">
        <f t="shared" si="28"/>
        <v>1</v>
      </c>
      <c r="T131" s="7">
        <v>100000</v>
      </c>
      <c r="U131" s="7">
        <f t="shared" si="30"/>
        <v>100000</v>
      </c>
      <c r="V131" s="4"/>
      <c r="Y131" s="4"/>
    </row>
    <row r="132" spans="2:25" ht="37.5" hidden="1">
      <c r="B132" s="58"/>
      <c r="C132" s="60"/>
      <c r="D132" s="52" t="s">
        <v>53</v>
      </c>
      <c r="E132" s="63"/>
      <c r="F132" s="8">
        <v>1</v>
      </c>
      <c r="G132" s="67" t="s">
        <v>84</v>
      </c>
      <c r="H132" s="68"/>
      <c r="I132" s="35">
        <v>60</v>
      </c>
      <c r="J132" s="9">
        <f t="shared" si="18"/>
        <v>1.6666666666666666E-2</v>
      </c>
      <c r="K132" s="39">
        <v>1</v>
      </c>
      <c r="L132" s="39"/>
      <c r="M132" s="39"/>
      <c r="N132" s="39"/>
      <c r="O132" s="39"/>
      <c r="P132" s="39"/>
      <c r="Q132" s="39"/>
      <c r="R132" s="39"/>
      <c r="S132" s="10">
        <f t="shared" si="28"/>
        <v>1</v>
      </c>
      <c r="T132" s="10">
        <v>100000</v>
      </c>
      <c r="U132" s="10">
        <f t="shared" si="30"/>
        <v>100000</v>
      </c>
      <c r="V132" s="4"/>
      <c r="Y132" s="4"/>
    </row>
    <row r="133" spans="2:25" ht="37.5" hidden="1">
      <c r="B133" s="58"/>
      <c r="C133" s="60"/>
      <c r="D133" s="52" t="s">
        <v>53</v>
      </c>
      <c r="E133" s="63"/>
      <c r="F133" s="8">
        <v>8.3333333333333329E-2</v>
      </c>
      <c r="G133" s="67" t="s">
        <v>84</v>
      </c>
      <c r="H133" s="68"/>
      <c r="I133" s="35">
        <v>60</v>
      </c>
      <c r="J133" s="9">
        <f t="shared" si="18"/>
        <v>1.6666666666666666E-2</v>
      </c>
      <c r="K133" s="39">
        <v>1</v>
      </c>
      <c r="L133" s="39"/>
      <c r="M133" s="39"/>
      <c r="N133" s="39"/>
      <c r="O133" s="39"/>
      <c r="P133" s="39"/>
      <c r="Q133" s="39"/>
      <c r="R133" s="39"/>
      <c r="S133" s="10">
        <f t="shared" si="28"/>
        <v>1</v>
      </c>
      <c r="T133" s="10">
        <v>100000</v>
      </c>
      <c r="U133" s="10">
        <f t="shared" si="30"/>
        <v>100000</v>
      </c>
      <c r="V133" s="4"/>
      <c r="Y133" s="4"/>
    </row>
    <row r="134" spans="2:25" ht="37.5" hidden="1">
      <c r="B134" s="58"/>
      <c r="C134" s="60"/>
      <c r="D134" s="52" t="s">
        <v>53</v>
      </c>
      <c r="E134" s="63"/>
      <c r="F134" s="8">
        <v>0.16666666666666666</v>
      </c>
      <c r="G134" s="67" t="s">
        <v>84</v>
      </c>
      <c r="H134" s="68"/>
      <c r="I134" s="35">
        <v>60</v>
      </c>
      <c r="J134" s="9">
        <f t="shared" si="18"/>
        <v>1.6666666666666666E-2</v>
      </c>
      <c r="K134" s="39">
        <v>1</v>
      </c>
      <c r="L134" s="39"/>
      <c r="M134" s="39"/>
      <c r="N134" s="39"/>
      <c r="O134" s="39"/>
      <c r="P134" s="39"/>
      <c r="Q134" s="39"/>
      <c r="R134" s="39"/>
      <c r="S134" s="10">
        <f t="shared" si="28"/>
        <v>1</v>
      </c>
      <c r="T134" s="10">
        <v>100000</v>
      </c>
      <c r="U134" s="10">
        <f t="shared" si="30"/>
        <v>100000</v>
      </c>
      <c r="V134" s="4"/>
      <c r="W134" s="4"/>
      <c r="X134" s="4"/>
      <c r="Y134" s="4"/>
    </row>
    <row r="135" spans="2:25" ht="37.5" hidden="1">
      <c r="B135" s="58"/>
      <c r="C135" s="60"/>
      <c r="D135" s="52" t="s">
        <v>53</v>
      </c>
      <c r="E135" s="63"/>
      <c r="F135" s="8">
        <v>0.25</v>
      </c>
      <c r="G135" s="67" t="s">
        <v>84</v>
      </c>
      <c r="H135" s="68"/>
      <c r="I135" s="35">
        <v>60</v>
      </c>
      <c r="J135" s="9">
        <f t="shared" si="18"/>
        <v>0</v>
      </c>
      <c r="K135" s="39"/>
      <c r="L135" s="39"/>
      <c r="M135" s="39"/>
      <c r="N135" s="39"/>
      <c r="O135" s="39"/>
      <c r="P135" s="39"/>
      <c r="Q135" s="39"/>
      <c r="R135" s="39"/>
      <c r="S135" s="10">
        <f t="shared" si="28"/>
        <v>0</v>
      </c>
      <c r="T135" s="10">
        <v>100000</v>
      </c>
      <c r="U135" s="10">
        <f t="shared" si="30"/>
        <v>0</v>
      </c>
      <c r="V135" s="4"/>
      <c r="Y135" s="4"/>
    </row>
    <row r="136" spans="2:25" ht="37.5" hidden="1">
      <c r="B136" s="58"/>
      <c r="C136" s="61"/>
      <c r="D136" s="53" t="s">
        <v>53</v>
      </c>
      <c r="E136" s="64"/>
      <c r="F136" s="14">
        <v>0.33333333333333331</v>
      </c>
      <c r="G136" s="67" t="s">
        <v>84</v>
      </c>
      <c r="H136" s="68"/>
      <c r="I136" s="37">
        <v>60</v>
      </c>
      <c r="J136" s="15">
        <f t="shared" si="18"/>
        <v>0</v>
      </c>
      <c r="K136" s="40"/>
      <c r="L136" s="40"/>
      <c r="M136" s="40"/>
      <c r="N136" s="40"/>
      <c r="O136" s="40"/>
      <c r="P136" s="40"/>
      <c r="Q136" s="40"/>
      <c r="R136" s="40"/>
      <c r="S136" s="16">
        <f t="shared" si="28"/>
        <v>0</v>
      </c>
      <c r="T136" s="16">
        <v>100000</v>
      </c>
      <c r="U136" s="16">
        <f t="shared" si="30"/>
        <v>0</v>
      </c>
      <c r="V136" s="4"/>
      <c r="W136" s="4"/>
      <c r="X136" s="4"/>
      <c r="Y136" s="4"/>
    </row>
    <row r="137" spans="2:25" ht="16.5" hidden="1" customHeight="1">
      <c r="B137" s="58">
        <v>46092</v>
      </c>
      <c r="C137" s="59" t="s">
        <v>16</v>
      </c>
      <c r="D137" s="51"/>
      <c r="E137" s="62" t="s">
        <v>101</v>
      </c>
      <c r="F137" s="5">
        <v>0.41666666666666669</v>
      </c>
      <c r="G137" s="65"/>
      <c r="H137" s="66"/>
      <c r="I137" s="34"/>
      <c r="J137" s="6" t="str">
        <f t="shared" ref="J137:J148" si="31">IFERROR(S137/I137,"")</f>
        <v/>
      </c>
      <c r="K137" s="38"/>
      <c r="L137" s="38"/>
      <c r="M137" s="38"/>
      <c r="N137" s="38"/>
      <c r="O137" s="38"/>
      <c r="P137" s="38"/>
      <c r="Q137" s="38"/>
      <c r="R137" s="38"/>
      <c r="S137" s="7">
        <f>SUM(K137:R137)</f>
        <v>0</v>
      </c>
      <c r="T137" s="7">
        <v>100000</v>
      </c>
      <c r="U137" s="7">
        <f>T137*S137</f>
        <v>0</v>
      </c>
      <c r="V137" s="4"/>
      <c r="W137" s="4"/>
      <c r="X137" s="4"/>
      <c r="Y137" s="4"/>
    </row>
    <row r="138" spans="2:25" ht="18.75" hidden="1">
      <c r="B138" s="58"/>
      <c r="C138" s="60"/>
      <c r="D138" s="52"/>
      <c r="E138" s="63"/>
      <c r="F138" s="8">
        <v>0.5</v>
      </c>
      <c r="G138" s="67"/>
      <c r="H138" s="68"/>
      <c r="I138" s="35"/>
      <c r="J138" s="9" t="str">
        <f t="shared" si="31"/>
        <v/>
      </c>
      <c r="K138" s="39"/>
      <c r="L138" s="39"/>
      <c r="M138" s="39"/>
      <c r="N138" s="39"/>
      <c r="O138" s="39"/>
      <c r="P138" s="39"/>
      <c r="Q138" s="39"/>
      <c r="R138" s="39"/>
      <c r="S138" s="10">
        <f t="shared" ref="S138:S148" si="32">SUM(K138:R138)</f>
        <v>0</v>
      </c>
      <c r="T138" s="10">
        <v>100000</v>
      </c>
      <c r="U138" s="10">
        <f t="shared" ref="U138:U139" si="33">T138*S138</f>
        <v>0</v>
      </c>
      <c r="V138" s="4"/>
      <c r="W138" s="4"/>
      <c r="X138" s="4"/>
      <c r="Y138" s="4"/>
    </row>
    <row r="139" spans="2:25" ht="18.75" hidden="1">
      <c r="B139" s="58"/>
      <c r="C139" s="60"/>
      <c r="D139" s="52"/>
      <c r="E139" s="63"/>
      <c r="F139" s="8">
        <v>0.58333333333333337</v>
      </c>
      <c r="G139" s="67"/>
      <c r="H139" s="68"/>
      <c r="I139" s="35"/>
      <c r="J139" s="9" t="str">
        <f t="shared" si="31"/>
        <v/>
      </c>
      <c r="K139" s="39"/>
      <c r="L139" s="39"/>
      <c r="M139" s="39"/>
      <c r="N139" s="39"/>
      <c r="O139" s="39"/>
      <c r="P139" s="39"/>
      <c r="Q139" s="39"/>
      <c r="R139" s="39"/>
      <c r="S139" s="10">
        <f t="shared" si="32"/>
        <v>0</v>
      </c>
      <c r="T139" s="10">
        <v>100000</v>
      </c>
      <c r="U139" s="10">
        <f t="shared" si="33"/>
        <v>0</v>
      </c>
      <c r="V139" s="4"/>
      <c r="W139" s="4"/>
      <c r="X139" s="4"/>
      <c r="Y139" s="4"/>
    </row>
    <row r="140" spans="2:25" ht="18.75" hidden="1">
      <c r="B140" s="58"/>
      <c r="C140" s="60"/>
      <c r="D140" s="52"/>
      <c r="E140" s="63"/>
      <c r="F140" s="8">
        <v>0.66666666666666663</v>
      </c>
      <c r="G140" s="67"/>
      <c r="H140" s="68"/>
      <c r="I140" s="35"/>
      <c r="J140" s="9" t="str">
        <f t="shared" si="31"/>
        <v/>
      </c>
      <c r="K140" s="39"/>
      <c r="L140" s="39"/>
      <c r="M140" s="39"/>
      <c r="N140" s="39"/>
      <c r="O140" s="39"/>
      <c r="P140" s="39"/>
      <c r="Q140" s="39"/>
      <c r="R140" s="39"/>
      <c r="S140" s="10">
        <f t="shared" si="32"/>
        <v>0</v>
      </c>
      <c r="T140" s="10">
        <v>100000</v>
      </c>
      <c r="U140" s="10">
        <f>T140*S140</f>
        <v>0</v>
      </c>
      <c r="V140" s="4"/>
      <c r="W140" s="4"/>
      <c r="X140" s="4"/>
      <c r="Y140" s="4"/>
    </row>
    <row r="141" spans="2:25" ht="18.75" hidden="1">
      <c r="B141" s="58"/>
      <c r="C141" s="60"/>
      <c r="D141" s="52"/>
      <c r="E141" s="63"/>
      <c r="F141" s="8">
        <v>0.75</v>
      </c>
      <c r="G141" s="67"/>
      <c r="H141" s="68"/>
      <c r="I141" s="35"/>
      <c r="J141" s="9" t="str">
        <f t="shared" si="31"/>
        <v/>
      </c>
      <c r="K141" s="39"/>
      <c r="L141" s="39"/>
      <c r="M141" s="39"/>
      <c r="N141" s="39"/>
      <c r="O141" s="39"/>
      <c r="P141" s="39"/>
      <c r="Q141" s="39"/>
      <c r="R141" s="39"/>
      <c r="S141" s="10">
        <f t="shared" si="32"/>
        <v>0</v>
      </c>
      <c r="T141" s="10">
        <v>100000</v>
      </c>
      <c r="U141" s="10">
        <f t="shared" ref="U141:U148" si="34">T141*S141</f>
        <v>0</v>
      </c>
      <c r="V141" s="4"/>
      <c r="W141" s="4"/>
      <c r="X141" s="11"/>
      <c r="Y141" s="4"/>
    </row>
    <row r="142" spans="2:25" ht="18.75" hidden="1">
      <c r="B142" s="58"/>
      <c r="C142" s="60"/>
      <c r="D142" s="53"/>
      <c r="E142" s="64"/>
      <c r="F142" s="12">
        <v>0.83333333333333337</v>
      </c>
      <c r="G142" s="67"/>
      <c r="H142" s="68"/>
      <c r="I142" s="36"/>
      <c r="J142" s="9" t="str">
        <f t="shared" si="31"/>
        <v/>
      </c>
      <c r="K142" s="41"/>
      <c r="L142" s="41"/>
      <c r="M142" s="39"/>
      <c r="N142" s="41"/>
      <c r="O142" s="41"/>
      <c r="P142" s="41"/>
      <c r="Q142" s="41"/>
      <c r="R142" s="41"/>
      <c r="S142" s="13">
        <f t="shared" si="32"/>
        <v>0</v>
      </c>
      <c r="T142" s="13">
        <v>100000</v>
      </c>
      <c r="U142" s="13">
        <f t="shared" si="34"/>
        <v>0</v>
      </c>
      <c r="V142" s="4"/>
      <c r="Y142" s="4"/>
    </row>
    <row r="143" spans="2:25" ht="37.5" hidden="1">
      <c r="B143" s="58"/>
      <c r="C143" s="60"/>
      <c r="D143" s="51" t="s">
        <v>53</v>
      </c>
      <c r="E143" s="62" t="s">
        <v>102</v>
      </c>
      <c r="F143" s="5">
        <v>0.91666666666666663</v>
      </c>
      <c r="G143" s="65" t="s">
        <v>84</v>
      </c>
      <c r="H143" s="66"/>
      <c r="I143" s="34">
        <v>60</v>
      </c>
      <c r="J143" s="6">
        <f t="shared" si="31"/>
        <v>1.6666666666666666E-2</v>
      </c>
      <c r="K143" s="38">
        <v>1</v>
      </c>
      <c r="L143" s="38"/>
      <c r="M143" s="38"/>
      <c r="N143" s="38"/>
      <c r="O143" s="38"/>
      <c r="P143" s="38"/>
      <c r="Q143" s="38"/>
      <c r="R143" s="38"/>
      <c r="S143" s="7">
        <f t="shared" si="32"/>
        <v>1</v>
      </c>
      <c r="T143" s="7">
        <v>100000</v>
      </c>
      <c r="U143" s="7">
        <f t="shared" si="34"/>
        <v>100000</v>
      </c>
      <c r="V143" s="4"/>
      <c r="Y143" s="4"/>
    </row>
    <row r="144" spans="2:25" ht="37.5" hidden="1">
      <c r="B144" s="58"/>
      <c r="C144" s="60"/>
      <c r="D144" s="52" t="s">
        <v>53</v>
      </c>
      <c r="E144" s="63"/>
      <c r="F144" s="8">
        <v>1</v>
      </c>
      <c r="G144" s="67" t="s">
        <v>84</v>
      </c>
      <c r="H144" s="68"/>
      <c r="I144" s="35">
        <v>60</v>
      </c>
      <c r="J144" s="9">
        <f t="shared" si="31"/>
        <v>1.6666666666666666E-2</v>
      </c>
      <c r="K144" s="39"/>
      <c r="L144" s="39"/>
      <c r="M144" s="39">
        <v>1</v>
      </c>
      <c r="N144" s="39"/>
      <c r="O144" s="39"/>
      <c r="P144" s="39"/>
      <c r="Q144" s="39"/>
      <c r="R144" s="39"/>
      <c r="S144" s="10">
        <f t="shared" si="32"/>
        <v>1</v>
      </c>
      <c r="T144" s="10">
        <v>100000</v>
      </c>
      <c r="U144" s="10">
        <f t="shared" si="34"/>
        <v>100000</v>
      </c>
      <c r="V144" s="4"/>
      <c r="Y144" s="4"/>
    </row>
    <row r="145" spans="2:25" ht="37.5" hidden="1">
      <c r="B145" s="58"/>
      <c r="C145" s="60"/>
      <c r="D145" s="52" t="s">
        <v>53</v>
      </c>
      <c r="E145" s="63"/>
      <c r="F145" s="8">
        <v>8.3333333333333329E-2</v>
      </c>
      <c r="G145" s="67" t="s">
        <v>84</v>
      </c>
      <c r="H145" s="68"/>
      <c r="I145" s="35">
        <v>60</v>
      </c>
      <c r="J145" s="9">
        <f t="shared" si="31"/>
        <v>0</v>
      </c>
      <c r="K145" s="39"/>
      <c r="L145" s="39"/>
      <c r="M145" s="39"/>
      <c r="N145" s="39"/>
      <c r="O145" s="39"/>
      <c r="P145" s="39"/>
      <c r="Q145" s="39"/>
      <c r="R145" s="39"/>
      <c r="S145" s="10">
        <f t="shared" si="32"/>
        <v>0</v>
      </c>
      <c r="T145" s="10">
        <v>100000</v>
      </c>
      <c r="U145" s="10">
        <f t="shared" si="34"/>
        <v>0</v>
      </c>
      <c r="V145" s="4"/>
      <c r="Y145" s="4"/>
    </row>
    <row r="146" spans="2:25" ht="37.5" hidden="1">
      <c r="B146" s="58"/>
      <c r="C146" s="60"/>
      <c r="D146" s="52" t="s">
        <v>53</v>
      </c>
      <c r="E146" s="63"/>
      <c r="F146" s="8">
        <v>0.16666666666666666</v>
      </c>
      <c r="G146" s="67" t="s">
        <v>84</v>
      </c>
      <c r="H146" s="68"/>
      <c r="I146" s="35">
        <v>60</v>
      </c>
      <c r="J146" s="9">
        <f t="shared" si="31"/>
        <v>0</v>
      </c>
      <c r="K146" s="39"/>
      <c r="L146" s="39"/>
      <c r="M146" s="39"/>
      <c r="N146" s="39"/>
      <c r="O146" s="39"/>
      <c r="P146" s="39"/>
      <c r="Q146" s="39"/>
      <c r="R146" s="39"/>
      <c r="S146" s="10">
        <f t="shared" si="32"/>
        <v>0</v>
      </c>
      <c r="T146" s="10">
        <v>100000</v>
      </c>
      <c r="U146" s="10">
        <f t="shared" si="34"/>
        <v>0</v>
      </c>
      <c r="V146" s="4"/>
      <c r="W146" s="4"/>
      <c r="X146" s="4"/>
      <c r="Y146" s="4"/>
    </row>
    <row r="147" spans="2:25" ht="37.5" hidden="1">
      <c r="B147" s="58"/>
      <c r="C147" s="60"/>
      <c r="D147" s="52" t="s">
        <v>53</v>
      </c>
      <c r="E147" s="63"/>
      <c r="F147" s="8">
        <v>0.25</v>
      </c>
      <c r="G147" s="67" t="s">
        <v>84</v>
      </c>
      <c r="H147" s="68"/>
      <c r="I147" s="35">
        <v>60</v>
      </c>
      <c r="J147" s="9">
        <f t="shared" si="31"/>
        <v>0</v>
      </c>
      <c r="K147" s="39"/>
      <c r="L147" s="39"/>
      <c r="M147" s="39"/>
      <c r="N147" s="39"/>
      <c r="O147" s="39"/>
      <c r="P147" s="39"/>
      <c r="Q147" s="39"/>
      <c r="R147" s="39"/>
      <c r="S147" s="10">
        <f t="shared" si="32"/>
        <v>0</v>
      </c>
      <c r="T147" s="10">
        <v>100000</v>
      </c>
      <c r="U147" s="10">
        <f t="shared" si="34"/>
        <v>0</v>
      </c>
      <c r="V147" s="4"/>
      <c r="Y147" s="4"/>
    </row>
    <row r="148" spans="2:25" ht="37.5" hidden="1">
      <c r="B148" s="58"/>
      <c r="C148" s="61"/>
      <c r="D148" s="53" t="s">
        <v>53</v>
      </c>
      <c r="E148" s="69"/>
      <c r="F148" s="14">
        <v>0.33333333333333331</v>
      </c>
      <c r="G148" s="67" t="s">
        <v>84</v>
      </c>
      <c r="H148" s="68"/>
      <c r="I148" s="37">
        <v>0</v>
      </c>
      <c r="J148" s="15" t="str">
        <f t="shared" si="31"/>
        <v/>
      </c>
      <c r="K148" s="40"/>
      <c r="L148" s="40"/>
      <c r="M148" s="40"/>
      <c r="N148" s="40"/>
      <c r="O148" s="40"/>
      <c r="P148" s="40"/>
      <c r="Q148" s="40"/>
      <c r="R148" s="40"/>
      <c r="S148" s="16">
        <f t="shared" si="32"/>
        <v>0</v>
      </c>
      <c r="T148" s="16">
        <v>100000</v>
      </c>
      <c r="U148" s="16">
        <f t="shared" si="34"/>
        <v>0</v>
      </c>
      <c r="V148" s="4"/>
      <c r="W148" s="4"/>
      <c r="X148" s="4"/>
      <c r="Y148" s="4"/>
    </row>
    <row r="149" spans="2:25" ht="32.25" hidden="1" customHeight="1">
      <c r="B149" s="58">
        <v>46093</v>
      </c>
      <c r="C149" s="59" t="s">
        <v>16</v>
      </c>
      <c r="D149" s="51" t="s">
        <v>47</v>
      </c>
      <c r="E149" s="62" t="s">
        <v>101</v>
      </c>
      <c r="F149" s="5">
        <v>0.41666666666666669</v>
      </c>
      <c r="G149" s="65" t="s">
        <v>74</v>
      </c>
      <c r="H149" s="66"/>
      <c r="I149" s="34">
        <v>58</v>
      </c>
      <c r="J149" s="6">
        <f t="shared" ref="J149:J160" si="35">IFERROR(S149/I149,"")</f>
        <v>0</v>
      </c>
      <c r="K149" s="38"/>
      <c r="L149" s="38"/>
      <c r="M149" s="38"/>
      <c r="N149" s="38"/>
      <c r="O149" s="38"/>
      <c r="P149" s="38"/>
      <c r="Q149" s="38"/>
      <c r="R149" s="38"/>
      <c r="S149" s="7">
        <f>SUM(K149:R149)</f>
        <v>0</v>
      </c>
      <c r="T149" s="7">
        <v>100000</v>
      </c>
      <c r="U149" s="7">
        <f>T149*S149</f>
        <v>0</v>
      </c>
      <c r="V149" s="4"/>
      <c r="W149" s="4"/>
      <c r="X149" s="4"/>
      <c r="Y149" s="4"/>
    </row>
    <row r="150" spans="2:25" ht="37.5" hidden="1">
      <c r="B150" s="58"/>
      <c r="C150" s="60"/>
      <c r="D150" s="52" t="s">
        <v>47</v>
      </c>
      <c r="E150" s="63"/>
      <c r="F150" s="8">
        <v>0.5</v>
      </c>
      <c r="G150" s="67" t="s">
        <v>74</v>
      </c>
      <c r="H150" s="68"/>
      <c r="I150" s="35">
        <v>41</v>
      </c>
      <c r="J150" s="9">
        <f t="shared" si="35"/>
        <v>0.12195121951219512</v>
      </c>
      <c r="K150" s="39"/>
      <c r="L150" s="39"/>
      <c r="M150" s="39"/>
      <c r="N150" s="39"/>
      <c r="O150" s="39"/>
      <c r="P150" s="39"/>
      <c r="Q150" s="39"/>
      <c r="R150" s="39">
        <v>5</v>
      </c>
      <c r="S150" s="10">
        <f t="shared" ref="S150:S160" si="36">SUM(K150:R150)</f>
        <v>5</v>
      </c>
      <c r="T150" s="10">
        <v>100000</v>
      </c>
      <c r="U150" s="10">
        <f t="shared" ref="U150:U151" si="37">T150*S150</f>
        <v>500000</v>
      </c>
      <c r="V150" s="4"/>
      <c r="W150" s="4"/>
      <c r="X150" s="4"/>
      <c r="Y150" s="4"/>
    </row>
    <row r="151" spans="2:25" ht="37.5" hidden="1">
      <c r="B151" s="58"/>
      <c r="C151" s="60"/>
      <c r="D151" s="52" t="s">
        <v>47</v>
      </c>
      <c r="E151" s="63"/>
      <c r="F151" s="8">
        <v>0.58333333333333337</v>
      </c>
      <c r="G151" s="67" t="s">
        <v>74</v>
      </c>
      <c r="H151" s="68"/>
      <c r="I151" s="35">
        <v>38</v>
      </c>
      <c r="J151" s="9">
        <f t="shared" si="35"/>
        <v>0.21052631578947367</v>
      </c>
      <c r="K151" s="39"/>
      <c r="L151" s="39"/>
      <c r="M151" s="39"/>
      <c r="N151" s="39"/>
      <c r="O151" s="39"/>
      <c r="P151" s="39"/>
      <c r="Q151" s="39">
        <v>8</v>
      </c>
      <c r="R151" s="39"/>
      <c r="S151" s="10">
        <f t="shared" si="36"/>
        <v>8</v>
      </c>
      <c r="T151" s="10">
        <v>100000</v>
      </c>
      <c r="U151" s="10">
        <f t="shared" si="37"/>
        <v>800000</v>
      </c>
      <c r="V151" s="4"/>
      <c r="W151" s="4"/>
      <c r="X151" s="4"/>
      <c r="Y151" s="4"/>
    </row>
    <row r="152" spans="2:25" ht="37.5" hidden="1">
      <c r="B152" s="58"/>
      <c r="C152" s="60"/>
      <c r="D152" s="52" t="s">
        <v>47</v>
      </c>
      <c r="E152" s="63"/>
      <c r="F152" s="8">
        <v>0.66666666666666663</v>
      </c>
      <c r="G152" s="67" t="s">
        <v>74</v>
      </c>
      <c r="H152" s="68"/>
      <c r="I152" s="35">
        <v>59</v>
      </c>
      <c r="J152" s="9">
        <f t="shared" si="35"/>
        <v>0</v>
      </c>
      <c r="K152" s="39"/>
      <c r="L152" s="39"/>
      <c r="M152" s="39"/>
      <c r="N152" s="39"/>
      <c r="O152" s="39"/>
      <c r="P152" s="39"/>
      <c r="Q152" s="39"/>
      <c r="R152" s="39"/>
      <c r="S152" s="10">
        <f t="shared" si="36"/>
        <v>0</v>
      </c>
      <c r="T152" s="10">
        <v>100000</v>
      </c>
      <c r="U152" s="10">
        <f>T152*S152</f>
        <v>0</v>
      </c>
      <c r="V152" s="4"/>
      <c r="W152" s="4"/>
      <c r="X152" s="4"/>
      <c r="Y152" s="4"/>
    </row>
    <row r="153" spans="2:25" ht="37.5" hidden="1">
      <c r="B153" s="58"/>
      <c r="C153" s="60"/>
      <c r="D153" s="52" t="s">
        <v>47</v>
      </c>
      <c r="E153" s="63"/>
      <c r="F153" s="8">
        <v>0.75</v>
      </c>
      <c r="G153" s="67" t="s">
        <v>74</v>
      </c>
      <c r="H153" s="68"/>
      <c r="I153" s="35">
        <v>34</v>
      </c>
      <c r="J153" s="9">
        <f t="shared" si="35"/>
        <v>8.8235294117647065E-2</v>
      </c>
      <c r="K153" s="39"/>
      <c r="L153" s="39"/>
      <c r="M153" s="39"/>
      <c r="N153" s="39"/>
      <c r="O153" s="39"/>
      <c r="P153" s="39"/>
      <c r="Q153" s="39">
        <v>3</v>
      </c>
      <c r="R153" s="39"/>
      <c r="S153" s="10">
        <f t="shared" si="36"/>
        <v>3</v>
      </c>
      <c r="T153" s="10">
        <v>100000</v>
      </c>
      <c r="U153" s="10">
        <f t="shared" ref="U153:U160" si="38">T153*S153</f>
        <v>300000</v>
      </c>
      <c r="V153" s="4"/>
      <c r="W153" s="4"/>
      <c r="X153" s="11"/>
      <c r="Y153" s="4"/>
    </row>
    <row r="154" spans="2:25" ht="37.5" hidden="1">
      <c r="B154" s="58"/>
      <c r="C154" s="60"/>
      <c r="D154" s="53" t="s">
        <v>47</v>
      </c>
      <c r="E154" s="64"/>
      <c r="F154" s="12">
        <v>0.83333333333333337</v>
      </c>
      <c r="G154" s="67" t="s">
        <v>74</v>
      </c>
      <c r="H154" s="68"/>
      <c r="I154" s="36">
        <v>50</v>
      </c>
      <c r="J154" s="9">
        <f t="shared" si="35"/>
        <v>0.1</v>
      </c>
      <c r="K154" s="41"/>
      <c r="L154" s="41"/>
      <c r="M154" s="39"/>
      <c r="N154" s="41"/>
      <c r="O154" s="41"/>
      <c r="P154" s="41"/>
      <c r="Q154" s="41"/>
      <c r="R154" s="41">
        <v>5</v>
      </c>
      <c r="S154" s="13">
        <f t="shared" si="36"/>
        <v>5</v>
      </c>
      <c r="T154" s="13">
        <v>100000</v>
      </c>
      <c r="U154" s="13">
        <f t="shared" si="38"/>
        <v>500000</v>
      </c>
      <c r="V154" s="4"/>
      <c r="Y154" s="4"/>
    </row>
    <row r="155" spans="2:25" ht="37.5" hidden="1">
      <c r="B155" s="58"/>
      <c r="C155" s="60"/>
      <c r="D155" s="51" t="s">
        <v>47</v>
      </c>
      <c r="E155" s="62" t="s">
        <v>102</v>
      </c>
      <c r="F155" s="5">
        <v>0.91666666666666663</v>
      </c>
      <c r="G155" s="65" t="s">
        <v>84</v>
      </c>
      <c r="H155" s="66"/>
      <c r="I155" s="34">
        <v>63</v>
      </c>
      <c r="J155" s="6">
        <f t="shared" si="35"/>
        <v>3.1746031746031744E-2</v>
      </c>
      <c r="K155" s="38">
        <v>2</v>
      </c>
      <c r="L155" s="38"/>
      <c r="M155" s="38"/>
      <c r="N155" s="38"/>
      <c r="O155" s="38"/>
      <c r="P155" s="38"/>
      <c r="Q155" s="38"/>
      <c r="R155" s="38"/>
      <c r="S155" s="7">
        <f t="shared" si="36"/>
        <v>2</v>
      </c>
      <c r="T155" s="7">
        <v>100000</v>
      </c>
      <c r="U155" s="7">
        <f t="shared" si="38"/>
        <v>200000</v>
      </c>
      <c r="V155" s="4"/>
      <c r="Y155" s="4"/>
    </row>
    <row r="156" spans="2:25" ht="37.5" hidden="1">
      <c r="B156" s="58"/>
      <c r="C156" s="60"/>
      <c r="D156" s="52" t="s">
        <v>47</v>
      </c>
      <c r="E156" s="63"/>
      <c r="F156" s="8">
        <v>1</v>
      </c>
      <c r="G156" s="67" t="s">
        <v>84</v>
      </c>
      <c r="H156" s="68"/>
      <c r="I156" s="35">
        <v>30</v>
      </c>
      <c r="J156" s="9">
        <f t="shared" si="35"/>
        <v>6.6666666666666666E-2</v>
      </c>
      <c r="K156" s="39">
        <v>2</v>
      </c>
      <c r="L156" s="39"/>
      <c r="M156" s="39"/>
      <c r="N156" s="39"/>
      <c r="O156" s="39"/>
      <c r="P156" s="39"/>
      <c r="Q156" s="39"/>
      <c r="R156" s="39"/>
      <c r="S156" s="10">
        <f t="shared" si="36"/>
        <v>2</v>
      </c>
      <c r="T156" s="10">
        <v>100000</v>
      </c>
      <c r="U156" s="10">
        <f t="shared" si="38"/>
        <v>200000</v>
      </c>
      <c r="V156" s="4"/>
      <c r="Y156" s="4"/>
    </row>
    <row r="157" spans="2:25" ht="37.5" hidden="1">
      <c r="B157" s="58"/>
      <c r="C157" s="60"/>
      <c r="D157" s="52" t="s">
        <v>47</v>
      </c>
      <c r="E157" s="63"/>
      <c r="F157" s="8">
        <v>8.3333333333333329E-2</v>
      </c>
      <c r="G157" s="67" t="s">
        <v>84</v>
      </c>
      <c r="H157" s="68"/>
      <c r="I157" s="35">
        <v>30</v>
      </c>
      <c r="J157" s="9">
        <f t="shared" si="35"/>
        <v>6.6666666666666666E-2</v>
      </c>
      <c r="K157" s="39">
        <v>2</v>
      </c>
      <c r="L157" s="39"/>
      <c r="M157" s="39"/>
      <c r="N157" s="39"/>
      <c r="O157" s="39"/>
      <c r="P157" s="39"/>
      <c r="Q157" s="39"/>
      <c r="R157" s="39"/>
      <c r="S157" s="10">
        <f t="shared" si="36"/>
        <v>2</v>
      </c>
      <c r="T157" s="10">
        <v>100000</v>
      </c>
      <c r="U157" s="10">
        <f t="shared" si="38"/>
        <v>200000</v>
      </c>
      <c r="V157" s="4"/>
      <c r="Y157" s="4"/>
    </row>
    <row r="158" spans="2:25" ht="37.5" hidden="1">
      <c r="B158" s="58"/>
      <c r="C158" s="60"/>
      <c r="D158" s="52" t="s">
        <v>47</v>
      </c>
      <c r="E158" s="63"/>
      <c r="F158" s="8">
        <v>0.16666666666666666</v>
      </c>
      <c r="G158" s="67" t="s">
        <v>84</v>
      </c>
      <c r="H158" s="68"/>
      <c r="I158" s="35">
        <v>63</v>
      </c>
      <c r="J158" s="9">
        <f t="shared" si="35"/>
        <v>3.1746031746031744E-2</v>
      </c>
      <c r="K158" s="39">
        <v>2</v>
      </c>
      <c r="L158" s="39"/>
      <c r="M158" s="39"/>
      <c r="N158" s="39"/>
      <c r="O158" s="39"/>
      <c r="P158" s="39"/>
      <c r="Q158" s="39"/>
      <c r="R158" s="39"/>
      <c r="S158" s="10">
        <f t="shared" si="36"/>
        <v>2</v>
      </c>
      <c r="T158" s="10">
        <v>100000</v>
      </c>
      <c r="U158" s="10">
        <f t="shared" si="38"/>
        <v>200000</v>
      </c>
      <c r="V158" s="4"/>
      <c r="W158" s="4"/>
      <c r="X158" s="4"/>
      <c r="Y158" s="4"/>
    </row>
    <row r="159" spans="2:25" ht="37.5" hidden="1">
      <c r="B159" s="58"/>
      <c r="C159" s="60"/>
      <c r="D159" s="52" t="s">
        <v>47</v>
      </c>
      <c r="E159" s="63"/>
      <c r="F159" s="8">
        <v>0.25</v>
      </c>
      <c r="G159" s="67" t="s">
        <v>84</v>
      </c>
      <c r="H159" s="68"/>
      <c r="I159" s="35">
        <v>50</v>
      </c>
      <c r="J159" s="9">
        <f t="shared" si="35"/>
        <v>0.04</v>
      </c>
      <c r="K159" s="39">
        <v>2</v>
      </c>
      <c r="L159" s="39"/>
      <c r="M159" s="39"/>
      <c r="N159" s="39"/>
      <c r="O159" s="39"/>
      <c r="P159" s="39"/>
      <c r="Q159" s="39"/>
      <c r="R159" s="39"/>
      <c r="S159" s="10">
        <f t="shared" si="36"/>
        <v>2</v>
      </c>
      <c r="T159" s="10">
        <v>100000</v>
      </c>
      <c r="U159" s="10">
        <f t="shared" si="38"/>
        <v>200000</v>
      </c>
      <c r="V159" s="4"/>
      <c r="Y159" s="4"/>
    </row>
    <row r="160" spans="2:25" ht="37.5" hidden="1">
      <c r="B160" s="58"/>
      <c r="C160" s="61"/>
      <c r="D160" s="53" t="s">
        <v>47</v>
      </c>
      <c r="E160" s="69"/>
      <c r="F160" s="14">
        <v>0.33333333333333331</v>
      </c>
      <c r="G160" s="67" t="s">
        <v>84</v>
      </c>
      <c r="H160" s="68"/>
      <c r="I160" s="37">
        <v>64</v>
      </c>
      <c r="J160" s="15">
        <f t="shared" si="35"/>
        <v>1.5625E-2</v>
      </c>
      <c r="K160" s="40">
        <v>1</v>
      </c>
      <c r="L160" s="40"/>
      <c r="M160" s="40"/>
      <c r="N160" s="40"/>
      <c r="O160" s="40"/>
      <c r="P160" s="40"/>
      <c r="Q160" s="40"/>
      <c r="R160" s="40"/>
      <c r="S160" s="16">
        <f t="shared" si="36"/>
        <v>1</v>
      </c>
      <c r="T160" s="16">
        <v>100000</v>
      </c>
      <c r="U160" s="16">
        <f t="shared" si="38"/>
        <v>100000</v>
      </c>
      <c r="V160" s="4"/>
      <c r="W160" s="4"/>
      <c r="X160" s="4"/>
      <c r="Y160" s="4"/>
    </row>
    <row r="161" spans="2:25" ht="39.75" hidden="1" customHeight="1">
      <c r="B161" s="58">
        <v>46094</v>
      </c>
      <c r="C161" s="59" t="s">
        <v>16</v>
      </c>
      <c r="D161" s="51" t="s">
        <v>47</v>
      </c>
      <c r="E161" s="62" t="s">
        <v>101</v>
      </c>
      <c r="F161" s="5">
        <v>0.41666666666666669</v>
      </c>
      <c r="G161" s="65" t="s">
        <v>79</v>
      </c>
      <c r="H161" s="66"/>
      <c r="I161" s="34">
        <v>45</v>
      </c>
      <c r="J161" s="6">
        <f t="shared" ref="J161:J184" si="39">IFERROR(S161/I161,"")</f>
        <v>0.15555555555555556</v>
      </c>
      <c r="K161" s="38"/>
      <c r="L161" s="38"/>
      <c r="M161" s="38"/>
      <c r="N161" s="38"/>
      <c r="O161" s="38"/>
      <c r="P161" s="38"/>
      <c r="Q161" s="38">
        <v>5</v>
      </c>
      <c r="R161" s="38">
        <v>2</v>
      </c>
      <c r="S161" s="7">
        <f>SUM(K161:R161)</f>
        <v>7</v>
      </c>
      <c r="T161" s="7">
        <v>100000</v>
      </c>
      <c r="U161" s="7">
        <f>T161*S161</f>
        <v>700000</v>
      </c>
      <c r="V161" s="4"/>
      <c r="W161" s="4"/>
      <c r="X161" s="4"/>
      <c r="Y161" s="4"/>
    </row>
    <row r="162" spans="2:25" ht="37.5" hidden="1">
      <c r="B162" s="58"/>
      <c r="C162" s="60"/>
      <c r="D162" s="52" t="s">
        <v>47</v>
      </c>
      <c r="E162" s="63"/>
      <c r="F162" s="8">
        <v>0.5</v>
      </c>
      <c r="G162" s="67" t="s">
        <v>79</v>
      </c>
      <c r="H162" s="68"/>
      <c r="I162" s="35">
        <v>30</v>
      </c>
      <c r="J162" s="9">
        <f t="shared" si="39"/>
        <v>0</v>
      </c>
      <c r="K162" s="39"/>
      <c r="L162" s="39"/>
      <c r="M162" s="39"/>
      <c r="N162" s="39"/>
      <c r="O162" s="39"/>
      <c r="P162" s="39"/>
      <c r="Q162" s="39"/>
      <c r="R162" s="39"/>
      <c r="S162" s="10">
        <f t="shared" ref="S162:S172" si="40">SUM(K162:R162)</f>
        <v>0</v>
      </c>
      <c r="T162" s="10">
        <v>100000</v>
      </c>
      <c r="U162" s="10">
        <f t="shared" ref="U162:U163" si="41">T162*S162</f>
        <v>0</v>
      </c>
      <c r="V162" s="4"/>
      <c r="W162" s="4"/>
      <c r="X162" s="4"/>
      <c r="Y162" s="4"/>
    </row>
    <row r="163" spans="2:25" ht="37.5" hidden="1">
      <c r="B163" s="58"/>
      <c r="C163" s="60"/>
      <c r="D163" s="52" t="s">
        <v>47</v>
      </c>
      <c r="E163" s="63"/>
      <c r="F163" s="8">
        <v>0.58333333333333337</v>
      </c>
      <c r="G163" s="67" t="s">
        <v>79</v>
      </c>
      <c r="H163" s="68"/>
      <c r="I163" s="35">
        <v>65</v>
      </c>
      <c r="J163" s="9">
        <f t="shared" si="39"/>
        <v>0</v>
      </c>
      <c r="K163" s="39"/>
      <c r="L163" s="39"/>
      <c r="M163" s="39"/>
      <c r="N163" s="39"/>
      <c r="O163" s="39"/>
      <c r="P163" s="39"/>
      <c r="Q163" s="39"/>
      <c r="R163" s="39"/>
      <c r="S163" s="10">
        <f t="shared" si="40"/>
        <v>0</v>
      </c>
      <c r="T163" s="10">
        <v>100000</v>
      </c>
      <c r="U163" s="10">
        <f t="shared" si="41"/>
        <v>0</v>
      </c>
      <c r="V163" s="4"/>
      <c r="W163" s="4"/>
      <c r="X163" s="4"/>
      <c r="Y163" s="4"/>
    </row>
    <row r="164" spans="2:25" ht="37.5" hidden="1">
      <c r="B164" s="58"/>
      <c r="C164" s="60"/>
      <c r="D164" s="52" t="s">
        <v>47</v>
      </c>
      <c r="E164" s="63"/>
      <c r="F164" s="8">
        <v>0.66666666666666663</v>
      </c>
      <c r="G164" s="67" t="s">
        <v>79</v>
      </c>
      <c r="H164" s="68"/>
      <c r="I164" s="35">
        <v>60</v>
      </c>
      <c r="J164" s="9">
        <f t="shared" si="39"/>
        <v>0</v>
      </c>
      <c r="K164" s="39"/>
      <c r="L164" s="39"/>
      <c r="M164" s="39"/>
      <c r="N164" s="39"/>
      <c r="O164" s="39"/>
      <c r="P164" s="39"/>
      <c r="Q164" s="39"/>
      <c r="R164" s="39"/>
      <c r="S164" s="10">
        <f t="shared" si="40"/>
        <v>0</v>
      </c>
      <c r="T164" s="10">
        <v>100000</v>
      </c>
      <c r="U164" s="10">
        <f>T164*S164</f>
        <v>0</v>
      </c>
      <c r="V164" s="4"/>
      <c r="W164" s="4"/>
      <c r="X164" s="4"/>
      <c r="Y164" s="4"/>
    </row>
    <row r="165" spans="2:25" ht="37.5" hidden="1">
      <c r="B165" s="58"/>
      <c r="C165" s="60"/>
      <c r="D165" s="52" t="s">
        <v>47</v>
      </c>
      <c r="E165" s="63"/>
      <c r="F165" s="8">
        <v>0.75</v>
      </c>
      <c r="G165" s="67" t="s">
        <v>79</v>
      </c>
      <c r="H165" s="68"/>
      <c r="I165" s="35"/>
      <c r="J165" s="9" t="str">
        <f t="shared" si="39"/>
        <v/>
      </c>
      <c r="K165" s="39"/>
      <c r="L165" s="39"/>
      <c r="M165" s="39"/>
      <c r="N165" s="39"/>
      <c r="O165" s="39"/>
      <c r="P165" s="39"/>
      <c r="Q165" s="39"/>
      <c r="R165" s="39"/>
      <c r="S165" s="10">
        <f t="shared" si="40"/>
        <v>0</v>
      </c>
      <c r="T165" s="10">
        <v>100000</v>
      </c>
      <c r="U165" s="10">
        <f t="shared" ref="U165:U172" si="42">T165*S165</f>
        <v>0</v>
      </c>
      <c r="V165" s="4"/>
      <c r="W165" s="4"/>
      <c r="X165" s="11"/>
      <c r="Y165" s="4"/>
    </row>
    <row r="166" spans="2:25" ht="37.5" hidden="1">
      <c r="B166" s="58"/>
      <c r="C166" s="60"/>
      <c r="D166" s="53" t="s">
        <v>47</v>
      </c>
      <c r="E166" s="64"/>
      <c r="F166" s="12">
        <v>0.83333333333333337</v>
      </c>
      <c r="G166" s="67" t="s">
        <v>79</v>
      </c>
      <c r="H166" s="68"/>
      <c r="I166" s="36"/>
      <c r="J166" s="9" t="str">
        <f t="shared" si="39"/>
        <v/>
      </c>
      <c r="K166" s="41"/>
      <c r="L166" s="41"/>
      <c r="M166" s="39"/>
      <c r="N166" s="41"/>
      <c r="O166" s="41"/>
      <c r="P166" s="41"/>
      <c r="Q166" s="41"/>
      <c r="R166" s="41"/>
      <c r="S166" s="13">
        <f t="shared" si="40"/>
        <v>0</v>
      </c>
      <c r="T166" s="13">
        <v>100000</v>
      </c>
      <c r="U166" s="13">
        <f t="shared" si="42"/>
        <v>0</v>
      </c>
      <c r="V166" s="4"/>
      <c r="Y166" s="4"/>
    </row>
    <row r="167" spans="2:25" ht="37.5" hidden="1">
      <c r="B167" s="58"/>
      <c r="C167" s="60"/>
      <c r="D167" s="51" t="s">
        <v>49</v>
      </c>
      <c r="E167" s="62" t="s">
        <v>102</v>
      </c>
      <c r="F167" s="5">
        <v>0.91666666666666663</v>
      </c>
      <c r="G167" s="65" t="s">
        <v>84</v>
      </c>
      <c r="H167" s="66"/>
      <c r="I167" s="34">
        <v>66</v>
      </c>
      <c r="J167" s="6">
        <f t="shared" si="39"/>
        <v>1.5151515151515152E-2</v>
      </c>
      <c r="K167" s="38"/>
      <c r="L167" s="38"/>
      <c r="M167" s="38">
        <v>1</v>
      </c>
      <c r="N167" s="38"/>
      <c r="O167" s="38"/>
      <c r="P167" s="38"/>
      <c r="Q167" s="38"/>
      <c r="R167" s="38"/>
      <c r="S167" s="7">
        <f t="shared" si="40"/>
        <v>1</v>
      </c>
      <c r="T167" s="7">
        <v>100000</v>
      </c>
      <c r="U167" s="7">
        <f t="shared" si="42"/>
        <v>100000</v>
      </c>
      <c r="V167" s="4"/>
      <c r="Y167" s="4"/>
    </row>
    <row r="168" spans="2:25" ht="37.5" hidden="1">
      <c r="B168" s="58"/>
      <c r="C168" s="60"/>
      <c r="D168" s="52" t="s">
        <v>49</v>
      </c>
      <c r="E168" s="63"/>
      <c r="F168" s="8">
        <v>1</v>
      </c>
      <c r="G168" s="67" t="s">
        <v>84</v>
      </c>
      <c r="H168" s="68"/>
      <c r="I168" s="35">
        <v>66</v>
      </c>
      <c r="J168" s="9">
        <f t="shared" si="39"/>
        <v>1.5151515151515152E-2</v>
      </c>
      <c r="K168" s="39"/>
      <c r="L168" s="39"/>
      <c r="M168" s="39"/>
      <c r="N168" s="39"/>
      <c r="O168" s="39"/>
      <c r="P168" s="39"/>
      <c r="Q168" s="39"/>
      <c r="R168" s="39">
        <v>1</v>
      </c>
      <c r="S168" s="10">
        <f t="shared" si="40"/>
        <v>1</v>
      </c>
      <c r="T168" s="10">
        <v>100000</v>
      </c>
      <c r="U168" s="10">
        <f t="shared" si="42"/>
        <v>100000</v>
      </c>
      <c r="V168" s="4"/>
      <c r="Y168" s="4"/>
    </row>
    <row r="169" spans="2:25" ht="37.5" hidden="1">
      <c r="B169" s="58"/>
      <c r="C169" s="60"/>
      <c r="D169" s="52" t="s">
        <v>49</v>
      </c>
      <c r="E169" s="63"/>
      <c r="F169" s="8">
        <v>8.3333333333333329E-2</v>
      </c>
      <c r="G169" s="67" t="s">
        <v>84</v>
      </c>
      <c r="H169" s="68"/>
      <c r="I169" s="35">
        <v>66</v>
      </c>
      <c r="J169" s="9">
        <f t="shared" si="39"/>
        <v>1.5151515151515152E-2</v>
      </c>
      <c r="K169" s="39"/>
      <c r="L169" s="39"/>
      <c r="M169" s="39"/>
      <c r="N169" s="39"/>
      <c r="O169" s="39"/>
      <c r="P169" s="39"/>
      <c r="Q169" s="39"/>
      <c r="R169" s="39">
        <v>1</v>
      </c>
      <c r="S169" s="10">
        <f t="shared" si="40"/>
        <v>1</v>
      </c>
      <c r="T169" s="10">
        <v>100000</v>
      </c>
      <c r="U169" s="10">
        <f t="shared" si="42"/>
        <v>100000</v>
      </c>
      <c r="V169" s="4"/>
      <c r="Y169" s="4"/>
    </row>
    <row r="170" spans="2:25" ht="37.5" hidden="1">
      <c r="B170" s="58"/>
      <c r="C170" s="60"/>
      <c r="D170" s="52" t="s">
        <v>49</v>
      </c>
      <c r="E170" s="63"/>
      <c r="F170" s="8">
        <v>0.16666666666666666</v>
      </c>
      <c r="G170" s="67" t="s">
        <v>84</v>
      </c>
      <c r="H170" s="68"/>
      <c r="I170" s="35">
        <v>66</v>
      </c>
      <c r="J170" s="9">
        <f t="shared" si="39"/>
        <v>1.5151515151515152E-2</v>
      </c>
      <c r="K170" s="39"/>
      <c r="L170" s="39"/>
      <c r="M170" s="39"/>
      <c r="N170" s="39"/>
      <c r="O170" s="39"/>
      <c r="P170" s="39"/>
      <c r="Q170" s="39"/>
      <c r="R170" s="39">
        <v>1</v>
      </c>
      <c r="S170" s="10">
        <f t="shared" si="40"/>
        <v>1</v>
      </c>
      <c r="T170" s="10">
        <v>100000</v>
      </c>
      <c r="U170" s="10">
        <f t="shared" si="42"/>
        <v>100000</v>
      </c>
      <c r="V170" s="4"/>
      <c r="W170" s="4"/>
      <c r="X170" s="4"/>
      <c r="Y170" s="4"/>
    </row>
    <row r="171" spans="2:25" ht="37.5" hidden="1">
      <c r="B171" s="58"/>
      <c r="C171" s="60"/>
      <c r="D171" s="52" t="s">
        <v>49</v>
      </c>
      <c r="E171" s="63"/>
      <c r="F171" s="8">
        <v>0.25</v>
      </c>
      <c r="G171" s="67" t="s">
        <v>84</v>
      </c>
      <c r="H171" s="68"/>
      <c r="I171" s="35">
        <v>68</v>
      </c>
      <c r="J171" s="9">
        <f t="shared" si="39"/>
        <v>0</v>
      </c>
      <c r="K171" s="39"/>
      <c r="L171" s="39"/>
      <c r="M171" s="39"/>
      <c r="N171" s="39"/>
      <c r="O171" s="39"/>
      <c r="P171" s="39"/>
      <c r="Q171" s="39"/>
      <c r="R171" s="39"/>
      <c r="S171" s="10">
        <f t="shared" si="40"/>
        <v>0</v>
      </c>
      <c r="T171" s="10">
        <v>100000</v>
      </c>
      <c r="U171" s="10">
        <f t="shared" si="42"/>
        <v>0</v>
      </c>
      <c r="V171" s="4"/>
      <c r="Y171" s="4"/>
    </row>
    <row r="172" spans="2:25" ht="37.5" hidden="1">
      <c r="B172" s="58"/>
      <c r="C172" s="61"/>
      <c r="D172" s="53" t="s">
        <v>49</v>
      </c>
      <c r="E172" s="69"/>
      <c r="F172" s="14">
        <v>0.33333333333333331</v>
      </c>
      <c r="G172" s="67" t="s">
        <v>84</v>
      </c>
      <c r="H172" s="68"/>
      <c r="I172" s="37">
        <v>68</v>
      </c>
      <c r="J172" s="15">
        <f t="shared" si="39"/>
        <v>0</v>
      </c>
      <c r="K172" s="40"/>
      <c r="L172" s="40"/>
      <c r="M172" s="40"/>
      <c r="N172" s="40"/>
      <c r="O172" s="40"/>
      <c r="P172" s="40"/>
      <c r="Q172" s="40"/>
      <c r="R172" s="40"/>
      <c r="S172" s="16">
        <f t="shared" si="40"/>
        <v>0</v>
      </c>
      <c r="T172" s="16">
        <v>100000</v>
      </c>
      <c r="U172" s="16">
        <f t="shared" si="42"/>
        <v>0</v>
      </c>
      <c r="V172" s="4"/>
      <c r="W172" s="4"/>
      <c r="X172" s="4"/>
      <c r="Y172" s="4"/>
    </row>
    <row r="173" spans="2:25" ht="29.25" hidden="1" customHeight="1">
      <c r="B173" s="58">
        <v>46095</v>
      </c>
      <c r="C173" s="59" t="s">
        <v>16</v>
      </c>
      <c r="D173" s="51" t="s">
        <v>49</v>
      </c>
      <c r="E173" s="62" t="s">
        <v>101</v>
      </c>
      <c r="F173" s="5">
        <v>0.41666666666666669</v>
      </c>
      <c r="G173" s="65" t="s">
        <v>75</v>
      </c>
      <c r="H173" s="66"/>
      <c r="I173" s="34">
        <v>60</v>
      </c>
      <c r="J173" s="6">
        <f t="shared" si="39"/>
        <v>3.3333333333333333E-2</v>
      </c>
      <c r="K173" s="38"/>
      <c r="L173" s="38"/>
      <c r="M173" s="38"/>
      <c r="N173" s="38"/>
      <c r="O173" s="38"/>
      <c r="P173" s="38"/>
      <c r="Q173" s="38"/>
      <c r="R173" s="38">
        <v>2</v>
      </c>
      <c r="S173" s="7">
        <f>SUM(K173:R173)</f>
        <v>2</v>
      </c>
      <c r="T173" s="7">
        <v>100000</v>
      </c>
      <c r="U173" s="7">
        <f>T173*S173</f>
        <v>200000</v>
      </c>
      <c r="V173" s="4"/>
      <c r="W173" s="4"/>
      <c r="X173" s="4"/>
      <c r="Y173" s="4"/>
    </row>
    <row r="174" spans="2:25" ht="37.5" hidden="1">
      <c r="B174" s="58"/>
      <c r="C174" s="60"/>
      <c r="D174" s="52" t="s">
        <v>49</v>
      </c>
      <c r="E174" s="63"/>
      <c r="F174" s="8">
        <v>0.5</v>
      </c>
      <c r="G174" s="67" t="s">
        <v>75</v>
      </c>
      <c r="H174" s="68"/>
      <c r="I174" s="35">
        <v>25</v>
      </c>
      <c r="J174" s="9">
        <f t="shared" si="39"/>
        <v>0.04</v>
      </c>
      <c r="K174" s="39"/>
      <c r="L174" s="39"/>
      <c r="M174" s="39"/>
      <c r="N174" s="39"/>
      <c r="O174" s="39"/>
      <c r="P174" s="39"/>
      <c r="Q174" s="39">
        <v>1</v>
      </c>
      <c r="R174" s="39"/>
      <c r="S174" s="10">
        <f t="shared" ref="S174:S184" si="43">SUM(K174:R174)</f>
        <v>1</v>
      </c>
      <c r="T174" s="10">
        <v>100000</v>
      </c>
      <c r="U174" s="10">
        <f t="shared" ref="U174:U175" si="44">T174*S174</f>
        <v>100000</v>
      </c>
      <c r="V174" s="4"/>
      <c r="W174" s="4"/>
      <c r="X174" s="4"/>
      <c r="Y174" s="4"/>
    </row>
    <row r="175" spans="2:25" ht="37.5" hidden="1">
      <c r="B175" s="58"/>
      <c r="C175" s="60"/>
      <c r="D175" s="52" t="s">
        <v>49</v>
      </c>
      <c r="E175" s="63"/>
      <c r="F175" s="8">
        <v>0.58333333333333337</v>
      </c>
      <c r="G175" s="67" t="s">
        <v>75</v>
      </c>
      <c r="H175" s="68"/>
      <c r="I175" s="35">
        <v>66</v>
      </c>
      <c r="J175" s="9">
        <f t="shared" si="39"/>
        <v>0</v>
      </c>
      <c r="K175" s="39"/>
      <c r="L175" s="39"/>
      <c r="M175" s="39"/>
      <c r="N175" s="39"/>
      <c r="O175" s="39"/>
      <c r="P175" s="39"/>
      <c r="Q175" s="39"/>
      <c r="R175" s="39"/>
      <c r="S175" s="10">
        <f t="shared" si="43"/>
        <v>0</v>
      </c>
      <c r="T175" s="10">
        <v>100000</v>
      </c>
      <c r="U175" s="10">
        <f t="shared" si="44"/>
        <v>0</v>
      </c>
      <c r="V175" s="4"/>
      <c r="W175" s="4"/>
      <c r="X175" s="4"/>
      <c r="Y175" s="4"/>
    </row>
    <row r="176" spans="2:25" ht="37.5" hidden="1">
      <c r="B176" s="58"/>
      <c r="C176" s="60"/>
      <c r="D176" s="52" t="s">
        <v>49</v>
      </c>
      <c r="E176" s="63"/>
      <c r="F176" s="8">
        <v>0.66666666666666663</v>
      </c>
      <c r="G176" s="67" t="s">
        <v>75</v>
      </c>
      <c r="H176" s="68"/>
      <c r="I176" s="35">
        <v>60</v>
      </c>
      <c r="J176" s="9">
        <f t="shared" si="39"/>
        <v>3.3333333333333333E-2</v>
      </c>
      <c r="K176" s="39"/>
      <c r="L176" s="39"/>
      <c r="M176" s="39"/>
      <c r="N176" s="39"/>
      <c r="O176" s="39"/>
      <c r="P176" s="39"/>
      <c r="Q176" s="39">
        <v>2</v>
      </c>
      <c r="R176" s="39"/>
      <c r="S176" s="10">
        <f t="shared" si="43"/>
        <v>2</v>
      </c>
      <c r="T176" s="10">
        <v>100000</v>
      </c>
      <c r="U176" s="10">
        <f>T176*S176</f>
        <v>200000</v>
      </c>
      <c r="V176" s="4"/>
      <c r="W176" s="4"/>
      <c r="X176" s="4"/>
      <c r="Y176" s="4"/>
    </row>
    <row r="177" spans="2:25" ht="37.5" hidden="1">
      <c r="B177" s="58"/>
      <c r="C177" s="60"/>
      <c r="D177" s="52" t="s">
        <v>49</v>
      </c>
      <c r="E177" s="63"/>
      <c r="F177" s="8">
        <v>0.75</v>
      </c>
      <c r="G177" s="67" t="s">
        <v>75</v>
      </c>
      <c r="H177" s="68"/>
      <c r="I177" s="35">
        <v>30</v>
      </c>
      <c r="J177" s="9">
        <f t="shared" si="39"/>
        <v>6.6666666666666666E-2</v>
      </c>
      <c r="K177" s="39"/>
      <c r="L177" s="39"/>
      <c r="M177" s="39"/>
      <c r="N177" s="39"/>
      <c r="O177" s="39"/>
      <c r="P177" s="39"/>
      <c r="Q177" s="39">
        <v>2</v>
      </c>
      <c r="R177" s="39"/>
      <c r="S177" s="10">
        <f t="shared" si="43"/>
        <v>2</v>
      </c>
      <c r="T177" s="10">
        <v>100000</v>
      </c>
      <c r="U177" s="10">
        <f t="shared" ref="U177:U184" si="45">T177*S177</f>
        <v>200000</v>
      </c>
      <c r="V177" s="4"/>
      <c r="W177" s="4"/>
      <c r="X177" s="11"/>
      <c r="Y177" s="4"/>
    </row>
    <row r="178" spans="2:25" ht="37.5" hidden="1">
      <c r="B178" s="58"/>
      <c r="C178" s="60"/>
      <c r="D178" s="53" t="s">
        <v>49</v>
      </c>
      <c r="E178" s="64"/>
      <c r="F178" s="12">
        <v>0.83333333333333337</v>
      </c>
      <c r="G178" s="67" t="s">
        <v>75</v>
      </c>
      <c r="H178" s="68"/>
      <c r="I178" s="36">
        <v>59</v>
      </c>
      <c r="J178" s="15">
        <f t="shared" si="39"/>
        <v>3.3898305084745763E-2</v>
      </c>
      <c r="K178" s="41"/>
      <c r="L178" s="41"/>
      <c r="M178" s="39"/>
      <c r="N178" s="41"/>
      <c r="O178" s="41"/>
      <c r="P178" s="41"/>
      <c r="Q178" s="41"/>
      <c r="R178" s="41">
        <v>2</v>
      </c>
      <c r="S178" s="13">
        <f t="shared" si="43"/>
        <v>2</v>
      </c>
      <c r="T178" s="13">
        <v>100000</v>
      </c>
      <c r="U178" s="13">
        <f t="shared" si="45"/>
        <v>200000</v>
      </c>
      <c r="V178" s="4"/>
      <c r="Y178" s="4"/>
    </row>
    <row r="179" spans="2:25" ht="37.5" hidden="1">
      <c r="B179" s="58"/>
      <c r="C179" s="60"/>
      <c r="D179" s="51" t="s">
        <v>49</v>
      </c>
      <c r="E179" s="62" t="s">
        <v>102</v>
      </c>
      <c r="F179" s="5">
        <v>0.91666666666666663</v>
      </c>
      <c r="G179" s="65" t="s">
        <v>84</v>
      </c>
      <c r="H179" s="66"/>
      <c r="I179" s="34">
        <v>36</v>
      </c>
      <c r="J179" s="9">
        <f t="shared" si="39"/>
        <v>0</v>
      </c>
      <c r="K179" s="38"/>
      <c r="L179" s="38"/>
      <c r="M179" s="38"/>
      <c r="N179" s="38"/>
      <c r="O179" s="38"/>
      <c r="P179" s="38"/>
      <c r="Q179" s="38"/>
      <c r="R179" s="38"/>
      <c r="S179" s="7">
        <f t="shared" si="43"/>
        <v>0</v>
      </c>
      <c r="T179" s="7">
        <v>100000</v>
      </c>
      <c r="U179" s="7">
        <f t="shared" si="45"/>
        <v>0</v>
      </c>
      <c r="V179" s="4"/>
      <c r="Y179" s="4"/>
    </row>
    <row r="180" spans="2:25" ht="18.75" hidden="1">
      <c r="B180" s="58"/>
      <c r="C180" s="60"/>
      <c r="D180" s="52"/>
      <c r="E180" s="63"/>
      <c r="F180" s="8">
        <v>1</v>
      </c>
      <c r="G180" s="67"/>
      <c r="H180" s="68"/>
      <c r="I180" s="35"/>
      <c r="J180" s="9" t="str">
        <f t="shared" si="39"/>
        <v/>
      </c>
      <c r="K180" s="39"/>
      <c r="L180" s="39"/>
      <c r="M180" s="39"/>
      <c r="N180" s="39"/>
      <c r="O180" s="39"/>
      <c r="P180" s="39"/>
      <c r="Q180" s="39"/>
      <c r="R180" s="39"/>
      <c r="S180" s="10">
        <f t="shared" si="43"/>
        <v>0</v>
      </c>
      <c r="T180" s="10">
        <v>100000</v>
      </c>
      <c r="U180" s="10">
        <f t="shared" si="45"/>
        <v>0</v>
      </c>
      <c r="V180" s="4"/>
      <c r="Y180" s="4"/>
    </row>
    <row r="181" spans="2:25" ht="18.75" hidden="1">
      <c r="B181" s="58"/>
      <c r="C181" s="60"/>
      <c r="D181" s="52"/>
      <c r="E181" s="63"/>
      <c r="F181" s="8">
        <v>8.3333333333333329E-2</v>
      </c>
      <c r="G181" s="67"/>
      <c r="H181" s="68"/>
      <c r="I181" s="35"/>
      <c r="J181" s="9" t="str">
        <f t="shared" si="39"/>
        <v/>
      </c>
      <c r="K181" s="39"/>
      <c r="L181" s="39"/>
      <c r="M181" s="39"/>
      <c r="N181" s="39"/>
      <c r="O181" s="39"/>
      <c r="P181" s="39"/>
      <c r="Q181" s="39"/>
      <c r="R181" s="39"/>
      <c r="S181" s="10">
        <f t="shared" si="43"/>
        <v>0</v>
      </c>
      <c r="T181" s="10">
        <v>100000</v>
      </c>
      <c r="U181" s="10">
        <f t="shared" si="45"/>
        <v>0</v>
      </c>
      <c r="V181" s="4"/>
      <c r="Y181" s="4"/>
    </row>
    <row r="182" spans="2:25" ht="18.75" hidden="1">
      <c r="B182" s="58"/>
      <c r="C182" s="60"/>
      <c r="D182" s="52"/>
      <c r="E182" s="63"/>
      <c r="F182" s="8">
        <v>0.16666666666666666</v>
      </c>
      <c r="G182" s="67"/>
      <c r="H182" s="68"/>
      <c r="I182" s="35"/>
      <c r="J182" s="9" t="str">
        <f t="shared" si="39"/>
        <v/>
      </c>
      <c r="K182" s="39"/>
      <c r="L182" s="39"/>
      <c r="M182" s="39"/>
      <c r="N182" s="39"/>
      <c r="O182" s="39"/>
      <c r="P182" s="39"/>
      <c r="Q182" s="39"/>
      <c r="R182" s="39"/>
      <c r="S182" s="10">
        <f t="shared" si="43"/>
        <v>0</v>
      </c>
      <c r="T182" s="10">
        <v>100000</v>
      </c>
      <c r="U182" s="10">
        <f t="shared" si="45"/>
        <v>0</v>
      </c>
      <c r="V182" s="4"/>
      <c r="W182" s="4"/>
      <c r="X182" s="4"/>
      <c r="Y182" s="4"/>
    </row>
    <row r="183" spans="2:25" ht="18.75" hidden="1">
      <c r="B183" s="58"/>
      <c r="C183" s="60"/>
      <c r="D183" s="52"/>
      <c r="E183" s="63"/>
      <c r="F183" s="8">
        <v>0.25</v>
      </c>
      <c r="G183" s="67"/>
      <c r="H183" s="68"/>
      <c r="I183" s="35"/>
      <c r="J183" s="9" t="str">
        <f t="shared" si="39"/>
        <v/>
      </c>
      <c r="K183" s="39"/>
      <c r="L183" s="39"/>
      <c r="M183" s="39"/>
      <c r="N183" s="39"/>
      <c r="O183" s="39"/>
      <c r="P183" s="39"/>
      <c r="Q183" s="39"/>
      <c r="R183" s="39"/>
      <c r="S183" s="10">
        <f t="shared" si="43"/>
        <v>0</v>
      </c>
      <c r="T183" s="10">
        <v>100000</v>
      </c>
      <c r="U183" s="10">
        <f t="shared" si="45"/>
        <v>0</v>
      </c>
      <c r="V183" s="4"/>
      <c r="Y183" s="4"/>
    </row>
    <row r="184" spans="2:25" ht="18.75" hidden="1">
      <c r="B184" s="58"/>
      <c r="C184" s="61"/>
      <c r="D184" s="53"/>
      <c r="E184" s="69"/>
      <c r="F184" s="14">
        <v>0.33333333333333331</v>
      </c>
      <c r="G184" s="67"/>
      <c r="H184" s="68"/>
      <c r="I184" s="37"/>
      <c r="J184" s="15" t="str">
        <f t="shared" si="39"/>
        <v/>
      </c>
      <c r="K184" s="40"/>
      <c r="L184" s="40"/>
      <c r="M184" s="40"/>
      <c r="N184" s="40"/>
      <c r="O184" s="40"/>
      <c r="P184" s="40"/>
      <c r="Q184" s="40"/>
      <c r="R184" s="40"/>
      <c r="S184" s="16">
        <f t="shared" si="43"/>
        <v>0</v>
      </c>
      <c r="T184" s="16">
        <v>100000</v>
      </c>
      <c r="U184" s="16">
        <f t="shared" si="45"/>
        <v>0</v>
      </c>
      <c r="V184" s="4"/>
      <c r="W184" s="4"/>
      <c r="X184" s="4"/>
      <c r="Y184" s="4"/>
    </row>
    <row r="185" spans="2:25" ht="33.75" hidden="1" customHeight="1">
      <c r="B185" s="58">
        <v>46096</v>
      </c>
      <c r="C185" s="59" t="s">
        <v>16</v>
      </c>
      <c r="D185" s="51"/>
      <c r="E185" s="62" t="s">
        <v>101</v>
      </c>
      <c r="F185" s="5">
        <v>0.41666666666666669</v>
      </c>
      <c r="G185" s="65"/>
      <c r="H185" s="66"/>
      <c r="I185" s="34"/>
      <c r="J185" s="6" t="str">
        <f t="shared" ref="J185:J220" si="46">IFERROR(S185/I185,"")</f>
        <v/>
      </c>
      <c r="K185" s="38"/>
      <c r="L185" s="38"/>
      <c r="M185" s="38"/>
      <c r="N185" s="38"/>
      <c r="O185" s="38"/>
      <c r="P185" s="38"/>
      <c r="Q185" s="38"/>
      <c r="R185" s="38"/>
      <c r="S185" s="7">
        <f>SUM(K185:R185)</f>
        <v>0</v>
      </c>
      <c r="T185" s="7">
        <v>100000</v>
      </c>
      <c r="U185" s="7">
        <f>T185*S185</f>
        <v>0</v>
      </c>
      <c r="V185" s="4"/>
      <c r="W185" s="4"/>
      <c r="X185" s="4"/>
      <c r="Y185" s="4"/>
    </row>
    <row r="186" spans="2:25" ht="18.75" hidden="1">
      <c r="B186" s="58"/>
      <c r="C186" s="60"/>
      <c r="D186" s="52"/>
      <c r="E186" s="63"/>
      <c r="F186" s="8">
        <v>0.5</v>
      </c>
      <c r="G186" s="67"/>
      <c r="H186" s="68"/>
      <c r="I186" s="35"/>
      <c r="J186" s="9" t="str">
        <f t="shared" si="46"/>
        <v/>
      </c>
      <c r="K186" s="39"/>
      <c r="L186" s="39"/>
      <c r="M186" s="39"/>
      <c r="N186" s="39"/>
      <c r="O186" s="39"/>
      <c r="P186" s="39"/>
      <c r="Q186" s="39"/>
      <c r="R186" s="39"/>
      <c r="S186" s="10">
        <f t="shared" ref="S186:S196" si="47">SUM(K186:R186)</f>
        <v>0</v>
      </c>
      <c r="T186" s="10">
        <v>100000</v>
      </c>
      <c r="U186" s="10">
        <f t="shared" ref="U186:U187" si="48">T186*S186</f>
        <v>0</v>
      </c>
      <c r="V186" s="4"/>
      <c r="W186" s="4"/>
      <c r="X186" s="4"/>
      <c r="Y186" s="4"/>
    </row>
    <row r="187" spans="2:25" ht="18.75" hidden="1">
      <c r="B187" s="58"/>
      <c r="C187" s="60"/>
      <c r="D187" s="52"/>
      <c r="E187" s="63"/>
      <c r="F187" s="8">
        <v>0.58333333333333337</v>
      </c>
      <c r="G187" s="67"/>
      <c r="H187" s="68"/>
      <c r="I187" s="35"/>
      <c r="J187" s="9" t="str">
        <f t="shared" si="46"/>
        <v/>
      </c>
      <c r="K187" s="39"/>
      <c r="L187" s="39"/>
      <c r="M187" s="39"/>
      <c r="N187" s="39"/>
      <c r="O187" s="39"/>
      <c r="P187" s="39"/>
      <c r="Q187" s="39"/>
      <c r="R187" s="39"/>
      <c r="S187" s="10">
        <f t="shared" si="47"/>
        <v>0</v>
      </c>
      <c r="T187" s="10">
        <v>100000</v>
      </c>
      <c r="U187" s="10">
        <f t="shared" si="48"/>
        <v>0</v>
      </c>
      <c r="V187" s="4"/>
      <c r="W187" s="4"/>
      <c r="X187" s="4"/>
      <c r="Y187" s="4"/>
    </row>
    <row r="188" spans="2:25" ht="18.75" hidden="1">
      <c r="B188" s="58"/>
      <c r="C188" s="60"/>
      <c r="D188" s="52"/>
      <c r="E188" s="63"/>
      <c r="F188" s="8">
        <v>0.66666666666666663</v>
      </c>
      <c r="G188" s="67"/>
      <c r="H188" s="68"/>
      <c r="I188" s="35"/>
      <c r="J188" s="9" t="str">
        <f t="shared" si="46"/>
        <v/>
      </c>
      <c r="K188" s="39"/>
      <c r="L188" s="39"/>
      <c r="M188" s="39"/>
      <c r="N188" s="39"/>
      <c r="O188" s="39"/>
      <c r="P188" s="39"/>
      <c r="Q188" s="39"/>
      <c r="R188" s="39"/>
      <c r="S188" s="10">
        <f t="shared" si="47"/>
        <v>0</v>
      </c>
      <c r="T188" s="10">
        <v>100000</v>
      </c>
      <c r="U188" s="10">
        <f>T188*S188</f>
        <v>0</v>
      </c>
      <c r="V188" s="4"/>
      <c r="W188" s="4"/>
      <c r="X188" s="4"/>
      <c r="Y188" s="4"/>
    </row>
    <row r="189" spans="2:25" ht="18.75" hidden="1">
      <c r="B189" s="58"/>
      <c r="C189" s="60"/>
      <c r="D189" s="52"/>
      <c r="E189" s="63"/>
      <c r="F189" s="8">
        <v>0.75</v>
      </c>
      <c r="G189" s="67"/>
      <c r="H189" s="68"/>
      <c r="I189" s="35"/>
      <c r="J189" s="9" t="str">
        <f t="shared" si="46"/>
        <v/>
      </c>
      <c r="K189" s="39"/>
      <c r="L189" s="39"/>
      <c r="M189" s="39"/>
      <c r="N189" s="39"/>
      <c r="O189" s="39"/>
      <c r="P189" s="39"/>
      <c r="Q189" s="39"/>
      <c r="R189" s="39"/>
      <c r="S189" s="10">
        <f t="shared" si="47"/>
        <v>0</v>
      </c>
      <c r="T189" s="10">
        <v>100000</v>
      </c>
      <c r="U189" s="10">
        <f t="shared" ref="U189:U196" si="49">T189*S189</f>
        <v>0</v>
      </c>
      <c r="V189" s="4"/>
      <c r="W189" s="4"/>
      <c r="X189" s="11"/>
      <c r="Y189" s="4"/>
    </row>
    <row r="190" spans="2:25" ht="18.75" hidden="1">
      <c r="B190" s="58"/>
      <c r="C190" s="60"/>
      <c r="D190" s="53"/>
      <c r="E190" s="64"/>
      <c r="F190" s="12">
        <v>0.83333333333333337</v>
      </c>
      <c r="G190" s="67"/>
      <c r="H190" s="68"/>
      <c r="I190" s="36"/>
      <c r="J190" s="9" t="str">
        <f t="shared" si="46"/>
        <v/>
      </c>
      <c r="K190" s="41"/>
      <c r="L190" s="41"/>
      <c r="M190" s="39"/>
      <c r="N190" s="41"/>
      <c r="O190" s="41"/>
      <c r="P190" s="41"/>
      <c r="Q190" s="41"/>
      <c r="R190" s="41"/>
      <c r="S190" s="13">
        <f t="shared" si="47"/>
        <v>0</v>
      </c>
      <c r="T190" s="13">
        <v>100000</v>
      </c>
      <c r="U190" s="13">
        <f t="shared" si="49"/>
        <v>0</v>
      </c>
      <c r="V190" s="4"/>
      <c r="Y190" s="4"/>
    </row>
    <row r="191" spans="2:25" ht="18.75" hidden="1">
      <c r="B191" s="58"/>
      <c r="C191" s="60"/>
      <c r="D191" s="51"/>
      <c r="E191" s="62" t="s">
        <v>102</v>
      </c>
      <c r="F191" s="5">
        <v>0.91666666666666663</v>
      </c>
      <c r="G191" s="65"/>
      <c r="H191" s="66"/>
      <c r="I191" s="34"/>
      <c r="J191" s="6" t="str">
        <f t="shared" si="46"/>
        <v/>
      </c>
      <c r="K191" s="38"/>
      <c r="L191" s="38"/>
      <c r="M191" s="38"/>
      <c r="N191" s="38"/>
      <c r="O191" s="38"/>
      <c r="P191" s="38"/>
      <c r="Q191" s="38"/>
      <c r="R191" s="38"/>
      <c r="S191" s="7">
        <f t="shared" si="47"/>
        <v>0</v>
      </c>
      <c r="T191" s="7">
        <v>100000</v>
      </c>
      <c r="U191" s="7">
        <f t="shared" si="49"/>
        <v>0</v>
      </c>
      <c r="V191" s="4"/>
      <c r="Y191" s="4"/>
    </row>
    <row r="192" spans="2:25" ht="18.75" hidden="1">
      <c r="B192" s="58"/>
      <c r="C192" s="60"/>
      <c r="D192" s="52"/>
      <c r="E192" s="63"/>
      <c r="F192" s="8">
        <v>1</v>
      </c>
      <c r="G192" s="67"/>
      <c r="H192" s="68"/>
      <c r="I192" s="35"/>
      <c r="J192" s="9" t="str">
        <f t="shared" si="46"/>
        <v/>
      </c>
      <c r="K192" s="39"/>
      <c r="L192" s="39"/>
      <c r="M192" s="39"/>
      <c r="N192" s="39"/>
      <c r="O192" s="39"/>
      <c r="P192" s="39"/>
      <c r="Q192" s="39"/>
      <c r="R192" s="39"/>
      <c r="S192" s="10">
        <f t="shared" si="47"/>
        <v>0</v>
      </c>
      <c r="T192" s="10">
        <v>100000</v>
      </c>
      <c r="U192" s="10">
        <f t="shared" si="49"/>
        <v>0</v>
      </c>
      <c r="V192" s="4"/>
      <c r="Y192" s="4"/>
    </row>
    <row r="193" spans="2:25" ht="18.75" hidden="1">
      <c r="B193" s="58"/>
      <c r="C193" s="60"/>
      <c r="D193" s="52"/>
      <c r="E193" s="63"/>
      <c r="F193" s="8">
        <v>8.3333333333333329E-2</v>
      </c>
      <c r="G193" s="67"/>
      <c r="H193" s="68"/>
      <c r="I193" s="35"/>
      <c r="J193" s="9" t="str">
        <f t="shared" si="46"/>
        <v/>
      </c>
      <c r="K193" s="39"/>
      <c r="L193" s="39"/>
      <c r="M193" s="39"/>
      <c r="N193" s="39"/>
      <c r="O193" s="39"/>
      <c r="P193" s="39"/>
      <c r="Q193" s="39"/>
      <c r="R193" s="39"/>
      <c r="S193" s="10">
        <f t="shared" si="47"/>
        <v>0</v>
      </c>
      <c r="T193" s="10">
        <v>100000</v>
      </c>
      <c r="U193" s="10">
        <f t="shared" si="49"/>
        <v>0</v>
      </c>
      <c r="V193" s="4"/>
      <c r="Y193" s="4"/>
    </row>
    <row r="194" spans="2:25" ht="18.75" hidden="1">
      <c r="B194" s="58"/>
      <c r="C194" s="60"/>
      <c r="D194" s="52"/>
      <c r="E194" s="63"/>
      <c r="F194" s="8">
        <v>0.16666666666666666</v>
      </c>
      <c r="G194" s="67"/>
      <c r="H194" s="68"/>
      <c r="I194" s="35"/>
      <c r="J194" s="9" t="str">
        <f t="shared" si="46"/>
        <v/>
      </c>
      <c r="K194" s="39"/>
      <c r="L194" s="39"/>
      <c r="M194" s="39"/>
      <c r="N194" s="39"/>
      <c r="O194" s="39"/>
      <c r="P194" s="39"/>
      <c r="Q194" s="39"/>
      <c r="R194" s="39"/>
      <c r="S194" s="10">
        <f t="shared" si="47"/>
        <v>0</v>
      </c>
      <c r="T194" s="10">
        <v>100000</v>
      </c>
      <c r="U194" s="10">
        <f t="shared" si="49"/>
        <v>0</v>
      </c>
      <c r="V194" s="4"/>
      <c r="W194" s="4"/>
      <c r="X194" s="4"/>
      <c r="Y194" s="4"/>
    </row>
    <row r="195" spans="2:25" ht="18.75" hidden="1">
      <c r="B195" s="58"/>
      <c r="C195" s="60"/>
      <c r="D195" s="52"/>
      <c r="E195" s="63"/>
      <c r="F195" s="8">
        <v>0.25</v>
      </c>
      <c r="G195" s="67"/>
      <c r="H195" s="68"/>
      <c r="I195" s="35"/>
      <c r="J195" s="9" t="str">
        <f t="shared" si="46"/>
        <v/>
      </c>
      <c r="K195" s="39"/>
      <c r="L195" s="39"/>
      <c r="M195" s="39"/>
      <c r="N195" s="39"/>
      <c r="O195" s="39"/>
      <c r="P195" s="39"/>
      <c r="Q195" s="39"/>
      <c r="R195" s="39"/>
      <c r="S195" s="10">
        <f t="shared" si="47"/>
        <v>0</v>
      </c>
      <c r="T195" s="10">
        <v>100000</v>
      </c>
      <c r="U195" s="10">
        <f t="shared" si="49"/>
        <v>0</v>
      </c>
      <c r="V195" s="4"/>
      <c r="Y195" s="4"/>
    </row>
    <row r="196" spans="2:25" ht="18.75" hidden="1">
      <c r="B196" s="58"/>
      <c r="C196" s="61"/>
      <c r="D196" s="53"/>
      <c r="E196" s="69"/>
      <c r="F196" s="14">
        <v>0.33333333333333331</v>
      </c>
      <c r="G196" s="67"/>
      <c r="H196" s="68"/>
      <c r="I196" s="37"/>
      <c r="J196" s="15" t="str">
        <f t="shared" si="46"/>
        <v/>
      </c>
      <c r="K196" s="40"/>
      <c r="L196" s="40"/>
      <c r="M196" s="40"/>
      <c r="N196" s="40"/>
      <c r="O196" s="40"/>
      <c r="P196" s="40"/>
      <c r="Q196" s="40"/>
      <c r="R196" s="40"/>
      <c r="S196" s="16">
        <f t="shared" si="47"/>
        <v>0</v>
      </c>
      <c r="T196" s="16">
        <v>100000</v>
      </c>
      <c r="U196" s="16">
        <f t="shared" si="49"/>
        <v>0</v>
      </c>
      <c r="V196" s="4"/>
      <c r="W196" s="4"/>
      <c r="X196" s="4"/>
      <c r="Y196" s="4"/>
    </row>
    <row r="197" spans="2:25" ht="41.25" hidden="1" customHeight="1">
      <c r="B197" s="58">
        <v>46097</v>
      </c>
      <c r="C197" s="59" t="s">
        <v>16</v>
      </c>
      <c r="D197" s="51" t="s">
        <v>47</v>
      </c>
      <c r="E197" s="62" t="s">
        <v>101</v>
      </c>
      <c r="F197" s="5">
        <v>0.41666666666666669</v>
      </c>
      <c r="G197" s="65" t="s">
        <v>75</v>
      </c>
      <c r="H197" s="66"/>
      <c r="I197" s="34">
        <v>75</v>
      </c>
      <c r="J197" s="6">
        <f t="shared" si="46"/>
        <v>1.3333333333333334E-2</v>
      </c>
      <c r="K197" s="38"/>
      <c r="L197" s="38"/>
      <c r="M197" s="38"/>
      <c r="N197" s="38"/>
      <c r="O197" s="38"/>
      <c r="P197" s="38"/>
      <c r="Q197" s="38">
        <v>1</v>
      </c>
      <c r="R197" s="38"/>
      <c r="S197" s="7">
        <f>SUM(K197:R197)</f>
        <v>1</v>
      </c>
      <c r="T197" s="7">
        <v>100000</v>
      </c>
      <c r="U197" s="7">
        <f>T197*S197</f>
        <v>100000</v>
      </c>
      <c r="V197" s="4"/>
      <c r="W197" s="4"/>
      <c r="X197" s="4"/>
      <c r="Y197" s="4"/>
    </row>
    <row r="198" spans="2:25" ht="37.5" hidden="1">
      <c r="B198" s="58"/>
      <c r="C198" s="60"/>
      <c r="D198" s="52" t="s">
        <v>47</v>
      </c>
      <c r="E198" s="63"/>
      <c r="F198" s="8">
        <v>0.5</v>
      </c>
      <c r="G198" s="67" t="s">
        <v>75</v>
      </c>
      <c r="H198" s="68"/>
      <c r="I198" s="35">
        <v>35</v>
      </c>
      <c r="J198" s="9">
        <f t="shared" si="46"/>
        <v>2.8571428571428571E-2</v>
      </c>
      <c r="K198" s="39"/>
      <c r="L198" s="39"/>
      <c r="M198" s="39"/>
      <c r="N198" s="39"/>
      <c r="O198" s="39"/>
      <c r="P198" s="39"/>
      <c r="Q198" s="39">
        <v>1</v>
      </c>
      <c r="R198" s="39"/>
      <c r="S198" s="10">
        <f t="shared" ref="S198:S208" si="50">SUM(K198:R198)</f>
        <v>1</v>
      </c>
      <c r="T198" s="10">
        <v>100000</v>
      </c>
      <c r="U198" s="10">
        <f t="shared" ref="U198:U199" si="51">T198*S198</f>
        <v>100000</v>
      </c>
      <c r="V198" s="4"/>
      <c r="W198" s="4"/>
      <c r="X198" s="4"/>
      <c r="Y198" s="4"/>
    </row>
    <row r="199" spans="2:25" ht="37.5" hidden="1">
      <c r="B199" s="58"/>
      <c r="C199" s="60"/>
      <c r="D199" s="52" t="s">
        <v>47</v>
      </c>
      <c r="E199" s="63"/>
      <c r="F199" s="8">
        <v>0.58333333333333337</v>
      </c>
      <c r="G199" s="67" t="s">
        <v>75</v>
      </c>
      <c r="H199" s="68"/>
      <c r="I199" s="35">
        <v>70</v>
      </c>
      <c r="J199" s="9">
        <f t="shared" si="46"/>
        <v>2.8571428571428571E-2</v>
      </c>
      <c r="K199" s="39"/>
      <c r="L199" s="39"/>
      <c r="M199" s="39"/>
      <c r="N199" s="39"/>
      <c r="O199" s="39"/>
      <c r="P199" s="39"/>
      <c r="Q199" s="39">
        <v>2</v>
      </c>
      <c r="R199" s="39"/>
      <c r="S199" s="10">
        <f t="shared" si="50"/>
        <v>2</v>
      </c>
      <c r="T199" s="10">
        <v>100000</v>
      </c>
      <c r="U199" s="10">
        <f t="shared" si="51"/>
        <v>200000</v>
      </c>
      <c r="V199" s="4"/>
      <c r="W199" s="4"/>
      <c r="X199" s="4"/>
      <c r="Y199" s="4"/>
    </row>
    <row r="200" spans="2:25" ht="37.5" hidden="1">
      <c r="B200" s="58"/>
      <c r="C200" s="60"/>
      <c r="D200" s="52" t="s">
        <v>47</v>
      </c>
      <c r="E200" s="63"/>
      <c r="F200" s="8">
        <v>0.66666666666666663</v>
      </c>
      <c r="G200" s="67" t="s">
        <v>75</v>
      </c>
      <c r="H200" s="68"/>
      <c r="I200" s="35">
        <v>75</v>
      </c>
      <c r="J200" s="9">
        <f t="shared" si="46"/>
        <v>2.6666666666666668E-2</v>
      </c>
      <c r="K200" s="39"/>
      <c r="L200" s="39"/>
      <c r="M200" s="39"/>
      <c r="N200" s="39"/>
      <c r="O200" s="39"/>
      <c r="P200" s="39"/>
      <c r="Q200" s="39">
        <v>2</v>
      </c>
      <c r="R200" s="39"/>
      <c r="S200" s="10">
        <f t="shared" si="50"/>
        <v>2</v>
      </c>
      <c r="T200" s="10">
        <v>100000</v>
      </c>
      <c r="U200" s="10">
        <f>T200*S200</f>
        <v>200000</v>
      </c>
      <c r="V200" s="4"/>
      <c r="W200" s="4"/>
      <c r="X200" s="4"/>
      <c r="Y200" s="4"/>
    </row>
    <row r="201" spans="2:25" ht="37.5" hidden="1">
      <c r="B201" s="58"/>
      <c r="C201" s="60"/>
      <c r="D201" s="52" t="s">
        <v>47</v>
      </c>
      <c r="E201" s="63"/>
      <c r="F201" s="8">
        <v>0.75</v>
      </c>
      <c r="G201" s="67" t="s">
        <v>75</v>
      </c>
      <c r="H201" s="68"/>
      <c r="I201" s="35">
        <v>65</v>
      </c>
      <c r="J201" s="9">
        <f t="shared" si="46"/>
        <v>3.0769230769230771E-2</v>
      </c>
      <c r="K201" s="39"/>
      <c r="L201" s="39"/>
      <c r="M201" s="39"/>
      <c r="N201" s="39"/>
      <c r="O201" s="39"/>
      <c r="P201" s="39"/>
      <c r="Q201" s="39">
        <v>2</v>
      </c>
      <c r="R201" s="39"/>
      <c r="S201" s="10">
        <f t="shared" si="50"/>
        <v>2</v>
      </c>
      <c r="T201" s="10">
        <v>100000</v>
      </c>
      <c r="U201" s="10">
        <f t="shared" ref="U201:U208" si="52">T201*S201</f>
        <v>200000</v>
      </c>
      <c r="V201" s="4"/>
      <c r="W201" s="4"/>
      <c r="X201" s="11"/>
      <c r="Y201" s="4"/>
    </row>
    <row r="202" spans="2:25" ht="37.5" hidden="1">
      <c r="B202" s="58"/>
      <c r="C202" s="60"/>
      <c r="D202" s="53" t="s">
        <v>47</v>
      </c>
      <c r="E202" s="64"/>
      <c r="F202" s="12">
        <v>0.83333333333333337</v>
      </c>
      <c r="G202" s="67" t="s">
        <v>75</v>
      </c>
      <c r="H202" s="68"/>
      <c r="I202" s="36">
        <v>80</v>
      </c>
      <c r="J202" s="9">
        <f t="shared" si="46"/>
        <v>2.5000000000000001E-2</v>
      </c>
      <c r="K202" s="41"/>
      <c r="L202" s="41"/>
      <c r="M202" s="39"/>
      <c r="N202" s="41"/>
      <c r="O202" s="41"/>
      <c r="P202" s="41"/>
      <c r="Q202" s="41">
        <v>2</v>
      </c>
      <c r="R202" s="41"/>
      <c r="S202" s="13">
        <f t="shared" si="50"/>
        <v>2</v>
      </c>
      <c r="T202" s="13">
        <v>100000</v>
      </c>
      <c r="U202" s="13">
        <f t="shared" si="52"/>
        <v>200000</v>
      </c>
      <c r="V202" s="4"/>
      <c r="Y202" s="4"/>
    </row>
    <row r="203" spans="2:25" ht="37.5" hidden="1">
      <c r="B203" s="58"/>
      <c r="C203" s="60"/>
      <c r="D203" s="51" t="s">
        <v>47</v>
      </c>
      <c r="E203" s="62" t="s">
        <v>102</v>
      </c>
      <c r="F203" s="5">
        <v>0.91666666666666663</v>
      </c>
      <c r="G203" s="65" t="s">
        <v>77</v>
      </c>
      <c r="H203" s="66"/>
      <c r="I203" s="34">
        <v>52</v>
      </c>
      <c r="J203" s="6">
        <f t="shared" si="46"/>
        <v>0.21153846153846154</v>
      </c>
      <c r="K203" s="38">
        <v>1</v>
      </c>
      <c r="L203" s="38"/>
      <c r="M203" s="38"/>
      <c r="N203" s="38"/>
      <c r="O203" s="38"/>
      <c r="P203" s="38"/>
      <c r="Q203" s="38">
        <v>10</v>
      </c>
      <c r="R203" s="38"/>
      <c r="S203" s="7">
        <f t="shared" si="50"/>
        <v>11</v>
      </c>
      <c r="T203" s="7">
        <v>100000</v>
      </c>
      <c r="U203" s="7">
        <f t="shared" si="52"/>
        <v>1100000</v>
      </c>
      <c r="V203" s="4"/>
      <c r="Y203" s="4"/>
    </row>
    <row r="204" spans="2:25" ht="37.5" hidden="1">
      <c r="B204" s="58"/>
      <c r="C204" s="60"/>
      <c r="D204" s="52" t="s">
        <v>47</v>
      </c>
      <c r="E204" s="63"/>
      <c r="F204" s="8">
        <v>1</v>
      </c>
      <c r="G204" s="67" t="s">
        <v>77</v>
      </c>
      <c r="H204" s="68"/>
      <c r="I204" s="35">
        <v>20</v>
      </c>
      <c r="J204" s="9">
        <f t="shared" si="46"/>
        <v>0</v>
      </c>
      <c r="K204" s="39"/>
      <c r="L204" s="39"/>
      <c r="M204" s="39"/>
      <c r="N204" s="39"/>
      <c r="O204" s="39"/>
      <c r="P204" s="39"/>
      <c r="Q204" s="39"/>
      <c r="R204" s="39"/>
      <c r="S204" s="10">
        <f t="shared" si="50"/>
        <v>0</v>
      </c>
      <c r="T204" s="10">
        <v>100000</v>
      </c>
      <c r="U204" s="10">
        <f t="shared" si="52"/>
        <v>0</v>
      </c>
      <c r="V204" s="4"/>
      <c r="Y204" s="4"/>
    </row>
    <row r="205" spans="2:25" ht="37.5" hidden="1">
      <c r="B205" s="58"/>
      <c r="C205" s="60"/>
      <c r="D205" s="52" t="s">
        <v>47</v>
      </c>
      <c r="E205" s="63"/>
      <c r="F205" s="8">
        <v>8.3333333333333329E-2</v>
      </c>
      <c r="G205" s="67" t="s">
        <v>77</v>
      </c>
      <c r="H205" s="68"/>
      <c r="I205" s="35">
        <v>52</v>
      </c>
      <c r="J205" s="9">
        <f t="shared" si="46"/>
        <v>0</v>
      </c>
      <c r="K205" s="39"/>
      <c r="L205" s="39"/>
      <c r="M205" s="39"/>
      <c r="N205" s="39"/>
      <c r="O205" s="39"/>
      <c r="P205" s="39"/>
      <c r="Q205" s="39"/>
      <c r="R205" s="39"/>
      <c r="S205" s="10">
        <f t="shared" si="50"/>
        <v>0</v>
      </c>
      <c r="T205" s="10">
        <v>100000</v>
      </c>
      <c r="U205" s="10">
        <f t="shared" si="52"/>
        <v>0</v>
      </c>
      <c r="V205" s="4"/>
      <c r="Y205" s="4"/>
    </row>
    <row r="206" spans="2:25" ht="37.5" hidden="1">
      <c r="B206" s="58"/>
      <c r="C206" s="60"/>
      <c r="D206" s="52" t="s">
        <v>47</v>
      </c>
      <c r="E206" s="63"/>
      <c r="F206" s="8">
        <v>0.16666666666666666</v>
      </c>
      <c r="G206" s="67" t="s">
        <v>77</v>
      </c>
      <c r="H206" s="68"/>
      <c r="I206" s="35">
        <v>52</v>
      </c>
      <c r="J206" s="9">
        <f t="shared" si="46"/>
        <v>0</v>
      </c>
      <c r="K206" s="39"/>
      <c r="L206" s="39"/>
      <c r="M206" s="39"/>
      <c r="N206" s="39"/>
      <c r="O206" s="39"/>
      <c r="P206" s="39"/>
      <c r="Q206" s="39"/>
      <c r="R206" s="39"/>
      <c r="S206" s="10">
        <f t="shared" si="50"/>
        <v>0</v>
      </c>
      <c r="T206" s="10">
        <v>100000</v>
      </c>
      <c r="U206" s="10">
        <f t="shared" si="52"/>
        <v>0</v>
      </c>
      <c r="V206" s="4"/>
      <c r="W206" s="4"/>
      <c r="X206" s="4"/>
      <c r="Y206" s="4"/>
    </row>
    <row r="207" spans="2:25" ht="37.5" hidden="1">
      <c r="B207" s="58"/>
      <c r="C207" s="60"/>
      <c r="D207" s="52" t="s">
        <v>47</v>
      </c>
      <c r="E207" s="63"/>
      <c r="F207" s="8">
        <v>0.25</v>
      </c>
      <c r="G207" s="67" t="s">
        <v>77</v>
      </c>
      <c r="H207" s="68"/>
      <c r="I207" s="35">
        <v>10</v>
      </c>
      <c r="J207" s="9">
        <f t="shared" si="46"/>
        <v>0</v>
      </c>
      <c r="K207" s="39"/>
      <c r="L207" s="39"/>
      <c r="M207" s="39"/>
      <c r="N207" s="39"/>
      <c r="O207" s="39"/>
      <c r="P207" s="39"/>
      <c r="Q207" s="39"/>
      <c r="R207" s="39"/>
      <c r="S207" s="10">
        <f t="shared" si="50"/>
        <v>0</v>
      </c>
      <c r="T207" s="10">
        <v>100000</v>
      </c>
      <c r="U207" s="10">
        <f t="shared" si="52"/>
        <v>0</v>
      </c>
      <c r="V207" s="4"/>
      <c r="Y207" s="4"/>
    </row>
    <row r="208" spans="2:25" ht="37.5" hidden="1">
      <c r="B208" s="58"/>
      <c r="C208" s="61"/>
      <c r="D208" s="53" t="s">
        <v>47</v>
      </c>
      <c r="E208" s="69"/>
      <c r="F208" s="14">
        <v>0.33333333333333331</v>
      </c>
      <c r="G208" s="67" t="s">
        <v>77</v>
      </c>
      <c r="H208" s="68"/>
      <c r="I208" s="37">
        <v>54</v>
      </c>
      <c r="J208" s="15">
        <f t="shared" si="46"/>
        <v>0</v>
      </c>
      <c r="K208" s="40"/>
      <c r="L208" s="40"/>
      <c r="M208" s="40"/>
      <c r="N208" s="40"/>
      <c r="O208" s="40"/>
      <c r="P208" s="40"/>
      <c r="Q208" s="40"/>
      <c r="R208" s="40"/>
      <c r="S208" s="16">
        <f t="shared" si="50"/>
        <v>0</v>
      </c>
      <c r="T208" s="16">
        <v>100000</v>
      </c>
      <c r="U208" s="16">
        <f t="shared" si="52"/>
        <v>0</v>
      </c>
      <c r="V208" s="4"/>
      <c r="W208" s="4"/>
      <c r="X208" s="4"/>
      <c r="Y208" s="4"/>
    </row>
    <row r="209" spans="2:25" ht="35.25" hidden="1" customHeight="1">
      <c r="B209" s="58">
        <v>46098</v>
      </c>
      <c r="C209" s="59" t="s">
        <v>16</v>
      </c>
      <c r="D209" s="51" t="s">
        <v>47</v>
      </c>
      <c r="E209" s="62" t="s">
        <v>101</v>
      </c>
      <c r="F209" s="5">
        <v>0.41666666666666669</v>
      </c>
      <c r="G209" s="65" t="s">
        <v>76</v>
      </c>
      <c r="H209" s="66"/>
      <c r="I209" s="34">
        <v>80</v>
      </c>
      <c r="J209" s="6">
        <f t="shared" si="46"/>
        <v>3.7499999999999999E-2</v>
      </c>
      <c r="K209" s="38"/>
      <c r="L209" s="38"/>
      <c r="M209" s="38"/>
      <c r="N209" s="38"/>
      <c r="O209" s="38"/>
      <c r="P209" s="38"/>
      <c r="Q209" s="38"/>
      <c r="R209" s="38">
        <v>3</v>
      </c>
      <c r="S209" s="7">
        <f>SUM(K209:R209)</f>
        <v>3</v>
      </c>
      <c r="T209" s="7">
        <v>100000</v>
      </c>
      <c r="U209" s="7">
        <f>T209*S209</f>
        <v>300000</v>
      </c>
      <c r="V209" s="4"/>
      <c r="W209" s="4"/>
      <c r="X209" s="4"/>
      <c r="Y209" s="4"/>
    </row>
    <row r="210" spans="2:25" ht="37.5" hidden="1">
      <c r="B210" s="58"/>
      <c r="C210" s="60"/>
      <c r="D210" s="52" t="s">
        <v>47</v>
      </c>
      <c r="E210" s="63"/>
      <c r="F210" s="8">
        <v>0.5</v>
      </c>
      <c r="G210" s="67" t="s">
        <v>76</v>
      </c>
      <c r="H210" s="68"/>
      <c r="I210" s="35">
        <v>35</v>
      </c>
      <c r="J210" s="9">
        <f t="shared" si="46"/>
        <v>2.8571428571428571E-2</v>
      </c>
      <c r="K210" s="39"/>
      <c r="L210" s="39"/>
      <c r="M210" s="39"/>
      <c r="N210" s="39"/>
      <c r="O210" s="39"/>
      <c r="P210" s="39"/>
      <c r="Q210" s="39">
        <v>1</v>
      </c>
      <c r="R210" s="39"/>
      <c r="S210" s="10">
        <f t="shared" ref="S210:S220" si="53">SUM(K210:R210)</f>
        <v>1</v>
      </c>
      <c r="T210" s="10">
        <v>100000</v>
      </c>
      <c r="U210" s="10">
        <f t="shared" ref="U210:U211" si="54">T210*S210</f>
        <v>100000</v>
      </c>
      <c r="V210" s="4"/>
      <c r="W210" s="4"/>
      <c r="X210" s="4"/>
      <c r="Y210" s="4"/>
    </row>
    <row r="211" spans="2:25" ht="37.5" hidden="1">
      <c r="B211" s="58"/>
      <c r="C211" s="60"/>
      <c r="D211" s="52" t="s">
        <v>47</v>
      </c>
      <c r="E211" s="63"/>
      <c r="F211" s="8">
        <v>0.58333333333333337</v>
      </c>
      <c r="G211" s="67" t="s">
        <v>76</v>
      </c>
      <c r="H211" s="68"/>
      <c r="I211" s="35">
        <v>82</v>
      </c>
      <c r="J211" s="9">
        <f t="shared" si="46"/>
        <v>2.4390243902439025E-2</v>
      </c>
      <c r="K211" s="39"/>
      <c r="L211" s="39"/>
      <c r="M211" s="39"/>
      <c r="N211" s="39"/>
      <c r="O211" s="39"/>
      <c r="P211" s="39"/>
      <c r="Q211" s="39">
        <v>2</v>
      </c>
      <c r="R211" s="39"/>
      <c r="S211" s="10">
        <f t="shared" si="53"/>
        <v>2</v>
      </c>
      <c r="T211" s="10">
        <v>100000</v>
      </c>
      <c r="U211" s="10">
        <f t="shared" si="54"/>
        <v>200000</v>
      </c>
      <c r="V211" s="4"/>
      <c r="W211" s="4"/>
      <c r="X211" s="4"/>
      <c r="Y211" s="4"/>
    </row>
    <row r="212" spans="2:25" ht="37.5" hidden="1">
      <c r="B212" s="58"/>
      <c r="C212" s="60"/>
      <c r="D212" s="52" t="s">
        <v>47</v>
      </c>
      <c r="E212" s="63"/>
      <c r="F212" s="8">
        <v>0.66666666666666663</v>
      </c>
      <c r="G212" s="67" t="s">
        <v>76</v>
      </c>
      <c r="H212" s="68"/>
      <c r="I212" s="35">
        <v>80</v>
      </c>
      <c r="J212" s="9">
        <f t="shared" si="46"/>
        <v>1.2500000000000001E-2</v>
      </c>
      <c r="K212" s="39"/>
      <c r="L212" s="39"/>
      <c r="M212" s="39"/>
      <c r="N212" s="39"/>
      <c r="O212" s="39"/>
      <c r="P212" s="39"/>
      <c r="Q212" s="39">
        <v>1</v>
      </c>
      <c r="R212" s="39"/>
      <c r="S212" s="10">
        <f t="shared" si="53"/>
        <v>1</v>
      </c>
      <c r="T212" s="10">
        <v>100000</v>
      </c>
      <c r="U212" s="10">
        <f>T212*S212</f>
        <v>100000</v>
      </c>
      <c r="V212" s="4"/>
      <c r="W212" s="4"/>
      <c r="X212" s="4"/>
      <c r="Y212" s="4"/>
    </row>
    <row r="213" spans="2:25" ht="37.5" hidden="1">
      <c r="B213" s="58"/>
      <c r="C213" s="60"/>
      <c r="D213" s="52" t="s">
        <v>47</v>
      </c>
      <c r="E213" s="63"/>
      <c r="F213" s="8">
        <v>0.75</v>
      </c>
      <c r="G213" s="67" t="s">
        <v>76</v>
      </c>
      <c r="H213" s="68"/>
      <c r="I213" s="35">
        <v>50</v>
      </c>
      <c r="J213" s="9">
        <f t="shared" si="46"/>
        <v>0.04</v>
      </c>
      <c r="K213" s="39"/>
      <c r="L213" s="39"/>
      <c r="M213" s="39"/>
      <c r="N213" s="39"/>
      <c r="O213" s="39"/>
      <c r="P213" s="39"/>
      <c r="Q213" s="39">
        <v>2</v>
      </c>
      <c r="R213" s="39"/>
      <c r="S213" s="10">
        <f t="shared" si="53"/>
        <v>2</v>
      </c>
      <c r="T213" s="10">
        <v>100000</v>
      </c>
      <c r="U213" s="10">
        <f t="shared" ref="U213:U220" si="55">T213*S213</f>
        <v>200000</v>
      </c>
      <c r="V213" s="4"/>
      <c r="W213" s="4"/>
      <c r="X213" s="11"/>
      <c r="Y213" s="4"/>
    </row>
    <row r="214" spans="2:25" ht="37.5" hidden="1">
      <c r="B214" s="58"/>
      <c r="C214" s="60"/>
      <c r="D214" s="53" t="s">
        <v>47</v>
      </c>
      <c r="E214" s="64"/>
      <c r="F214" s="12">
        <v>0.83333333333333337</v>
      </c>
      <c r="G214" s="67" t="s">
        <v>76</v>
      </c>
      <c r="H214" s="68"/>
      <c r="I214" s="36">
        <v>73</v>
      </c>
      <c r="J214" s="9">
        <f t="shared" si="46"/>
        <v>2.7397260273972601E-2</v>
      </c>
      <c r="K214" s="41"/>
      <c r="L214" s="41"/>
      <c r="M214" s="39"/>
      <c r="N214" s="41"/>
      <c r="O214" s="41"/>
      <c r="P214" s="41"/>
      <c r="Q214" s="41"/>
      <c r="R214" s="41">
        <v>2</v>
      </c>
      <c r="S214" s="13">
        <f t="shared" si="53"/>
        <v>2</v>
      </c>
      <c r="T214" s="13">
        <v>100000</v>
      </c>
      <c r="U214" s="13">
        <f t="shared" si="55"/>
        <v>200000</v>
      </c>
      <c r="V214" s="4"/>
      <c r="Y214" s="4"/>
    </row>
    <row r="215" spans="2:25" ht="37.5" hidden="1">
      <c r="B215" s="58"/>
      <c r="C215" s="60"/>
      <c r="D215" s="51" t="s">
        <v>47</v>
      </c>
      <c r="E215" s="62" t="s">
        <v>102</v>
      </c>
      <c r="F215" s="5">
        <v>0.91666666666666663</v>
      </c>
      <c r="G215" s="65" t="s">
        <v>84</v>
      </c>
      <c r="H215" s="66"/>
      <c r="I215" s="34">
        <v>76</v>
      </c>
      <c r="J215" s="6">
        <f t="shared" si="46"/>
        <v>2.6315789473684209E-2</v>
      </c>
      <c r="K215" s="38">
        <v>2</v>
      </c>
      <c r="L215" s="38"/>
      <c r="M215" s="38"/>
      <c r="N215" s="38"/>
      <c r="O215" s="38"/>
      <c r="P215" s="38"/>
      <c r="Q215" s="38"/>
      <c r="R215" s="38"/>
      <c r="S215" s="7">
        <f t="shared" si="53"/>
        <v>2</v>
      </c>
      <c r="T215" s="7">
        <v>100000</v>
      </c>
      <c r="U215" s="7">
        <f t="shared" si="55"/>
        <v>200000</v>
      </c>
      <c r="V215" s="4"/>
      <c r="Y215" s="4"/>
    </row>
    <row r="216" spans="2:25" ht="37.5" hidden="1">
      <c r="B216" s="58"/>
      <c r="C216" s="60"/>
      <c r="D216" s="52" t="s">
        <v>47</v>
      </c>
      <c r="E216" s="63"/>
      <c r="F216" s="8">
        <v>1</v>
      </c>
      <c r="G216" s="67" t="s">
        <v>84</v>
      </c>
      <c r="H216" s="68"/>
      <c r="I216" s="35">
        <v>76</v>
      </c>
      <c r="J216" s="9">
        <f t="shared" si="46"/>
        <v>2.6315789473684209E-2</v>
      </c>
      <c r="K216" s="39">
        <v>2</v>
      </c>
      <c r="L216" s="39"/>
      <c r="M216" s="39"/>
      <c r="N216" s="39"/>
      <c r="O216" s="39"/>
      <c r="P216" s="39"/>
      <c r="Q216" s="39"/>
      <c r="R216" s="39"/>
      <c r="S216" s="10">
        <f t="shared" si="53"/>
        <v>2</v>
      </c>
      <c r="T216" s="10">
        <v>100000</v>
      </c>
      <c r="U216" s="10">
        <f t="shared" si="55"/>
        <v>200000</v>
      </c>
      <c r="V216" s="4"/>
      <c r="Y216" s="4"/>
    </row>
    <row r="217" spans="2:25" ht="37.5" hidden="1">
      <c r="B217" s="58"/>
      <c r="C217" s="60"/>
      <c r="D217" s="52" t="s">
        <v>47</v>
      </c>
      <c r="E217" s="63"/>
      <c r="F217" s="8">
        <v>8.3333333333333329E-2</v>
      </c>
      <c r="G217" s="67" t="s">
        <v>84</v>
      </c>
      <c r="H217" s="68"/>
      <c r="I217" s="35">
        <v>76</v>
      </c>
      <c r="J217" s="9">
        <f t="shared" si="46"/>
        <v>2.6315789473684209E-2</v>
      </c>
      <c r="K217" s="39"/>
      <c r="L217" s="39"/>
      <c r="M217" s="39"/>
      <c r="N217" s="39"/>
      <c r="O217" s="39"/>
      <c r="P217" s="39"/>
      <c r="Q217" s="39"/>
      <c r="R217" s="39">
        <v>2</v>
      </c>
      <c r="S217" s="10">
        <f t="shared" si="53"/>
        <v>2</v>
      </c>
      <c r="T217" s="10">
        <v>100000</v>
      </c>
      <c r="U217" s="10">
        <f t="shared" si="55"/>
        <v>200000</v>
      </c>
      <c r="V217" s="4"/>
      <c r="Y217" s="4"/>
    </row>
    <row r="218" spans="2:25" ht="37.5" hidden="1">
      <c r="B218" s="58"/>
      <c r="C218" s="60"/>
      <c r="D218" s="52" t="s">
        <v>47</v>
      </c>
      <c r="E218" s="63"/>
      <c r="F218" s="8">
        <v>0.16666666666666666</v>
      </c>
      <c r="G218" s="67" t="s">
        <v>84</v>
      </c>
      <c r="H218" s="68"/>
      <c r="I218" s="35">
        <v>76</v>
      </c>
      <c r="J218" s="9">
        <f t="shared" si="46"/>
        <v>2.6315789473684209E-2</v>
      </c>
      <c r="K218" s="39"/>
      <c r="L218" s="39"/>
      <c r="M218" s="39"/>
      <c r="N218" s="39"/>
      <c r="O218" s="39"/>
      <c r="P218" s="39"/>
      <c r="Q218" s="39"/>
      <c r="R218" s="39">
        <v>2</v>
      </c>
      <c r="S218" s="10">
        <f t="shared" si="53"/>
        <v>2</v>
      </c>
      <c r="T218" s="10">
        <v>100000</v>
      </c>
      <c r="U218" s="10">
        <f t="shared" si="55"/>
        <v>200000</v>
      </c>
      <c r="V218" s="4"/>
      <c r="W218" s="4"/>
      <c r="X218" s="4"/>
      <c r="Y218" s="4"/>
    </row>
    <row r="219" spans="2:25" ht="37.5" hidden="1">
      <c r="B219" s="58"/>
      <c r="C219" s="60"/>
      <c r="D219" s="52" t="s">
        <v>47</v>
      </c>
      <c r="E219" s="63"/>
      <c r="F219" s="8">
        <v>0.25</v>
      </c>
      <c r="G219" s="67" t="s">
        <v>84</v>
      </c>
      <c r="H219" s="68"/>
      <c r="I219" s="35">
        <v>76</v>
      </c>
      <c r="J219" s="9">
        <f t="shared" si="46"/>
        <v>1.3157894736842105E-2</v>
      </c>
      <c r="K219" s="39"/>
      <c r="L219" s="39"/>
      <c r="M219" s="39"/>
      <c r="N219" s="39"/>
      <c r="O219" s="39"/>
      <c r="P219" s="39"/>
      <c r="Q219" s="39"/>
      <c r="R219" s="39">
        <v>1</v>
      </c>
      <c r="S219" s="10">
        <f t="shared" si="53"/>
        <v>1</v>
      </c>
      <c r="T219" s="10">
        <v>100000</v>
      </c>
      <c r="U219" s="10">
        <f t="shared" si="55"/>
        <v>100000</v>
      </c>
      <c r="V219" s="4"/>
      <c r="Y219" s="4"/>
    </row>
    <row r="220" spans="2:25" ht="37.5" hidden="1">
      <c r="B220" s="58"/>
      <c r="C220" s="61"/>
      <c r="D220" s="53" t="s">
        <v>47</v>
      </c>
      <c r="E220" s="69"/>
      <c r="F220" s="14">
        <v>0.33333333333333331</v>
      </c>
      <c r="G220" s="67" t="s">
        <v>84</v>
      </c>
      <c r="H220" s="68"/>
      <c r="I220" s="37">
        <v>80</v>
      </c>
      <c r="J220" s="15">
        <f t="shared" si="46"/>
        <v>0</v>
      </c>
      <c r="K220" s="40"/>
      <c r="L220" s="40"/>
      <c r="M220" s="40"/>
      <c r="N220" s="40"/>
      <c r="O220" s="40"/>
      <c r="P220" s="40"/>
      <c r="Q220" s="40"/>
      <c r="R220" s="40"/>
      <c r="S220" s="16">
        <f t="shared" si="53"/>
        <v>0</v>
      </c>
      <c r="T220" s="16">
        <v>100000</v>
      </c>
      <c r="U220" s="16">
        <f t="shared" si="55"/>
        <v>0</v>
      </c>
      <c r="V220" s="4"/>
      <c r="W220" s="4"/>
      <c r="X220" s="4"/>
      <c r="Y220" s="4"/>
    </row>
    <row r="221" spans="2:25" ht="36" hidden="1" customHeight="1">
      <c r="B221" s="58">
        <v>46099</v>
      </c>
      <c r="C221" s="59" t="s">
        <v>16</v>
      </c>
      <c r="D221" s="51" t="s">
        <v>47</v>
      </c>
      <c r="E221" s="62" t="s">
        <v>101</v>
      </c>
      <c r="F221" s="5">
        <v>0.41666666666666669</v>
      </c>
      <c r="G221" s="65" t="s">
        <v>104</v>
      </c>
      <c r="H221" s="66"/>
      <c r="I221" s="34">
        <v>83</v>
      </c>
      <c r="J221" s="6">
        <f t="shared" ref="J221:J256" si="56">IFERROR(S221/I221,"")</f>
        <v>2.4096385542168676E-2</v>
      </c>
      <c r="K221" s="38"/>
      <c r="L221" s="38"/>
      <c r="M221" s="38"/>
      <c r="N221" s="38"/>
      <c r="O221" s="38"/>
      <c r="P221" s="38"/>
      <c r="Q221" s="38"/>
      <c r="R221" s="38">
        <v>2</v>
      </c>
      <c r="S221" s="7">
        <f>SUM(K221:R221)</f>
        <v>2</v>
      </c>
      <c r="T221" s="7">
        <v>100000</v>
      </c>
      <c r="U221" s="7">
        <f>T221*S221</f>
        <v>200000</v>
      </c>
      <c r="V221" s="4"/>
      <c r="W221" s="4"/>
      <c r="X221" s="4"/>
      <c r="Y221" s="4"/>
    </row>
    <row r="222" spans="2:25" ht="37.5" hidden="1">
      <c r="B222" s="58"/>
      <c r="C222" s="60"/>
      <c r="D222" s="52" t="s">
        <v>47</v>
      </c>
      <c r="E222" s="63"/>
      <c r="F222" s="8">
        <v>0.5</v>
      </c>
      <c r="G222" s="67" t="s">
        <v>104</v>
      </c>
      <c r="H222" s="68"/>
      <c r="I222" s="35">
        <v>84</v>
      </c>
      <c r="J222" s="9">
        <f t="shared" si="56"/>
        <v>4.7619047619047616E-2</v>
      </c>
      <c r="K222" s="39"/>
      <c r="L222" s="39"/>
      <c r="M222" s="39"/>
      <c r="N222" s="39"/>
      <c r="O222" s="39"/>
      <c r="P222" s="39"/>
      <c r="Q222" s="39">
        <v>4</v>
      </c>
      <c r="R222" s="39"/>
      <c r="S222" s="10">
        <f t="shared" ref="S222:S232" si="57">SUM(K222:R222)</f>
        <v>4</v>
      </c>
      <c r="T222" s="10">
        <v>100000</v>
      </c>
      <c r="U222" s="10">
        <f t="shared" ref="U222:U223" si="58">T222*S222</f>
        <v>400000</v>
      </c>
      <c r="V222" s="4"/>
      <c r="W222" s="4"/>
      <c r="X222" s="4"/>
      <c r="Y222" s="4"/>
    </row>
    <row r="223" spans="2:25" ht="37.5" hidden="1">
      <c r="B223" s="58"/>
      <c r="C223" s="60"/>
      <c r="D223" s="52" t="s">
        <v>47</v>
      </c>
      <c r="E223" s="63"/>
      <c r="F223" s="8">
        <v>0.58333333333333337</v>
      </c>
      <c r="G223" s="67" t="s">
        <v>104</v>
      </c>
      <c r="H223" s="68"/>
      <c r="I223" s="35">
        <v>83</v>
      </c>
      <c r="J223" s="9">
        <f t="shared" si="56"/>
        <v>7.2289156626506021E-2</v>
      </c>
      <c r="K223" s="39"/>
      <c r="L223" s="39"/>
      <c r="M223" s="39"/>
      <c r="N223" s="39"/>
      <c r="O223" s="39"/>
      <c r="P223" s="39"/>
      <c r="Q223" s="39"/>
      <c r="R223" s="39">
        <v>6</v>
      </c>
      <c r="S223" s="10">
        <f t="shared" si="57"/>
        <v>6</v>
      </c>
      <c r="T223" s="10">
        <v>100000</v>
      </c>
      <c r="U223" s="10">
        <f t="shared" si="58"/>
        <v>600000</v>
      </c>
      <c r="V223" s="4"/>
      <c r="W223" s="4"/>
      <c r="X223" s="4"/>
      <c r="Y223" s="4"/>
    </row>
    <row r="224" spans="2:25" ht="37.5" hidden="1">
      <c r="B224" s="58"/>
      <c r="C224" s="60"/>
      <c r="D224" s="52" t="s">
        <v>47</v>
      </c>
      <c r="E224" s="63"/>
      <c r="F224" s="8">
        <v>0.66666666666666663</v>
      </c>
      <c r="G224" s="67" t="s">
        <v>104</v>
      </c>
      <c r="H224" s="68"/>
      <c r="I224" s="35">
        <v>25</v>
      </c>
      <c r="J224" s="9">
        <f t="shared" si="56"/>
        <v>0.32</v>
      </c>
      <c r="K224" s="39"/>
      <c r="L224" s="39"/>
      <c r="M224" s="39"/>
      <c r="N224" s="39"/>
      <c r="O224" s="39"/>
      <c r="P224" s="39"/>
      <c r="Q224" s="39"/>
      <c r="R224" s="39">
        <v>8</v>
      </c>
      <c r="S224" s="10">
        <f t="shared" si="57"/>
        <v>8</v>
      </c>
      <c r="T224" s="10">
        <v>100000</v>
      </c>
      <c r="U224" s="10">
        <f>T224*S224</f>
        <v>800000</v>
      </c>
      <c r="V224" s="4"/>
      <c r="W224" s="4"/>
      <c r="X224" s="4"/>
      <c r="Y224" s="4"/>
    </row>
    <row r="225" spans="2:25" ht="37.5" hidden="1">
      <c r="B225" s="58"/>
      <c r="C225" s="60"/>
      <c r="D225" s="52" t="s">
        <v>47</v>
      </c>
      <c r="E225" s="63"/>
      <c r="F225" s="8">
        <v>0.75</v>
      </c>
      <c r="G225" s="67" t="s">
        <v>104</v>
      </c>
      <c r="H225" s="68"/>
      <c r="I225" s="35">
        <v>5</v>
      </c>
      <c r="J225" s="9">
        <f t="shared" si="56"/>
        <v>0.6</v>
      </c>
      <c r="K225" s="39"/>
      <c r="L225" s="39"/>
      <c r="M225" s="39"/>
      <c r="N225" s="39"/>
      <c r="O225" s="39"/>
      <c r="P225" s="39"/>
      <c r="Q225" s="39">
        <v>3</v>
      </c>
      <c r="R225" s="39"/>
      <c r="S225" s="10">
        <f t="shared" si="57"/>
        <v>3</v>
      </c>
      <c r="T225" s="10">
        <v>100000</v>
      </c>
      <c r="U225" s="10">
        <f t="shared" ref="U225:U232" si="59">T225*S225</f>
        <v>300000</v>
      </c>
      <c r="V225" s="4"/>
      <c r="W225" s="4"/>
      <c r="X225" s="11"/>
      <c r="Y225" s="4"/>
    </row>
    <row r="226" spans="2:25" ht="37.5" hidden="1">
      <c r="B226" s="58"/>
      <c r="C226" s="60"/>
      <c r="D226" s="53" t="s">
        <v>47</v>
      </c>
      <c r="E226" s="64"/>
      <c r="F226" s="12">
        <v>0.83333333333333337</v>
      </c>
      <c r="G226" s="67" t="s">
        <v>104</v>
      </c>
      <c r="H226" s="68"/>
      <c r="I226" s="36"/>
      <c r="J226" s="9" t="str">
        <f t="shared" si="56"/>
        <v/>
      </c>
      <c r="K226" s="41"/>
      <c r="L226" s="41"/>
      <c r="M226" s="39"/>
      <c r="N226" s="41"/>
      <c r="O226" s="41"/>
      <c r="P226" s="41"/>
      <c r="Q226" s="41"/>
      <c r="R226" s="41"/>
      <c r="S226" s="13">
        <f t="shared" si="57"/>
        <v>0</v>
      </c>
      <c r="T226" s="13">
        <v>100000</v>
      </c>
      <c r="U226" s="13">
        <f t="shared" si="59"/>
        <v>0</v>
      </c>
      <c r="V226" s="4"/>
      <c r="Y226" s="4"/>
    </row>
    <row r="227" spans="2:25" ht="37.5" hidden="1">
      <c r="B227" s="58"/>
      <c r="C227" s="60"/>
      <c r="D227" s="51" t="s">
        <v>47</v>
      </c>
      <c r="E227" s="62" t="s">
        <v>102</v>
      </c>
      <c r="F227" s="5">
        <v>0.91666666666666663</v>
      </c>
      <c r="G227" s="65" t="s">
        <v>84</v>
      </c>
      <c r="H227" s="66"/>
      <c r="I227" s="34">
        <v>80</v>
      </c>
      <c r="J227" s="6">
        <f t="shared" si="56"/>
        <v>2.5000000000000001E-2</v>
      </c>
      <c r="K227" s="38">
        <v>2</v>
      </c>
      <c r="L227" s="38"/>
      <c r="M227" s="38"/>
      <c r="N227" s="38"/>
      <c r="O227" s="38"/>
      <c r="P227" s="38"/>
      <c r="Q227" s="38"/>
      <c r="R227" s="38"/>
      <c r="S227" s="7">
        <f t="shared" si="57"/>
        <v>2</v>
      </c>
      <c r="T227" s="7">
        <v>100000</v>
      </c>
      <c r="U227" s="7">
        <f t="shared" si="59"/>
        <v>200000</v>
      </c>
      <c r="V227" s="4"/>
      <c r="Y227" s="4"/>
    </row>
    <row r="228" spans="2:25" ht="37.5" hidden="1">
      <c r="B228" s="58"/>
      <c r="C228" s="60"/>
      <c r="D228" s="52" t="s">
        <v>47</v>
      </c>
      <c r="E228" s="63"/>
      <c r="F228" s="8">
        <v>1</v>
      </c>
      <c r="G228" s="67" t="s">
        <v>84</v>
      </c>
      <c r="H228" s="68"/>
      <c r="I228" s="35">
        <v>30</v>
      </c>
      <c r="J228" s="9">
        <f t="shared" si="56"/>
        <v>6.6666666666666666E-2</v>
      </c>
      <c r="K228" s="39">
        <v>2</v>
      </c>
      <c r="L228" s="39"/>
      <c r="M228" s="39"/>
      <c r="N228" s="39"/>
      <c r="O228" s="39"/>
      <c r="P228" s="39"/>
      <c r="Q228" s="39"/>
      <c r="R228" s="39"/>
      <c r="S228" s="10">
        <f t="shared" si="57"/>
        <v>2</v>
      </c>
      <c r="T228" s="10">
        <v>100000</v>
      </c>
      <c r="U228" s="10">
        <f t="shared" si="59"/>
        <v>200000</v>
      </c>
      <c r="V228" s="4"/>
      <c r="Y228" s="4"/>
    </row>
    <row r="229" spans="2:25" ht="37.5" hidden="1">
      <c r="B229" s="58"/>
      <c r="C229" s="60"/>
      <c r="D229" s="52" t="s">
        <v>47</v>
      </c>
      <c r="E229" s="63"/>
      <c r="F229" s="8">
        <v>8.3333333333333329E-2</v>
      </c>
      <c r="G229" s="67" t="s">
        <v>84</v>
      </c>
      <c r="H229" s="68"/>
      <c r="I229" s="35">
        <v>80</v>
      </c>
      <c r="J229" s="9">
        <f t="shared" si="56"/>
        <v>2.5000000000000001E-2</v>
      </c>
      <c r="K229" s="39"/>
      <c r="L229" s="39"/>
      <c r="M229" s="39"/>
      <c r="N229" s="39"/>
      <c r="O229" s="39"/>
      <c r="P229" s="39"/>
      <c r="Q229" s="39"/>
      <c r="R229" s="39">
        <v>2</v>
      </c>
      <c r="S229" s="10">
        <f t="shared" si="57"/>
        <v>2</v>
      </c>
      <c r="T229" s="10">
        <v>100000</v>
      </c>
      <c r="U229" s="10">
        <f t="shared" si="59"/>
        <v>200000</v>
      </c>
      <c r="V229" s="4"/>
      <c r="Y229" s="4"/>
    </row>
    <row r="230" spans="2:25" ht="37.5" hidden="1">
      <c r="B230" s="58"/>
      <c r="C230" s="60"/>
      <c r="D230" s="52" t="s">
        <v>47</v>
      </c>
      <c r="E230" s="63"/>
      <c r="F230" s="8">
        <v>0.16666666666666666</v>
      </c>
      <c r="G230" s="67" t="s">
        <v>84</v>
      </c>
      <c r="H230" s="68"/>
      <c r="I230" s="35">
        <v>80</v>
      </c>
      <c r="J230" s="9">
        <f t="shared" si="56"/>
        <v>1.2500000000000001E-2</v>
      </c>
      <c r="K230" s="39"/>
      <c r="L230" s="39"/>
      <c r="M230" s="39"/>
      <c r="N230" s="39"/>
      <c r="O230" s="39"/>
      <c r="P230" s="39"/>
      <c r="Q230" s="39"/>
      <c r="R230" s="39">
        <v>1</v>
      </c>
      <c r="S230" s="10">
        <f t="shared" si="57"/>
        <v>1</v>
      </c>
      <c r="T230" s="10">
        <v>100000</v>
      </c>
      <c r="U230" s="10">
        <f t="shared" si="59"/>
        <v>100000</v>
      </c>
      <c r="V230" s="4"/>
      <c r="W230" s="4"/>
      <c r="X230" s="4"/>
      <c r="Y230" s="4"/>
    </row>
    <row r="231" spans="2:25" ht="37.5" hidden="1">
      <c r="B231" s="58"/>
      <c r="C231" s="60"/>
      <c r="D231" s="52" t="s">
        <v>47</v>
      </c>
      <c r="E231" s="63"/>
      <c r="F231" s="8">
        <v>0.25</v>
      </c>
      <c r="G231" s="67" t="s">
        <v>84</v>
      </c>
      <c r="H231" s="68"/>
      <c r="I231" s="35">
        <v>50</v>
      </c>
      <c r="J231" s="9">
        <f t="shared" si="56"/>
        <v>0</v>
      </c>
      <c r="K231" s="39"/>
      <c r="L231" s="39"/>
      <c r="M231" s="39"/>
      <c r="N231" s="39"/>
      <c r="O231" s="39"/>
      <c r="P231" s="39"/>
      <c r="Q231" s="39"/>
      <c r="R231" s="39"/>
      <c r="S231" s="10">
        <f t="shared" si="57"/>
        <v>0</v>
      </c>
      <c r="T231" s="10">
        <v>100000</v>
      </c>
      <c r="U231" s="10">
        <f t="shared" si="59"/>
        <v>0</v>
      </c>
      <c r="V231" s="4"/>
      <c r="Y231" s="4"/>
    </row>
    <row r="232" spans="2:25" ht="37.5" hidden="1">
      <c r="B232" s="58"/>
      <c r="C232" s="61"/>
      <c r="D232" s="53" t="s">
        <v>47</v>
      </c>
      <c r="E232" s="69"/>
      <c r="F232" s="14">
        <v>0.33333333333333331</v>
      </c>
      <c r="G232" s="67" t="s">
        <v>84</v>
      </c>
      <c r="H232" s="68"/>
      <c r="I232" s="37">
        <v>80</v>
      </c>
      <c r="J232" s="15">
        <f t="shared" si="56"/>
        <v>0</v>
      </c>
      <c r="K232" s="40"/>
      <c r="L232" s="40"/>
      <c r="M232" s="40"/>
      <c r="N232" s="40"/>
      <c r="O232" s="40"/>
      <c r="P232" s="40"/>
      <c r="Q232" s="40"/>
      <c r="R232" s="40"/>
      <c r="S232" s="16">
        <f t="shared" si="57"/>
        <v>0</v>
      </c>
      <c r="T232" s="16">
        <v>100000</v>
      </c>
      <c r="U232" s="16">
        <f t="shared" si="59"/>
        <v>0</v>
      </c>
      <c r="V232" s="4"/>
      <c r="W232" s="4"/>
      <c r="X232" s="4"/>
      <c r="Y232" s="4"/>
    </row>
    <row r="233" spans="2:25" ht="31.5" hidden="1" customHeight="1">
      <c r="B233" s="58">
        <v>46100</v>
      </c>
      <c r="C233" s="59" t="s">
        <v>16</v>
      </c>
      <c r="D233" s="51" t="s">
        <v>53</v>
      </c>
      <c r="E233" s="62" t="s">
        <v>101</v>
      </c>
      <c r="F233" s="5">
        <v>0.41666666666666669</v>
      </c>
      <c r="G233" s="65" t="s">
        <v>104</v>
      </c>
      <c r="H233" s="66"/>
      <c r="I233" s="34">
        <v>55</v>
      </c>
      <c r="J233" s="6">
        <f t="shared" si="56"/>
        <v>0.18181818181818182</v>
      </c>
      <c r="K233" s="38"/>
      <c r="L233" s="38"/>
      <c r="M233" s="38"/>
      <c r="N233" s="38">
        <v>10</v>
      </c>
      <c r="O233" s="38"/>
      <c r="P233" s="38"/>
      <c r="Q233" s="38"/>
      <c r="R233" s="38"/>
      <c r="S233" s="7">
        <f>SUM(K233:R233)</f>
        <v>10</v>
      </c>
      <c r="T233" s="7">
        <v>100000</v>
      </c>
      <c r="U233" s="7">
        <f>T233*S233</f>
        <v>1000000</v>
      </c>
      <c r="V233" s="4"/>
      <c r="W233" s="4"/>
      <c r="X233" s="4"/>
      <c r="Y233" s="4"/>
    </row>
    <row r="234" spans="2:25" ht="37.5" hidden="1">
      <c r="B234" s="58"/>
      <c r="C234" s="60"/>
      <c r="D234" s="52" t="s">
        <v>53</v>
      </c>
      <c r="E234" s="63"/>
      <c r="F234" s="8">
        <v>0.5</v>
      </c>
      <c r="G234" s="67" t="s">
        <v>104</v>
      </c>
      <c r="H234" s="68"/>
      <c r="I234" s="35">
        <v>65</v>
      </c>
      <c r="J234" s="9">
        <f t="shared" si="56"/>
        <v>0</v>
      </c>
      <c r="K234" s="39"/>
      <c r="L234" s="39"/>
      <c r="M234" s="39"/>
      <c r="N234" s="39"/>
      <c r="O234" s="39"/>
      <c r="P234" s="39"/>
      <c r="Q234" s="39"/>
      <c r="R234" s="39"/>
      <c r="S234" s="10">
        <f t="shared" ref="S234:S244" si="60">SUM(K234:R234)</f>
        <v>0</v>
      </c>
      <c r="T234" s="10">
        <v>100000</v>
      </c>
      <c r="U234" s="10">
        <f t="shared" ref="U234:U235" si="61">T234*S234</f>
        <v>0</v>
      </c>
      <c r="V234" s="4"/>
      <c r="W234" s="4"/>
      <c r="X234" s="4"/>
      <c r="Y234" s="4"/>
    </row>
    <row r="235" spans="2:25" ht="37.5" hidden="1">
      <c r="B235" s="58"/>
      <c r="C235" s="60"/>
      <c r="D235" s="52" t="s">
        <v>53</v>
      </c>
      <c r="E235" s="63"/>
      <c r="F235" s="8">
        <v>0.58333333333333337</v>
      </c>
      <c r="G235" s="67" t="s">
        <v>104</v>
      </c>
      <c r="H235" s="68"/>
      <c r="I235" s="35">
        <v>65</v>
      </c>
      <c r="J235" s="9">
        <f t="shared" si="56"/>
        <v>0</v>
      </c>
      <c r="K235" s="39"/>
      <c r="L235" s="39"/>
      <c r="M235" s="39"/>
      <c r="N235" s="39"/>
      <c r="O235" s="39"/>
      <c r="P235" s="39"/>
      <c r="Q235" s="39"/>
      <c r="R235" s="39"/>
      <c r="S235" s="10">
        <f t="shared" si="60"/>
        <v>0</v>
      </c>
      <c r="T235" s="10">
        <v>100000</v>
      </c>
      <c r="U235" s="10">
        <f t="shared" si="61"/>
        <v>0</v>
      </c>
      <c r="V235" s="4"/>
      <c r="W235" s="4"/>
      <c r="X235" s="4"/>
      <c r="Y235" s="4"/>
    </row>
    <row r="236" spans="2:25" ht="37.5" hidden="1">
      <c r="B236" s="58"/>
      <c r="C236" s="60"/>
      <c r="D236" s="52" t="s">
        <v>53</v>
      </c>
      <c r="E236" s="63"/>
      <c r="F236" s="8">
        <v>0.66666666666666663</v>
      </c>
      <c r="G236" s="67" t="s">
        <v>104</v>
      </c>
      <c r="H236" s="68"/>
      <c r="I236" s="35">
        <v>65</v>
      </c>
      <c r="J236" s="9">
        <f t="shared" si="56"/>
        <v>0</v>
      </c>
      <c r="K236" s="39"/>
      <c r="L236" s="39"/>
      <c r="M236" s="39"/>
      <c r="N236" s="39"/>
      <c r="O236" s="39"/>
      <c r="P236" s="39"/>
      <c r="Q236" s="39"/>
      <c r="R236" s="39"/>
      <c r="S236" s="10">
        <f t="shared" si="60"/>
        <v>0</v>
      </c>
      <c r="T236" s="10">
        <v>100000</v>
      </c>
      <c r="U236" s="10">
        <f>T236*S236</f>
        <v>0</v>
      </c>
      <c r="V236" s="4"/>
      <c r="W236" s="4"/>
      <c r="X236" s="4"/>
      <c r="Y236" s="4"/>
    </row>
    <row r="237" spans="2:25" ht="37.5" hidden="1">
      <c r="B237" s="58"/>
      <c r="C237" s="60"/>
      <c r="D237" s="52" t="s">
        <v>53</v>
      </c>
      <c r="E237" s="63"/>
      <c r="F237" s="8">
        <v>0.75</v>
      </c>
      <c r="G237" s="67" t="s">
        <v>104</v>
      </c>
      <c r="H237" s="68"/>
      <c r="I237" s="35">
        <v>65</v>
      </c>
      <c r="J237" s="9">
        <f t="shared" si="56"/>
        <v>0</v>
      </c>
      <c r="K237" s="39"/>
      <c r="L237" s="39"/>
      <c r="M237" s="39"/>
      <c r="N237" s="39"/>
      <c r="O237" s="39"/>
      <c r="P237" s="39"/>
      <c r="Q237" s="39"/>
      <c r="R237" s="39"/>
      <c r="S237" s="10">
        <f t="shared" si="60"/>
        <v>0</v>
      </c>
      <c r="T237" s="10">
        <v>100000</v>
      </c>
      <c r="U237" s="10">
        <f t="shared" ref="U237:U244" si="62">T237*S237</f>
        <v>0</v>
      </c>
      <c r="V237" s="4"/>
      <c r="W237" s="4"/>
      <c r="X237" s="11"/>
      <c r="Y237" s="4"/>
    </row>
    <row r="238" spans="2:25" ht="37.5" hidden="1">
      <c r="B238" s="58"/>
      <c r="C238" s="60"/>
      <c r="D238" s="53" t="s">
        <v>53</v>
      </c>
      <c r="E238" s="64"/>
      <c r="F238" s="12">
        <v>0.83333333333333337</v>
      </c>
      <c r="G238" s="67" t="s">
        <v>104</v>
      </c>
      <c r="H238" s="68"/>
      <c r="I238" s="36">
        <v>65</v>
      </c>
      <c r="J238" s="9">
        <f t="shared" si="56"/>
        <v>0</v>
      </c>
      <c r="K238" s="41"/>
      <c r="L238" s="41"/>
      <c r="M238" s="39"/>
      <c r="N238" s="41"/>
      <c r="O238" s="41"/>
      <c r="P238" s="41"/>
      <c r="Q238" s="41"/>
      <c r="R238" s="41"/>
      <c r="S238" s="13">
        <f t="shared" si="60"/>
        <v>0</v>
      </c>
      <c r="T238" s="13">
        <v>100000</v>
      </c>
      <c r="U238" s="13">
        <f t="shared" si="62"/>
        <v>0</v>
      </c>
      <c r="V238" s="4"/>
      <c r="Y238" s="4"/>
    </row>
    <row r="239" spans="2:25" ht="37.5" hidden="1">
      <c r="B239" s="58"/>
      <c r="C239" s="60"/>
      <c r="D239" s="51" t="s">
        <v>53</v>
      </c>
      <c r="E239" s="62" t="s">
        <v>102</v>
      </c>
      <c r="F239" s="5">
        <v>0.91666666666666663</v>
      </c>
      <c r="G239" s="65" t="s">
        <v>84</v>
      </c>
      <c r="H239" s="66"/>
      <c r="I239" s="34"/>
      <c r="J239" s="6" t="str">
        <f t="shared" si="56"/>
        <v/>
      </c>
      <c r="K239" s="38"/>
      <c r="L239" s="38"/>
      <c r="M239" s="38"/>
      <c r="N239" s="38"/>
      <c r="O239" s="38"/>
      <c r="P239" s="38"/>
      <c r="Q239" s="38"/>
      <c r="R239" s="38"/>
      <c r="S239" s="7">
        <f t="shared" si="60"/>
        <v>0</v>
      </c>
      <c r="T239" s="7">
        <v>100000</v>
      </c>
      <c r="U239" s="7">
        <f t="shared" si="62"/>
        <v>0</v>
      </c>
      <c r="V239" s="4"/>
      <c r="Y239" s="4"/>
    </row>
    <row r="240" spans="2:25" ht="37.5" hidden="1">
      <c r="B240" s="58"/>
      <c r="C240" s="60"/>
      <c r="D240" s="52" t="s">
        <v>53</v>
      </c>
      <c r="E240" s="63"/>
      <c r="F240" s="8">
        <v>1</v>
      </c>
      <c r="G240" s="67" t="s">
        <v>84</v>
      </c>
      <c r="H240" s="68"/>
      <c r="I240" s="35">
        <v>40</v>
      </c>
      <c r="J240" s="9">
        <f t="shared" si="56"/>
        <v>0.375</v>
      </c>
      <c r="K240" s="39"/>
      <c r="L240" s="39"/>
      <c r="M240" s="39"/>
      <c r="N240" s="39"/>
      <c r="O240" s="39"/>
      <c r="P240" s="39"/>
      <c r="Q240" s="39">
        <v>15</v>
      </c>
      <c r="R240" s="39"/>
      <c r="S240" s="10">
        <f t="shared" si="60"/>
        <v>15</v>
      </c>
      <c r="T240" s="10">
        <v>100000</v>
      </c>
      <c r="U240" s="10">
        <f t="shared" si="62"/>
        <v>1500000</v>
      </c>
      <c r="V240" s="4"/>
      <c r="Y240" s="4"/>
    </row>
    <row r="241" spans="2:25" ht="37.5" hidden="1">
      <c r="B241" s="58"/>
      <c r="C241" s="60"/>
      <c r="D241" s="52" t="s">
        <v>53</v>
      </c>
      <c r="E241" s="63"/>
      <c r="F241" s="8">
        <v>8.3333333333333329E-2</v>
      </c>
      <c r="G241" s="67" t="s">
        <v>84</v>
      </c>
      <c r="H241" s="68"/>
      <c r="I241" s="35">
        <v>60</v>
      </c>
      <c r="J241" s="9">
        <f t="shared" si="56"/>
        <v>3.3333333333333333E-2</v>
      </c>
      <c r="K241" s="39"/>
      <c r="L241" s="39"/>
      <c r="M241" s="39"/>
      <c r="N241" s="39"/>
      <c r="O241" s="39"/>
      <c r="P241" s="39"/>
      <c r="Q241" s="39"/>
      <c r="R241" s="39">
        <v>2</v>
      </c>
      <c r="S241" s="10">
        <f t="shared" si="60"/>
        <v>2</v>
      </c>
      <c r="T241" s="10">
        <v>100000</v>
      </c>
      <c r="U241" s="10">
        <f t="shared" si="62"/>
        <v>200000</v>
      </c>
      <c r="V241" s="4"/>
      <c r="Y241" s="4"/>
    </row>
    <row r="242" spans="2:25" ht="37.5" hidden="1">
      <c r="B242" s="58"/>
      <c r="C242" s="60"/>
      <c r="D242" s="52" t="s">
        <v>53</v>
      </c>
      <c r="E242" s="63"/>
      <c r="F242" s="8">
        <v>0.16666666666666666</v>
      </c>
      <c r="G242" s="67" t="s">
        <v>84</v>
      </c>
      <c r="H242" s="68"/>
      <c r="I242" s="35">
        <v>60</v>
      </c>
      <c r="J242" s="9">
        <f t="shared" si="56"/>
        <v>3.3333333333333333E-2</v>
      </c>
      <c r="K242" s="39"/>
      <c r="L242" s="39"/>
      <c r="M242" s="39">
        <v>2</v>
      </c>
      <c r="N242" s="39"/>
      <c r="O242" s="39"/>
      <c r="P242" s="39"/>
      <c r="Q242" s="39"/>
      <c r="R242" s="39"/>
      <c r="S242" s="10">
        <f t="shared" si="60"/>
        <v>2</v>
      </c>
      <c r="T242" s="10">
        <v>100000</v>
      </c>
      <c r="U242" s="10">
        <f t="shared" si="62"/>
        <v>200000</v>
      </c>
      <c r="V242" s="4"/>
      <c r="W242" s="4"/>
      <c r="X242" s="4"/>
      <c r="Y242" s="4"/>
    </row>
    <row r="243" spans="2:25" ht="37.5" hidden="1">
      <c r="B243" s="58"/>
      <c r="C243" s="60"/>
      <c r="D243" s="52" t="s">
        <v>53</v>
      </c>
      <c r="E243" s="63"/>
      <c r="F243" s="8">
        <v>0.25</v>
      </c>
      <c r="G243" s="67" t="s">
        <v>84</v>
      </c>
      <c r="H243" s="68"/>
      <c r="I243" s="35">
        <v>60</v>
      </c>
      <c r="J243" s="9">
        <f t="shared" si="56"/>
        <v>3.3333333333333333E-2</v>
      </c>
      <c r="K243" s="39"/>
      <c r="L243" s="39"/>
      <c r="M243" s="39"/>
      <c r="N243" s="39"/>
      <c r="O243" s="39"/>
      <c r="P243" s="39"/>
      <c r="Q243" s="39"/>
      <c r="R243" s="39">
        <v>2</v>
      </c>
      <c r="S243" s="10">
        <f t="shared" si="60"/>
        <v>2</v>
      </c>
      <c r="T243" s="10">
        <v>100000</v>
      </c>
      <c r="U243" s="10">
        <f t="shared" si="62"/>
        <v>200000</v>
      </c>
      <c r="V243" s="4"/>
      <c r="Y243" s="4"/>
    </row>
    <row r="244" spans="2:25" ht="37.5" hidden="1">
      <c r="B244" s="58"/>
      <c r="C244" s="61"/>
      <c r="D244" s="53" t="s">
        <v>53</v>
      </c>
      <c r="E244" s="69"/>
      <c r="F244" s="14">
        <v>0.33333333333333331</v>
      </c>
      <c r="G244" s="67" t="s">
        <v>84</v>
      </c>
      <c r="H244" s="68"/>
      <c r="I244" s="37">
        <v>60</v>
      </c>
      <c r="J244" s="15">
        <f t="shared" si="56"/>
        <v>3.3333333333333333E-2</v>
      </c>
      <c r="K244" s="40"/>
      <c r="L244" s="40"/>
      <c r="M244" s="40"/>
      <c r="N244" s="40"/>
      <c r="O244" s="40"/>
      <c r="P244" s="40"/>
      <c r="Q244" s="40"/>
      <c r="R244" s="40">
        <v>2</v>
      </c>
      <c r="S244" s="16">
        <f t="shared" si="60"/>
        <v>2</v>
      </c>
      <c r="T244" s="16">
        <v>100000</v>
      </c>
      <c r="U244" s="16">
        <f t="shared" si="62"/>
        <v>200000</v>
      </c>
      <c r="V244" s="4"/>
      <c r="W244" s="4"/>
      <c r="X244" s="4"/>
      <c r="Y244" s="4"/>
    </row>
    <row r="245" spans="2:25" ht="33.75" hidden="1" customHeight="1">
      <c r="B245" s="58">
        <v>46101</v>
      </c>
      <c r="C245" s="59" t="s">
        <v>16</v>
      </c>
      <c r="D245" s="51" t="s">
        <v>53</v>
      </c>
      <c r="E245" s="62" t="s">
        <v>101</v>
      </c>
      <c r="F245" s="5">
        <v>0.41666666666666669</v>
      </c>
      <c r="G245" s="65" t="s">
        <v>108</v>
      </c>
      <c r="H245" s="66"/>
      <c r="I245" s="34">
        <v>60</v>
      </c>
      <c r="J245" s="6">
        <f t="shared" si="56"/>
        <v>8.3333333333333329E-2</v>
      </c>
      <c r="K245" s="38"/>
      <c r="L245" s="38"/>
      <c r="M245" s="38">
        <v>5</v>
      </c>
      <c r="N245" s="38"/>
      <c r="O245" s="38"/>
      <c r="P245" s="38"/>
      <c r="Q245" s="38"/>
      <c r="R245" s="38"/>
      <c r="S245" s="7">
        <f>SUM(K245:R245)</f>
        <v>5</v>
      </c>
      <c r="T245" s="7">
        <v>100000</v>
      </c>
      <c r="U245" s="7">
        <f>T245*S245</f>
        <v>500000</v>
      </c>
      <c r="V245" s="4"/>
      <c r="W245" s="4"/>
      <c r="X245" s="4"/>
      <c r="Y245" s="4"/>
    </row>
    <row r="246" spans="2:25" ht="37.5" hidden="1">
      <c r="B246" s="58"/>
      <c r="C246" s="60"/>
      <c r="D246" s="52" t="s">
        <v>53</v>
      </c>
      <c r="E246" s="63"/>
      <c r="F246" s="8">
        <v>0.5</v>
      </c>
      <c r="G246" s="67" t="s">
        <v>108</v>
      </c>
      <c r="H246" s="68"/>
      <c r="I246" s="35">
        <v>65</v>
      </c>
      <c r="J246" s="9">
        <f t="shared" si="56"/>
        <v>0</v>
      </c>
      <c r="K246" s="39"/>
      <c r="L246" s="39"/>
      <c r="M246" s="39"/>
      <c r="N246" s="39"/>
      <c r="O246" s="39"/>
      <c r="P246" s="39"/>
      <c r="Q246" s="39"/>
      <c r="R246" s="39"/>
      <c r="S246" s="10">
        <f t="shared" ref="S246:S256" si="63">SUM(K246:R246)</f>
        <v>0</v>
      </c>
      <c r="T246" s="10">
        <v>100000</v>
      </c>
      <c r="U246" s="10">
        <f t="shared" ref="U246:U247" si="64">T246*S246</f>
        <v>0</v>
      </c>
      <c r="V246" s="4"/>
      <c r="W246" s="4"/>
      <c r="X246" s="4"/>
      <c r="Y246" s="4"/>
    </row>
    <row r="247" spans="2:25" ht="37.5" hidden="1">
      <c r="B247" s="58"/>
      <c r="C247" s="60"/>
      <c r="D247" s="52" t="s">
        <v>53</v>
      </c>
      <c r="E247" s="63"/>
      <c r="F247" s="8">
        <v>0.58333333333333337</v>
      </c>
      <c r="G247" s="67" t="s">
        <v>108</v>
      </c>
      <c r="H247" s="68"/>
      <c r="I247" s="35">
        <v>65</v>
      </c>
      <c r="J247" s="9">
        <f t="shared" si="56"/>
        <v>0</v>
      </c>
      <c r="K247" s="39"/>
      <c r="L247" s="39"/>
      <c r="M247" s="39"/>
      <c r="N247" s="39"/>
      <c r="O247" s="39"/>
      <c r="P247" s="39"/>
      <c r="Q247" s="39"/>
      <c r="R247" s="39"/>
      <c r="S247" s="10">
        <f t="shared" si="63"/>
        <v>0</v>
      </c>
      <c r="T247" s="10">
        <v>100000</v>
      </c>
      <c r="U247" s="10">
        <f t="shared" si="64"/>
        <v>0</v>
      </c>
      <c r="V247" s="4"/>
      <c r="W247" s="4"/>
      <c r="X247" s="4"/>
      <c r="Y247" s="4"/>
    </row>
    <row r="248" spans="2:25" ht="37.5" hidden="1">
      <c r="B248" s="58"/>
      <c r="C248" s="60"/>
      <c r="D248" s="52" t="s">
        <v>53</v>
      </c>
      <c r="E248" s="63"/>
      <c r="F248" s="8">
        <v>0.66666666666666663</v>
      </c>
      <c r="G248" s="67" t="s">
        <v>108</v>
      </c>
      <c r="H248" s="68"/>
      <c r="I248" s="35">
        <v>65</v>
      </c>
      <c r="J248" s="9">
        <f t="shared" si="56"/>
        <v>0</v>
      </c>
      <c r="K248" s="39"/>
      <c r="L248" s="39"/>
      <c r="M248" s="39"/>
      <c r="N248" s="39"/>
      <c r="O248" s="39"/>
      <c r="P248" s="39"/>
      <c r="Q248" s="39"/>
      <c r="R248" s="39"/>
      <c r="S248" s="10">
        <f t="shared" si="63"/>
        <v>0</v>
      </c>
      <c r="T248" s="10">
        <v>100000</v>
      </c>
      <c r="U248" s="10">
        <f>T248*S248</f>
        <v>0</v>
      </c>
      <c r="V248" s="4"/>
      <c r="W248" s="4"/>
      <c r="X248" s="4"/>
      <c r="Y248" s="4"/>
    </row>
    <row r="249" spans="2:25" ht="37.5" hidden="1">
      <c r="B249" s="58"/>
      <c r="C249" s="60"/>
      <c r="D249" s="52" t="s">
        <v>53</v>
      </c>
      <c r="E249" s="63"/>
      <c r="F249" s="8">
        <v>0.75</v>
      </c>
      <c r="G249" s="67" t="s">
        <v>108</v>
      </c>
      <c r="H249" s="68"/>
      <c r="I249" s="35">
        <v>25</v>
      </c>
      <c r="J249" s="9">
        <f t="shared" si="56"/>
        <v>0</v>
      </c>
      <c r="K249" s="39"/>
      <c r="L249" s="39"/>
      <c r="M249" s="39"/>
      <c r="N249" s="39"/>
      <c r="O249" s="39"/>
      <c r="P249" s="39"/>
      <c r="Q249" s="39"/>
      <c r="R249" s="39"/>
      <c r="S249" s="10">
        <f t="shared" si="63"/>
        <v>0</v>
      </c>
      <c r="T249" s="10">
        <v>100000</v>
      </c>
      <c r="U249" s="10">
        <f t="shared" ref="U249:U256" si="65">T249*S249</f>
        <v>0</v>
      </c>
      <c r="V249" s="4"/>
      <c r="W249" s="4"/>
      <c r="X249" s="11"/>
      <c r="Y249" s="4"/>
    </row>
    <row r="250" spans="2:25" ht="37.5" hidden="1">
      <c r="B250" s="58"/>
      <c r="C250" s="60"/>
      <c r="D250" s="53" t="s">
        <v>53</v>
      </c>
      <c r="E250" s="64"/>
      <c r="F250" s="12">
        <v>0.83333333333333337</v>
      </c>
      <c r="G250" s="67" t="s">
        <v>108</v>
      </c>
      <c r="H250" s="68"/>
      <c r="I250" s="36"/>
      <c r="J250" s="9" t="str">
        <f t="shared" si="56"/>
        <v/>
      </c>
      <c r="K250" s="41"/>
      <c r="L250" s="41"/>
      <c r="M250" s="39"/>
      <c r="N250" s="41"/>
      <c r="O250" s="41"/>
      <c r="P250" s="41"/>
      <c r="Q250" s="41"/>
      <c r="R250" s="41"/>
      <c r="S250" s="13">
        <f t="shared" si="63"/>
        <v>0</v>
      </c>
      <c r="T250" s="13">
        <v>100000</v>
      </c>
      <c r="U250" s="13">
        <f t="shared" si="65"/>
        <v>0</v>
      </c>
      <c r="V250" s="4"/>
      <c r="Y250" s="4"/>
    </row>
    <row r="251" spans="2:25" ht="37.5" hidden="1">
      <c r="B251" s="58"/>
      <c r="C251" s="60"/>
      <c r="D251" s="51" t="s">
        <v>53</v>
      </c>
      <c r="E251" s="62" t="s">
        <v>102</v>
      </c>
      <c r="F251" s="5">
        <v>0.91666666666666663</v>
      </c>
      <c r="G251" s="65" t="s">
        <v>88</v>
      </c>
      <c r="H251" s="66"/>
      <c r="I251" s="34">
        <v>60</v>
      </c>
      <c r="J251" s="6">
        <f t="shared" si="56"/>
        <v>0.05</v>
      </c>
      <c r="K251" s="38"/>
      <c r="L251" s="38"/>
      <c r="M251" s="38"/>
      <c r="N251" s="38"/>
      <c r="O251" s="38"/>
      <c r="P251" s="38"/>
      <c r="Q251" s="38"/>
      <c r="R251" s="38">
        <v>3</v>
      </c>
      <c r="S251" s="7">
        <f t="shared" si="63"/>
        <v>3</v>
      </c>
      <c r="T251" s="7">
        <v>100000</v>
      </c>
      <c r="U251" s="7">
        <f t="shared" si="65"/>
        <v>300000</v>
      </c>
      <c r="V251" s="4"/>
      <c r="Y251" s="4"/>
    </row>
    <row r="252" spans="2:25" ht="37.5" hidden="1">
      <c r="B252" s="58"/>
      <c r="C252" s="60"/>
      <c r="D252" s="52" t="s">
        <v>53</v>
      </c>
      <c r="E252" s="63"/>
      <c r="F252" s="8">
        <v>1</v>
      </c>
      <c r="G252" s="67" t="s">
        <v>88</v>
      </c>
      <c r="H252" s="68"/>
      <c r="I252" s="35">
        <v>60</v>
      </c>
      <c r="J252" s="9">
        <f t="shared" si="56"/>
        <v>0.05</v>
      </c>
      <c r="K252" s="39"/>
      <c r="L252" s="39"/>
      <c r="M252" s="39"/>
      <c r="N252" s="39"/>
      <c r="O252" s="39"/>
      <c r="P252" s="39"/>
      <c r="Q252" s="39"/>
      <c r="R252" s="39">
        <v>3</v>
      </c>
      <c r="S252" s="10">
        <f t="shared" si="63"/>
        <v>3</v>
      </c>
      <c r="T252" s="10">
        <v>100000</v>
      </c>
      <c r="U252" s="10">
        <f t="shared" si="65"/>
        <v>300000</v>
      </c>
      <c r="V252" s="4"/>
      <c r="Y252" s="4"/>
    </row>
    <row r="253" spans="2:25" ht="37.5" hidden="1">
      <c r="B253" s="58"/>
      <c r="C253" s="60"/>
      <c r="D253" s="52" t="s">
        <v>53</v>
      </c>
      <c r="E253" s="63"/>
      <c r="F253" s="8">
        <v>8.3333333333333329E-2</v>
      </c>
      <c r="G253" s="67" t="s">
        <v>88</v>
      </c>
      <c r="H253" s="68"/>
      <c r="I253" s="35">
        <v>60</v>
      </c>
      <c r="J253" s="9">
        <f t="shared" si="56"/>
        <v>0.05</v>
      </c>
      <c r="K253" s="39"/>
      <c r="L253" s="39"/>
      <c r="M253" s="39">
        <v>3</v>
      </c>
      <c r="N253" s="39"/>
      <c r="O253" s="39"/>
      <c r="P253" s="39"/>
      <c r="Q253" s="39"/>
      <c r="R253" s="39"/>
      <c r="S253" s="10">
        <f t="shared" si="63"/>
        <v>3</v>
      </c>
      <c r="T253" s="10">
        <v>100000</v>
      </c>
      <c r="U253" s="10">
        <f t="shared" si="65"/>
        <v>300000</v>
      </c>
      <c r="V253" s="4"/>
      <c r="Y253" s="4"/>
    </row>
    <row r="254" spans="2:25" ht="37.5" hidden="1">
      <c r="B254" s="58"/>
      <c r="C254" s="60"/>
      <c r="D254" s="52" t="s">
        <v>53</v>
      </c>
      <c r="E254" s="63"/>
      <c r="F254" s="8">
        <v>0.16666666666666666</v>
      </c>
      <c r="G254" s="67" t="s">
        <v>88</v>
      </c>
      <c r="H254" s="68"/>
      <c r="I254" s="35">
        <v>60</v>
      </c>
      <c r="J254" s="9">
        <f t="shared" si="56"/>
        <v>0.05</v>
      </c>
      <c r="K254" s="39"/>
      <c r="L254" s="39"/>
      <c r="M254" s="39">
        <v>3</v>
      </c>
      <c r="N254" s="39"/>
      <c r="O254" s="39"/>
      <c r="P254" s="39"/>
      <c r="Q254" s="39"/>
      <c r="R254" s="39"/>
      <c r="S254" s="10">
        <f t="shared" si="63"/>
        <v>3</v>
      </c>
      <c r="T254" s="10">
        <v>100000</v>
      </c>
      <c r="U254" s="10">
        <f t="shared" si="65"/>
        <v>300000</v>
      </c>
      <c r="V254" s="4"/>
      <c r="W254" s="4"/>
      <c r="X254" s="4"/>
      <c r="Y254" s="4"/>
    </row>
    <row r="255" spans="2:25" ht="37.5" hidden="1">
      <c r="B255" s="58"/>
      <c r="C255" s="60"/>
      <c r="D255" s="52" t="s">
        <v>53</v>
      </c>
      <c r="E255" s="63"/>
      <c r="F255" s="8">
        <v>0.25</v>
      </c>
      <c r="G255" s="67" t="s">
        <v>88</v>
      </c>
      <c r="H255" s="68"/>
      <c r="I255" s="35">
        <v>60</v>
      </c>
      <c r="J255" s="9">
        <f t="shared" si="56"/>
        <v>0.05</v>
      </c>
      <c r="K255" s="39"/>
      <c r="L255" s="39"/>
      <c r="M255" s="39"/>
      <c r="N255" s="39"/>
      <c r="O255" s="39"/>
      <c r="P255" s="39"/>
      <c r="Q255" s="39"/>
      <c r="R255" s="39">
        <v>3</v>
      </c>
      <c r="S255" s="10">
        <f t="shared" si="63"/>
        <v>3</v>
      </c>
      <c r="T255" s="10">
        <v>100000</v>
      </c>
      <c r="U255" s="10">
        <f t="shared" si="65"/>
        <v>300000</v>
      </c>
      <c r="V255" s="4"/>
      <c r="Y255" s="4"/>
    </row>
    <row r="256" spans="2:25" ht="37.5" hidden="1">
      <c r="B256" s="58"/>
      <c r="C256" s="61"/>
      <c r="D256" s="53" t="s">
        <v>53</v>
      </c>
      <c r="E256" s="69"/>
      <c r="F256" s="14">
        <v>0.33333333333333331</v>
      </c>
      <c r="G256" s="67" t="s">
        <v>88</v>
      </c>
      <c r="H256" s="68"/>
      <c r="I256" s="37">
        <v>60</v>
      </c>
      <c r="J256" s="15">
        <f t="shared" si="56"/>
        <v>6.6666666666666666E-2</v>
      </c>
      <c r="K256" s="40"/>
      <c r="L256" s="40"/>
      <c r="M256" s="40"/>
      <c r="N256" s="40"/>
      <c r="O256" s="40"/>
      <c r="P256" s="40"/>
      <c r="Q256" s="40"/>
      <c r="R256" s="40">
        <v>4</v>
      </c>
      <c r="S256" s="16">
        <f t="shared" si="63"/>
        <v>4</v>
      </c>
      <c r="T256" s="16">
        <v>100000</v>
      </c>
      <c r="U256" s="16">
        <f t="shared" si="65"/>
        <v>400000</v>
      </c>
      <c r="V256" s="4"/>
      <c r="W256" s="4"/>
      <c r="X256" s="4"/>
      <c r="Y256" s="4"/>
    </row>
    <row r="257" spans="2:25" ht="30.75" hidden="1" customHeight="1">
      <c r="B257" s="58">
        <v>46102</v>
      </c>
      <c r="C257" s="59" t="s">
        <v>16</v>
      </c>
      <c r="D257" s="51" t="s">
        <v>48</v>
      </c>
      <c r="E257" s="62" t="s">
        <v>101</v>
      </c>
      <c r="F257" s="5">
        <v>0.41666666666666669</v>
      </c>
      <c r="G257" s="65" t="s">
        <v>83</v>
      </c>
      <c r="H257" s="66"/>
      <c r="I257" s="34">
        <v>65</v>
      </c>
      <c r="J257" s="6">
        <f t="shared" ref="J257:J304" si="66">IFERROR(S257/I257,"")</f>
        <v>9.2307692307692313E-2</v>
      </c>
      <c r="K257" s="38"/>
      <c r="L257" s="38"/>
      <c r="M257" s="38">
        <v>5</v>
      </c>
      <c r="N257" s="38"/>
      <c r="O257" s="38"/>
      <c r="P257" s="38"/>
      <c r="Q257" s="38">
        <v>1</v>
      </c>
      <c r="R257" s="38"/>
      <c r="S257" s="7">
        <f>SUM(K257:R257)</f>
        <v>6</v>
      </c>
      <c r="T257" s="7">
        <v>100000</v>
      </c>
      <c r="U257" s="7">
        <f>T257*S257</f>
        <v>600000</v>
      </c>
      <c r="V257" s="4"/>
      <c r="W257" s="4"/>
      <c r="X257" s="4"/>
      <c r="Y257" s="4"/>
    </row>
    <row r="258" spans="2:25" ht="37.5" hidden="1">
      <c r="B258" s="58"/>
      <c r="C258" s="60"/>
      <c r="D258" s="52" t="s">
        <v>48</v>
      </c>
      <c r="E258" s="63"/>
      <c r="F258" s="8">
        <v>0.5</v>
      </c>
      <c r="G258" s="67" t="s">
        <v>83</v>
      </c>
      <c r="H258" s="68"/>
      <c r="I258" s="35">
        <v>85</v>
      </c>
      <c r="J258" s="9">
        <f t="shared" si="66"/>
        <v>0</v>
      </c>
      <c r="K258" s="39"/>
      <c r="L258" s="39"/>
      <c r="M258" s="39"/>
      <c r="N258" s="39"/>
      <c r="O258" s="39"/>
      <c r="P258" s="39"/>
      <c r="Q258" s="39"/>
      <c r="R258" s="39"/>
      <c r="S258" s="10">
        <f t="shared" ref="S258:S268" si="67">SUM(K258:R258)</f>
        <v>0</v>
      </c>
      <c r="T258" s="10">
        <v>100000</v>
      </c>
      <c r="U258" s="10">
        <f t="shared" ref="U258:U259" si="68">T258*S258</f>
        <v>0</v>
      </c>
      <c r="V258" s="4"/>
      <c r="W258" s="4"/>
      <c r="X258" s="4"/>
      <c r="Y258" s="4"/>
    </row>
    <row r="259" spans="2:25" ht="37.5" hidden="1">
      <c r="B259" s="58"/>
      <c r="C259" s="60"/>
      <c r="D259" s="52" t="s">
        <v>48</v>
      </c>
      <c r="E259" s="63"/>
      <c r="F259" s="8">
        <v>0.58333333333333337</v>
      </c>
      <c r="G259" s="67" t="s">
        <v>83</v>
      </c>
      <c r="H259" s="68"/>
      <c r="I259" s="35">
        <v>85</v>
      </c>
      <c r="J259" s="9">
        <f t="shared" si="66"/>
        <v>0</v>
      </c>
      <c r="K259" s="39"/>
      <c r="L259" s="39"/>
      <c r="M259" s="39"/>
      <c r="N259" s="39"/>
      <c r="O259" s="39"/>
      <c r="P259" s="39"/>
      <c r="Q259" s="39"/>
      <c r="R259" s="39"/>
      <c r="S259" s="10">
        <f t="shared" si="67"/>
        <v>0</v>
      </c>
      <c r="T259" s="10">
        <v>100000</v>
      </c>
      <c r="U259" s="10">
        <f t="shared" si="68"/>
        <v>0</v>
      </c>
      <c r="V259" s="4"/>
      <c r="W259" s="4"/>
      <c r="X259" s="4"/>
      <c r="Y259" s="4"/>
    </row>
    <row r="260" spans="2:25" ht="37.5" hidden="1">
      <c r="B260" s="58"/>
      <c r="C260" s="60"/>
      <c r="D260" s="52" t="s">
        <v>48</v>
      </c>
      <c r="E260" s="63"/>
      <c r="F260" s="8">
        <v>0.66666666666666663</v>
      </c>
      <c r="G260" s="67" t="s">
        <v>83</v>
      </c>
      <c r="H260" s="68"/>
      <c r="I260" s="35">
        <v>85</v>
      </c>
      <c r="J260" s="9">
        <f t="shared" si="66"/>
        <v>0</v>
      </c>
      <c r="K260" s="39"/>
      <c r="L260" s="39"/>
      <c r="M260" s="39"/>
      <c r="N260" s="39"/>
      <c r="O260" s="39"/>
      <c r="P260" s="39"/>
      <c r="Q260" s="39"/>
      <c r="R260" s="39"/>
      <c r="S260" s="10">
        <f t="shared" si="67"/>
        <v>0</v>
      </c>
      <c r="T260" s="10">
        <v>100000</v>
      </c>
      <c r="U260" s="10">
        <f>T260*S260</f>
        <v>0</v>
      </c>
      <c r="V260" s="4"/>
      <c r="W260" s="4"/>
      <c r="X260" s="4"/>
      <c r="Y260" s="4"/>
    </row>
    <row r="261" spans="2:25" ht="37.5" hidden="1">
      <c r="B261" s="58"/>
      <c r="C261" s="60"/>
      <c r="D261" s="52" t="s">
        <v>48</v>
      </c>
      <c r="E261" s="63"/>
      <c r="F261" s="8">
        <v>0.75</v>
      </c>
      <c r="G261" s="67" t="s">
        <v>83</v>
      </c>
      <c r="H261" s="68"/>
      <c r="I261" s="35">
        <v>85</v>
      </c>
      <c r="J261" s="9">
        <f t="shared" si="66"/>
        <v>0</v>
      </c>
      <c r="K261" s="39"/>
      <c r="L261" s="39"/>
      <c r="M261" s="39"/>
      <c r="N261" s="39"/>
      <c r="O261" s="39"/>
      <c r="P261" s="39"/>
      <c r="Q261" s="39"/>
      <c r="R261" s="39"/>
      <c r="S261" s="10">
        <f t="shared" si="67"/>
        <v>0</v>
      </c>
      <c r="T261" s="10">
        <v>100000</v>
      </c>
      <c r="U261" s="10">
        <f t="shared" ref="U261:U268" si="69">T261*S261</f>
        <v>0</v>
      </c>
      <c r="V261" s="4"/>
      <c r="W261" s="4"/>
      <c r="X261" s="11"/>
      <c r="Y261" s="4"/>
    </row>
    <row r="262" spans="2:25" ht="37.5" hidden="1">
      <c r="B262" s="58"/>
      <c r="C262" s="60"/>
      <c r="D262" s="53" t="s">
        <v>48</v>
      </c>
      <c r="E262" s="64"/>
      <c r="F262" s="12">
        <v>0.83333333333333337</v>
      </c>
      <c r="G262" s="67" t="s">
        <v>83</v>
      </c>
      <c r="H262" s="68"/>
      <c r="I262" s="36">
        <v>35</v>
      </c>
      <c r="J262" s="9">
        <f t="shared" si="66"/>
        <v>8.5714285714285715E-2</v>
      </c>
      <c r="K262" s="41"/>
      <c r="L262" s="41"/>
      <c r="M262" s="39"/>
      <c r="N262" s="41"/>
      <c r="O262" s="41"/>
      <c r="P262" s="41"/>
      <c r="Q262" s="41"/>
      <c r="R262" s="41">
        <v>3</v>
      </c>
      <c r="S262" s="13">
        <f t="shared" si="67"/>
        <v>3</v>
      </c>
      <c r="T262" s="13">
        <v>100000</v>
      </c>
      <c r="U262" s="13">
        <f t="shared" si="69"/>
        <v>300000</v>
      </c>
      <c r="V262" s="4"/>
      <c r="Y262" s="4"/>
    </row>
    <row r="263" spans="2:25" ht="37.5" hidden="1">
      <c r="B263" s="58"/>
      <c r="C263" s="60"/>
      <c r="D263" s="51" t="s">
        <v>48</v>
      </c>
      <c r="E263" s="62" t="s">
        <v>102</v>
      </c>
      <c r="F263" s="5">
        <v>0.91666666666666663</v>
      </c>
      <c r="G263" s="65" t="s">
        <v>81</v>
      </c>
      <c r="H263" s="66"/>
      <c r="I263" s="34"/>
      <c r="J263" s="6" t="str">
        <f t="shared" si="66"/>
        <v/>
      </c>
      <c r="K263" s="38"/>
      <c r="L263" s="38"/>
      <c r="M263" s="38"/>
      <c r="N263" s="38"/>
      <c r="O263" s="38"/>
      <c r="P263" s="38"/>
      <c r="Q263" s="38"/>
      <c r="R263" s="38"/>
      <c r="S263" s="7">
        <f t="shared" si="67"/>
        <v>0</v>
      </c>
      <c r="T263" s="7">
        <v>100000</v>
      </c>
      <c r="U263" s="7">
        <f t="shared" si="69"/>
        <v>0</v>
      </c>
      <c r="V263" s="4"/>
      <c r="Y263" s="4"/>
    </row>
    <row r="264" spans="2:25" ht="37.5" hidden="1">
      <c r="B264" s="58"/>
      <c r="C264" s="60"/>
      <c r="D264" s="52" t="s">
        <v>48</v>
      </c>
      <c r="E264" s="63"/>
      <c r="F264" s="8">
        <v>1</v>
      </c>
      <c r="G264" s="67" t="s">
        <v>81</v>
      </c>
      <c r="H264" s="68"/>
      <c r="I264" s="35"/>
      <c r="J264" s="9" t="str">
        <f t="shared" si="66"/>
        <v/>
      </c>
      <c r="K264" s="39"/>
      <c r="L264" s="39"/>
      <c r="M264" s="39"/>
      <c r="N264" s="39"/>
      <c r="O264" s="39"/>
      <c r="P264" s="39"/>
      <c r="Q264" s="39"/>
      <c r="R264" s="39"/>
      <c r="S264" s="10">
        <f t="shared" si="67"/>
        <v>0</v>
      </c>
      <c r="T264" s="10">
        <v>100000</v>
      </c>
      <c r="U264" s="10">
        <f t="shared" si="69"/>
        <v>0</v>
      </c>
      <c r="V264" s="4"/>
      <c r="Y264" s="4"/>
    </row>
    <row r="265" spans="2:25" ht="37.5" hidden="1">
      <c r="B265" s="58"/>
      <c r="C265" s="60"/>
      <c r="D265" s="52" t="s">
        <v>48</v>
      </c>
      <c r="E265" s="63"/>
      <c r="F265" s="8">
        <v>8.3333333333333329E-2</v>
      </c>
      <c r="G265" s="67" t="s">
        <v>81</v>
      </c>
      <c r="H265" s="68"/>
      <c r="I265" s="35">
        <v>75</v>
      </c>
      <c r="J265" s="9">
        <f t="shared" si="66"/>
        <v>2.6666666666666668E-2</v>
      </c>
      <c r="K265" s="39"/>
      <c r="L265" s="39"/>
      <c r="M265" s="39">
        <v>2</v>
      </c>
      <c r="N265" s="39"/>
      <c r="O265" s="39"/>
      <c r="P265" s="39"/>
      <c r="Q265" s="39"/>
      <c r="R265" s="39"/>
      <c r="S265" s="10">
        <f t="shared" si="67"/>
        <v>2</v>
      </c>
      <c r="T265" s="10">
        <v>100000</v>
      </c>
      <c r="U265" s="10">
        <f t="shared" si="69"/>
        <v>200000</v>
      </c>
      <c r="V265" s="4"/>
      <c r="Y265" s="4"/>
    </row>
    <row r="266" spans="2:25" ht="37.5" hidden="1">
      <c r="B266" s="58"/>
      <c r="C266" s="60"/>
      <c r="D266" s="52" t="s">
        <v>48</v>
      </c>
      <c r="E266" s="63"/>
      <c r="F266" s="8">
        <v>0.16666666666666666</v>
      </c>
      <c r="G266" s="67" t="s">
        <v>81</v>
      </c>
      <c r="H266" s="68"/>
      <c r="I266" s="35">
        <v>75</v>
      </c>
      <c r="J266" s="9">
        <f t="shared" si="66"/>
        <v>2.6666666666666668E-2</v>
      </c>
      <c r="K266" s="39"/>
      <c r="L266" s="39"/>
      <c r="M266" s="39">
        <v>2</v>
      </c>
      <c r="N266" s="39"/>
      <c r="O266" s="39"/>
      <c r="P266" s="39"/>
      <c r="Q266" s="39"/>
      <c r="R266" s="39"/>
      <c r="S266" s="10">
        <f t="shared" si="67"/>
        <v>2</v>
      </c>
      <c r="T266" s="10">
        <v>100000</v>
      </c>
      <c r="U266" s="10">
        <f t="shared" si="69"/>
        <v>200000</v>
      </c>
      <c r="V266" s="4"/>
      <c r="W266" s="4"/>
      <c r="X266" s="4"/>
      <c r="Y266" s="4"/>
    </row>
    <row r="267" spans="2:25" ht="37.5" hidden="1">
      <c r="B267" s="58"/>
      <c r="C267" s="60"/>
      <c r="D267" s="52" t="s">
        <v>48</v>
      </c>
      <c r="E267" s="63"/>
      <c r="F267" s="8">
        <v>0.25</v>
      </c>
      <c r="G267" s="67" t="s">
        <v>81</v>
      </c>
      <c r="H267" s="68"/>
      <c r="I267" s="35">
        <v>60</v>
      </c>
      <c r="J267" s="9">
        <f t="shared" si="66"/>
        <v>0.16666666666666666</v>
      </c>
      <c r="K267" s="39"/>
      <c r="L267" s="39"/>
      <c r="M267" s="39">
        <v>10</v>
      </c>
      <c r="N267" s="39"/>
      <c r="O267" s="39"/>
      <c r="P267" s="39"/>
      <c r="Q267" s="39"/>
      <c r="R267" s="39"/>
      <c r="S267" s="10">
        <f t="shared" si="67"/>
        <v>10</v>
      </c>
      <c r="T267" s="10">
        <v>100000</v>
      </c>
      <c r="U267" s="10">
        <f t="shared" si="69"/>
        <v>1000000</v>
      </c>
      <c r="V267" s="4"/>
      <c r="Y267" s="4"/>
    </row>
    <row r="268" spans="2:25" ht="37.5" hidden="1">
      <c r="B268" s="58"/>
      <c r="C268" s="61"/>
      <c r="D268" s="53" t="s">
        <v>48</v>
      </c>
      <c r="E268" s="69"/>
      <c r="F268" s="14">
        <v>0.33333333333333331</v>
      </c>
      <c r="G268" s="67" t="s">
        <v>81</v>
      </c>
      <c r="H268" s="68"/>
      <c r="I268" s="37">
        <v>70</v>
      </c>
      <c r="J268" s="15">
        <f t="shared" si="66"/>
        <v>2.8571428571428571E-2</v>
      </c>
      <c r="K268" s="40"/>
      <c r="L268" s="40"/>
      <c r="M268" s="40">
        <v>2</v>
      </c>
      <c r="N268" s="40"/>
      <c r="O268" s="40"/>
      <c r="P268" s="40"/>
      <c r="Q268" s="40"/>
      <c r="R268" s="40"/>
      <c r="S268" s="16">
        <f t="shared" si="67"/>
        <v>2</v>
      </c>
      <c r="T268" s="16">
        <v>100000</v>
      </c>
      <c r="U268" s="16">
        <f t="shared" si="69"/>
        <v>200000</v>
      </c>
      <c r="V268" s="4"/>
      <c r="W268" s="4"/>
      <c r="X268" s="4"/>
      <c r="Y268" s="4"/>
    </row>
    <row r="269" spans="2:25" ht="16.5" hidden="1" customHeight="1">
      <c r="B269" s="58">
        <v>46103</v>
      </c>
      <c r="C269" s="59" t="s">
        <v>16</v>
      </c>
      <c r="D269" s="51"/>
      <c r="E269" s="62" t="s">
        <v>101</v>
      </c>
      <c r="F269" s="5">
        <v>0.41666666666666669</v>
      </c>
      <c r="G269" s="65"/>
      <c r="H269" s="66"/>
      <c r="I269" s="34"/>
      <c r="J269" s="6" t="str">
        <f t="shared" si="66"/>
        <v/>
      </c>
      <c r="K269" s="38"/>
      <c r="L269" s="38"/>
      <c r="M269" s="38"/>
      <c r="N269" s="38"/>
      <c r="O269" s="38"/>
      <c r="P269" s="38"/>
      <c r="Q269" s="38"/>
      <c r="R269" s="38"/>
      <c r="S269" s="7">
        <f>SUM(K269:R269)</f>
        <v>0</v>
      </c>
      <c r="T269" s="7">
        <v>100000</v>
      </c>
      <c r="U269" s="7">
        <f>T269*S269</f>
        <v>0</v>
      </c>
      <c r="V269" s="4"/>
      <c r="W269" s="4"/>
      <c r="X269" s="4"/>
      <c r="Y269" s="4"/>
    </row>
    <row r="270" spans="2:25" ht="18.75" hidden="1">
      <c r="B270" s="58"/>
      <c r="C270" s="60"/>
      <c r="D270" s="52"/>
      <c r="E270" s="63"/>
      <c r="F270" s="8">
        <v>0.5</v>
      </c>
      <c r="G270" s="67"/>
      <c r="H270" s="68"/>
      <c r="I270" s="35"/>
      <c r="J270" s="9" t="str">
        <f t="shared" si="66"/>
        <v/>
      </c>
      <c r="K270" s="39"/>
      <c r="L270" s="39"/>
      <c r="M270" s="39"/>
      <c r="N270" s="39"/>
      <c r="O270" s="39"/>
      <c r="P270" s="39"/>
      <c r="Q270" s="39"/>
      <c r="R270" s="39"/>
      <c r="S270" s="10">
        <f t="shared" ref="S270:S280" si="70">SUM(K270:R270)</f>
        <v>0</v>
      </c>
      <c r="T270" s="10">
        <v>100000</v>
      </c>
      <c r="U270" s="10">
        <f t="shared" ref="U270:U271" si="71">T270*S270</f>
        <v>0</v>
      </c>
      <c r="V270" s="4"/>
      <c r="W270" s="4"/>
      <c r="X270" s="4"/>
      <c r="Y270" s="4"/>
    </row>
    <row r="271" spans="2:25" ht="18.75" hidden="1">
      <c r="B271" s="58"/>
      <c r="C271" s="60"/>
      <c r="D271" s="52"/>
      <c r="E271" s="63"/>
      <c r="F271" s="8">
        <v>0.58333333333333337</v>
      </c>
      <c r="G271" s="67"/>
      <c r="H271" s="68"/>
      <c r="I271" s="35"/>
      <c r="J271" s="9" t="str">
        <f t="shared" si="66"/>
        <v/>
      </c>
      <c r="K271" s="39"/>
      <c r="L271" s="39"/>
      <c r="M271" s="39"/>
      <c r="N271" s="39"/>
      <c r="O271" s="39"/>
      <c r="P271" s="39"/>
      <c r="Q271" s="39"/>
      <c r="R271" s="39"/>
      <c r="S271" s="10">
        <f t="shared" si="70"/>
        <v>0</v>
      </c>
      <c r="T271" s="10">
        <v>100000</v>
      </c>
      <c r="U271" s="10">
        <f t="shared" si="71"/>
        <v>0</v>
      </c>
      <c r="V271" s="4"/>
      <c r="W271" s="4"/>
      <c r="X271" s="4"/>
      <c r="Y271" s="4"/>
    </row>
    <row r="272" spans="2:25" ht="18.75" hidden="1">
      <c r="B272" s="58"/>
      <c r="C272" s="60"/>
      <c r="D272" s="52"/>
      <c r="E272" s="63"/>
      <c r="F272" s="8">
        <v>0.66666666666666663</v>
      </c>
      <c r="G272" s="67"/>
      <c r="H272" s="68"/>
      <c r="I272" s="35"/>
      <c r="J272" s="9" t="str">
        <f t="shared" si="66"/>
        <v/>
      </c>
      <c r="K272" s="39"/>
      <c r="L272" s="39"/>
      <c r="M272" s="39"/>
      <c r="N272" s="39"/>
      <c r="O272" s="39"/>
      <c r="P272" s="39"/>
      <c r="Q272" s="39"/>
      <c r="R272" s="39"/>
      <c r="S272" s="10">
        <f t="shared" si="70"/>
        <v>0</v>
      </c>
      <c r="T272" s="10">
        <v>100000</v>
      </c>
      <c r="U272" s="10">
        <f>T272*S272</f>
        <v>0</v>
      </c>
      <c r="V272" s="4"/>
      <c r="W272" s="4"/>
      <c r="X272" s="4"/>
      <c r="Y272" s="4"/>
    </row>
    <row r="273" spans="2:25" ht="18.75" hidden="1">
      <c r="B273" s="58"/>
      <c r="C273" s="60"/>
      <c r="D273" s="52"/>
      <c r="E273" s="63"/>
      <c r="F273" s="8">
        <v>0.75</v>
      </c>
      <c r="G273" s="67"/>
      <c r="H273" s="68"/>
      <c r="I273" s="35"/>
      <c r="J273" s="9" t="str">
        <f t="shared" si="66"/>
        <v/>
      </c>
      <c r="K273" s="39"/>
      <c r="L273" s="39"/>
      <c r="M273" s="39"/>
      <c r="N273" s="39"/>
      <c r="O273" s="39"/>
      <c r="P273" s="39"/>
      <c r="Q273" s="39"/>
      <c r="R273" s="39"/>
      <c r="S273" s="10">
        <f t="shared" si="70"/>
        <v>0</v>
      </c>
      <c r="T273" s="10">
        <v>100000</v>
      </c>
      <c r="U273" s="10">
        <f t="shared" ref="U273:U280" si="72">T273*S273</f>
        <v>0</v>
      </c>
      <c r="V273" s="4"/>
      <c r="W273" s="4"/>
      <c r="X273" s="11"/>
      <c r="Y273" s="4"/>
    </row>
    <row r="274" spans="2:25" ht="18.75" hidden="1">
      <c r="B274" s="58"/>
      <c r="C274" s="60"/>
      <c r="D274" s="53"/>
      <c r="E274" s="64"/>
      <c r="F274" s="12">
        <v>0.83333333333333337</v>
      </c>
      <c r="G274" s="67"/>
      <c r="H274" s="68"/>
      <c r="I274" s="36"/>
      <c r="J274" s="9" t="str">
        <f t="shared" si="66"/>
        <v/>
      </c>
      <c r="K274" s="41"/>
      <c r="L274" s="41"/>
      <c r="M274" s="39"/>
      <c r="N274" s="41"/>
      <c r="O274" s="41"/>
      <c r="P274" s="41"/>
      <c r="Q274" s="41"/>
      <c r="R274" s="41"/>
      <c r="S274" s="13">
        <f t="shared" si="70"/>
        <v>0</v>
      </c>
      <c r="T274" s="13">
        <v>100000</v>
      </c>
      <c r="U274" s="13">
        <f t="shared" si="72"/>
        <v>0</v>
      </c>
      <c r="V274" s="4"/>
      <c r="Y274" s="4"/>
    </row>
    <row r="275" spans="2:25" ht="18.75" hidden="1">
      <c r="B275" s="58"/>
      <c r="C275" s="60"/>
      <c r="D275" s="51"/>
      <c r="E275" s="62" t="s">
        <v>102</v>
      </c>
      <c r="F275" s="5">
        <v>0.91666666666666663</v>
      </c>
      <c r="G275" s="65"/>
      <c r="H275" s="66"/>
      <c r="I275" s="34"/>
      <c r="J275" s="6" t="str">
        <f t="shared" si="66"/>
        <v/>
      </c>
      <c r="K275" s="38"/>
      <c r="L275" s="38"/>
      <c r="M275" s="38"/>
      <c r="N275" s="38"/>
      <c r="O275" s="38"/>
      <c r="P275" s="38"/>
      <c r="Q275" s="38"/>
      <c r="R275" s="38"/>
      <c r="S275" s="7">
        <f t="shared" si="70"/>
        <v>0</v>
      </c>
      <c r="T275" s="7">
        <v>100000</v>
      </c>
      <c r="U275" s="7">
        <f t="shared" si="72"/>
        <v>0</v>
      </c>
      <c r="V275" s="4"/>
      <c r="Y275" s="4"/>
    </row>
    <row r="276" spans="2:25" ht="18.75" hidden="1">
      <c r="B276" s="58"/>
      <c r="C276" s="60"/>
      <c r="D276" s="52"/>
      <c r="E276" s="63"/>
      <c r="F276" s="8">
        <v>1</v>
      </c>
      <c r="G276" s="67"/>
      <c r="H276" s="68"/>
      <c r="I276" s="35"/>
      <c r="J276" s="9" t="str">
        <f t="shared" si="66"/>
        <v/>
      </c>
      <c r="K276" s="39"/>
      <c r="L276" s="39"/>
      <c r="M276" s="39"/>
      <c r="N276" s="39"/>
      <c r="O276" s="39"/>
      <c r="P276" s="39"/>
      <c r="Q276" s="39"/>
      <c r="R276" s="39"/>
      <c r="S276" s="10">
        <f t="shared" si="70"/>
        <v>0</v>
      </c>
      <c r="T276" s="10">
        <v>100000</v>
      </c>
      <c r="U276" s="10">
        <f t="shared" si="72"/>
        <v>0</v>
      </c>
      <c r="V276" s="4"/>
      <c r="Y276" s="4"/>
    </row>
    <row r="277" spans="2:25" ht="18.75" hidden="1">
      <c r="B277" s="58"/>
      <c r="C277" s="60"/>
      <c r="D277" s="52"/>
      <c r="E277" s="63"/>
      <c r="F277" s="8">
        <v>8.3333333333333329E-2</v>
      </c>
      <c r="G277" s="67"/>
      <c r="H277" s="68"/>
      <c r="I277" s="35"/>
      <c r="J277" s="9" t="str">
        <f t="shared" si="66"/>
        <v/>
      </c>
      <c r="K277" s="39"/>
      <c r="L277" s="39"/>
      <c r="M277" s="39"/>
      <c r="N277" s="39"/>
      <c r="O277" s="39"/>
      <c r="P277" s="39"/>
      <c r="Q277" s="39"/>
      <c r="R277" s="39"/>
      <c r="S277" s="10">
        <f t="shared" si="70"/>
        <v>0</v>
      </c>
      <c r="T277" s="10">
        <v>100000</v>
      </c>
      <c r="U277" s="10">
        <f t="shared" si="72"/>
        <v>0</v>
      </c>
      <c r="V277" s="4"/>
      <c r="Y277" s="4"/>
    </row>
    <row r="278" spans="2:25" ht="18.75" hidden="1">
      <c r="B278" s="58"/>
      <c r="C278" s="60"/>
      <c r="D278" s="52"/>
      <c r="E278" s="63"/>
      <c r="F278" s="8">
        <v>0.16666666666666666</v>
      </c>
      <c r="G278" s="67"/>
      <c r="H278" s="68"/>
      <c r="I278" s="35"/>
      <c r="J278" s="9" t="str">
        <f t="shared" si="66"/>
        <v/>
      </c>
      <c r="K278" s="39"/>
      <c r="L278" s="39"/>
      <c r="M278" s="39"/>
      <c r="N278" s="39"/>
      <c r="O278" s="39"/>
      <c r="P278" s="39"/>
      <c r="Q278" s="39"/>
      <c r="R278" s="39"/>
      <c r="S278" s="10">
        <f t="shared" si="70"/>
        <v>0</v>
      </c>
      <c r="T278" s="10">
        <v>100000</v>
      </c>
      <c r="U278" s="10">
        <f t="shared" si="72"/>
        <v>0</v>
      </c>
      <c r="V278" s="4"/>
      <c r="W278" s="4"/>
      <c r="X278" s="4"/>
      <c r="Y278" s="4"/>
    </row>
    <row r="279" spans="2:25" ht="18.75" hidden="1">
      <c r="B279" s="58"/>
      <c r="C279" s="60"/>
      <c r="D279" s="52"/>
      <c r="E279" s="63"/>
      <c r="F279" s="8">
        <v>0.25</v>
      </c>
      <c r="G279" s="67"/>
      <c r="H279" s="68"/>
      <c r="I279" s="35"/>
      <c r="J279" s="9" t="str">
        <f t="shared" si="66"/>
        <v/>
      </c>
      <c r="K279" s="39"/>
      <c r="L279" s="39"/>
      <c r="M279" s="39"/>
      <c r="N279" s="39"/>
      <c r="O279" s="39"/>
      <c r="P279" s="39"/>
      <c r="Q279" s="39"/>
      <c r="R279" s="39"/>
      <c r="S279" s="10">
        <f t="shared" si="70"/>
        <v>0</v>
      </c>
      <c r="T279" s="10">
        <v>100000</v>
      </c>
      <c r="U279" s="10">
        <f t="shared" si="72"/>
        <v>0</v>
      </c>
      <c r="V279" s="4"/>
      <c r="Y279" s="4"/>
    </row>
    <row r="280" spans="2:25" ht="18.75" hidden="1">
      <c r="B280" s="58"/>
      <c r="C280" s="61"/>
      <c r="D280" s="53"/>
      <c r="E280" s="69"/>
      <c r="F280" s="14">
        <v>0.33333333333333331</v>
      </c>
      <c r="G280" s="67"/>
      <c r="H280" s="68"/>
      <c r="I280" s="37"/>
      <c r="J280" s="15" t="str">
        <f t="shared" si="66"/>
        <v/>
      </c>
      <c r="K280" s="40"/>
      <c r="L280" s="40"/>
      <c r="M280" s="40"/>
      <c r="N280" s="40"/>
      <c r="O280" s="40"/>
      <c r="P280" s="40"/>
      <c r="Q280" s="40"/>
      <c r="R280" s="40"/>
      <c r="S280" s="16">
        <f t="shared" si="70"/>
        <v>0</v>
      </c>
      <c r="T280" s="16">
        <v>100000</v>
      </c>
      <c r="U280" s="16">
        <f t="shared" si="72"/>
        <v>0</v>
      </c>
      <c r="V280" s="4"/>
      <c r="W280" s="4"/>
      <c r="X280" s="4"/>
      <c r="Y280" s="4"/>
    </row>
    <row r="281" spans="2:25" ht="33.75" hidden="1" customHeight="1">
      <c r="B281" s="58">
        <v>46104</v>
      </c>
      <c r="C281" s="59" t="s">
        <v>16</v>
      </c>
      <c r="D281" s="51" t="s">
        <v>48</v>
      </c>
      <c r="E281" s="62" t="s">
        <v>101</v>
      </c>
      <c r="F281" s="5">
        <v>0.41666666666666669</v>
      </c>
      <c r="G281" s="65" t="s">
        <v>75</v>
      </c>
      <c r="H281" s="66"/>
      <c r="I281" s="34">
        <v>40</v>
      </c>
      <c r="J281" s="6">
        <f t="shared" si="66"/>
        <v>0</v>
      </c>
      <c r="K281" s="38"/>
      <c r="L281" s="38"/>
      <c r="M281" s="38"/>
      <c r="N281" s="38"/>
      <c r="O281" s="38"/>
      <c r="P281" s="38"/>
      <c r="Q281" s="38"/>
      <c r="R281" s="38"/>
      <c r="S281" s="7">
        <f>SUM(K281:R281)</f>
        <v>0</v>
      </c>
      <c r="T281" s="7">
        <v>100000</v>
      </c>
      <c r="U281" s="7">
        <f>T281*S281</f>
        <v>0</v>
      </c>
      <c r="V281" s="4"/>
      <c r="W281" s="4"/>
      <c r="X281" s="4"/>
      <c r="Y281" s="4"/>
    </row>
    <row r="282" spans="2:25" ht="37.5" hidden="1">
      <c r="B282" s="58"/>
      <c r="C282" s="60"/>
      <c r="D282" s="52" t="s">
        <v>48</v>
      </c>
      <c r="E282" s="63"/>
      <c r="F282" s="8">
        <v>0.5</v>
      </c>
      <c r="G282" s="67" t="s">
        <v>75</v>
      </c>
      <c r="H282" s="68"/>
      <c r="I282" s="35"/>
      <c r="J282" s="9" t="str">
        <f t="shared" si="66"/>
        <v/>
      </c>
      <c r="K282" s="39"/>
      <c r="L282" s="39"/>
      <c r="M282" s="39"/>
      <c r="N282" s="39"/>
      <c r="O282" s="39"/>
      <c r="P282" s="39"/>
      <c r="Q282" s="39"/>
      <c r="R282" s="39"/>
      <c r="S282" s="10">
        <f t="shared" ref="S282:S292" si="73">SUM(K282:R282)</f>
        <v>0</v>
      </c>
      <c r="T282" s="10">
        <v>100000</v>
      </c>
      <c r="U282" s="10">
        <f t="shared" ref="U282:U283" si="74">T282*S282</f>
        <v>0</v>
      </c>
      <c r="V282" s="4"/>
      <c r="W282" s="4"/>
      <c r="X282" s="4"/>
      <c r="Y282" s="4"/>
    </row>
    <row r="283" spans="2:25" ht="37.5" hidden="1">
      <c r="B283" s="58"/>
      <c r="C283" s="60"/>
      <c r="D283" s="52" t="s">
        <v>48</v>
      </c>
      <c r="E283" s="63"/>
      <c r="F283" s="8">
        <v>0.58333333333333337</v>
      </c>
      <c r="G283" s="67" t="s">
        <v>75</v>
      </c>
      <c r="H283" s="68"/>
      <c r="I283" s="35"/>
      <c r="J283" s="9" t="str">
        <f t="shared" si="66"/>
        <v/>
      </c>
      <c r="K283" s="39"/>
      <c r="L283" s="39"/>
      <c r="M283" s="39"/>
      <c r="N283" s="39"/>
      <c r="O283" s="39"/>
      <c r="P283" s="39"/>
      <c r="Q283" s="39"/>
      <c r="R283" s="39"/>
      <c r="S283" s="10">
        <f t="shared" si="73"/>
        <v>0</v>
      </c>
      <c r="T283" s="10">
        <v>100000</v>
      </c>
      <c r="U283" s="10">
        <f t="shared" si="74"/>
        <v>0</v>
      </c>
      <c r="V283" s="4"/>
      <c r="W283" s="4"/>
      <c r="X283" s="4"/>
      <c r="Y283" s="4"/>
    </row>
    <row r="284" spans="2:25" ht="37.5" hidden="1">
      <c r="B284" s="58"/>
      <c r="C284" s="60"/>
      <c r="D284" s="52" t="s">
        <v>48</v>
      </c>
      <c r="E284" s="63"/>
      <c r="F284" s="8">
        <v>0.66666666666666663</v>
      </c>
      <c r="G284" s="67" t="s">
        <v>75</v>
      </c>
      <c r="H284" s="68"/>
      <c r="I284" s="35"/>
      <c r="J284" s="9" t="str">
        <f t="shared" si="66"/>
        <v/>
      </c>
      <c r="K284" s="39"/>
      <c r="L284" s="39"/>
      <c r="M284" s="39"/>
      <c r="N284" s="39"/>
      <c r="O284" s="39"/>
      <c r="P284" s="39"/>
      <c r="Q284" s="39"/>
      <c r="R284" s="39"/>
      <c r="S284" s="10">
        <f t="shared" si="73"/>
        <v>0</v>
      </c>
      <c r="T284" s="10">
        <v>100000</v>
      </c>
      <c r="U284" s="10">
        <f>T284*S284</f>
        <v>0</v>
      </c>
      <c r="V284" s="4"/>
      <c r="W284" s="4"/>
      <c r="X284" s="4"/>
      <c r="Y284" s="4"/>
    </row>
    <row r="285" spans="2:25" ht="37.5" hidden="1">
      <c r="B285" s="58"/>
      <c r="C285" s="60"/>
      <c r="D285" s="52" t="s">
        <v>48</v>
      </c>
      <c r="E285" s="63"/>
      <c r="F285" s="8">
        <v>0.75</v>
      </c>
      <c r="G285" s="67" t="s">
        <v>75</v>
      </c>
      <c r="H285" s="68"/>
      <c r="I285" s="35"/>
      <c r="J285" s="9" t="str">
        <f t="shared" si="66"/>
        <v/>
      </c>
      <c r="K285" s="39"/>
      <c r="L285" s="39"/>
      <c r="M285" s="39"/>
      <c r="N285" s="39"/>
      <c r="O285" s="39"/>
      <c r="P285" s="39"/>
      <c r="Q285" s="39"/>
      <c r="R285" s="39"/>
      <c r="S285" s="10">
        <f t="shared" si="73"/>
        <v>0</v>
      </c>
      <c r="T285" s="10">
        <v>100000</v>
      </c>
      <c r="U285" s="10">
        <f t="shared" ref="U285:U292" si="75">T285*S285</f>
        <v>0</v>
      </c>
      <c r="V285" s="4"/>
      <c r="W285" s="4"/>
      <c r="X285" s="11"/>
      <c r="Y285" s="4"/>
    </row>
    <row r="286" spans="2:25" ht="37.5" hidden="1">
      <c r="B286" s="58"/>
      <c r="C286" s="60"/>
      <c r="D286" s="53" t="s">
        <v>48</v>
      </c>
      <c r="E286" s="64"/>
      <c r="F286" s="12">
        <v>0.83333333333333337</v>
      </c>
      <c r="G286" s="67" t="s">
        <v>75</v>
      </c>
      <c r="H286" s="68"/>
      <c r="I286" s="36"/>
      <c r="J286" s="9" t="str">
        <f t="shared" si="66"/>
        <v/>
      </c>
      <c r="K286" s="41"/>
      <c r="L286" s="41"/>
      <c r="M286" s="39"/>
      <c r="N286" s="41"/>
      <c r="O286" s="41"/>
      <c r="P286" s="41"/>
      <c r="Q286" s="41"/>
      <c r="R286" s="41"/>
      <c r="S286" s="13">
        <f t="shared" si="73"/>
        <v>0</v>
      </c>
      <c r="T286" s="13">
        <v>100000</v>
      </c>
      <c r="U286" s="13">
        <f t="shared" si="75"/>
        <v>0</v>
      </c>
      <c r="V286" s="4"/>
      <c r="Y286" s="4"/>
    </row>
    <row r="287" spans="2:25" ht="37.5" hidden="1">
      <c r="B287" s="58"/>
      <c r="C287" s="60"/>
      <c r="D287" s="51" t="s">
        <v>48</v>
      </c>
      <c r="E287" s="62" t="s">
        <v>102</v>
      </c>
      <c r="F287" s="5">
        <v>0.91666666666666663</v>
      </c>
      <c r="G287" s="65" t="s">
        <v>87</v>
      </c>
      <c r="H287" s="66"/>
      <c r="I287" s="34">
        <v>70</v>
      </c>
      <c r="J287" s="6">
        <f t="shared" si="66"/>
        <v>5.7142857142857141E-2</v>
      </c>
      <c r="K287" s="38"/>
      <c r="L287" s="38"/>
      <c r="M287" s="38"/>
      <c r="N287" s="38"/>
      <c r="O287" s="38"/>
      <c r="P287" s="38"/>
      <c r="Q287" s="38">
        <v>4</v>
      </c>
      <c r="R287" s="38"/>
      <c r="S287" s="7">
        <f t="shared" si="73"/>
        <v>4</v>
      </c>
      <c r="T287" s="7">
        <v>100000</v>
      </c>
      <c r="U287" s="7">
        <f t="shared" si="75"/>
        <v>400000</v>
      </c>
      <c r="V287" s="4"/>
      <c r="Y287" s="4"/>
    </row>
    <row r="288" spans="2:25" ht="37.5" hidden="1">
      <c r="B288" s="58"/>
      <c r="C288" s="60"/>
      <c r="D288" s="52" t="s">
        <v>48</v>
      </c>
      <c r="E288" s="63"/>
      <c r="F288" s="8">
        <v>1</v>
      </c>
      <c r="G288" s="67" t="s">
        <v>87</v>
      </c>
      <c r="H288" s="68"/>
      <c r="I288" s="35">
        <v>30</v>
      </c>
      <c r="J288" s="9">
        <f t="shared" si="66"/>
        <v>0.13333333333333333</v>
      </c>
      <c r="K288" s="39"/>
      <c r="L288" s="39"/>
      <c r="M288" s="39">
        <v>4</v>
      </c>
      <c r="N288" s="39"/>
      <c r="O288" s="39"/>
      <c r="P288" s="39"/>
      <c r="Q288" s="39"/>
      <c r="R288" s="39"/>
      <c r="S288" s="10">
        <f t="shared" si="73"/>
        <v>4</v>
      </c>
      <c r="T288" s="10">
        <v>100000</v>
      </c>
      <c r="U288" s="10">
        <f t="shared" si="75"/>
        <v>400000</v>
      </c>
      <c r="V288" s="4"/>
      <c r="Y288" s="4"/>
    </row>
    <row r="289" spans="2:25" ht="37.5" hidden="1">
      <c r="B289" s="58"/>
      <c r="C289" s="60"/>
      <c r="D289" s="52" t="s">
        <v>48</v>
      </c>
      <c r="E289" s="63"/>
      <c r="F289" s="8">
        <v>8.3333333333333329E-2</v>
      </c>
      <c r="G289" s="67" t="s">
        <v>87</v>
      </c>
      <c r="H289" s="68"/>
      <c r="I289" s="35">
        <v>75</v>
      </c>
      <c r="J289" s="9">
        <f t="shared" si="66"/>
        <v>0</v>
      </c>
      <c r="K289" s="39"/>
      <c r="L289" s="39"/>
      <c r="M289" s="39"/>
      <c r="N289" s="39"/>
      <c r="O289" s="39"/>
      <c r="P289" s="39"/>
      <c r="Q289" s="39"/>
      <c r="R289" s="39"/>
      <c r="S289" s="10">
        <f t="shared" si="73"/>
        <v>0</v>
      </c>
      <c r="T289" s="10">
        <v>100000</v>
      </c>
      <c r="U289" s="10">
        <f t="shared" si="75"/>
        <v>0</v>
      </c>
      <c r="V289" s="4"/>
      <c r="Y289" s="4"/>
    </row>
    <row r="290" spans="2:25" ht="37.5" hidden="1">
      <c r="B290" s="58"/>
      <c r="C290" s="60"/>
      <c r="D290" s="52" t="s">
        <v>48</v>
      </c>
      <c r="E290" s="63"/>
      <c r="F290" s="8">
        <v>0.16666666666666666</v>
      </c>
      <c r="G290" s="67" t="s">
        <v>87</v>
      </c>
      <c r="H290" s="68"/>
      <c r="I290" s="35">
        <v>75</v>
      </c>
      <c r="J290" s="9">
        <f t="shared" si="66"/>
        <v>0</v>
      </c>
      <c r="K290" s="39"/>
      <c r="L290" s="39"/>
      <c r="M290" s="39"/>
      <c r="N290" s="39"/>
      <c r="O290" s="39"/>
      <c r="P290" s="39"/>
      <c r="Q290" s="39"/>
      <c r="R290" s="39"/>
      <c r="S290" s="10">
        <f t="shared" si="73"/>
        <v>0</v>
      </c>
      <c r="T290" s="10">
        <v>100000</v>
      </c>
      <c r="U290" s="10">
        <f t="shared" si="75"/>
        <v>0</v>
      </c>
      <c r="V290" s="4"/>
      <c r="W290" s="4"/>
      <c r="X290" s="4"/>
      <c r="Y290" s="4"/>
    </row>
    <row r="291" spans="2:25" ht="37.5" hidden="1">
      <c r="B291" s="58"/>
      <c r="C291" s="60"/>
      <c r="D291" s="52" t="s">
        <v>48</v>
      </c>
      <c r="E291" s="63"/>
      <c r="F291" s="8">
        <v>0.25</v>
      </c>
      <c r="G291" s="67" t="s">
        <v>87</v>
      </c>
      <c r="H291" s="68"/>
      <c r="I291" s="35">
        <v>60</v>
      </c>
      <c r="J291" s="9">
        <f t="shared" si="66"/>
        <v>0</v>
      </c>
      <c r="K291" s="39"/>
      <c r="L291" s="39"/>
      <c r="M291" s="39"/>
      <c r="N291" s="39"/>
      <c r="O291" s="39"/>
      <c r="P291" s="39"/>
      <c r="Q291" s="39"/>
      <c r="R291" s="39"/>
      <c r="S291" s="10">
        <f t="shared" si="73"/>
        <v>0</v>
      </c>
      <c r="T291" s="10">
        <v>100000</v>
      </c>
      <c r="U291" s="10">
        <f t="shared" si="75"/>
        <v>0</v>
      </c>
      <c r="V291" s="4"/>
      <c r="Y291" s="4"/>
    </row>
    <row r="292" spans="2:25" ht="37.5" hidden="1">
      <c r="B292" s="58"/>
      <c r="C292" s="61"/>
      <c r="D292" s="53" t="s">
        <v>48</v>
      </c>
      <c r="E292" s="69"/>
      <c r="F292" s="14">
        <v>0.33333333333333331</v>
      </c>
      <c r="G292" s="67" t="s">
        <v>87</v>
      </c>
      <c r="H292" s="68"/>
      <c r="I292" s="37">
        <v>70</v>
      </c>
      <c r="J292" s="15">
        <f t="shared" si="66"/>
        <v>0</v>
      </c>
      <c r="K292" s="40"/>
      <c r="L292" s="40"/>
      <c r="M292" s="40"/>
      <c r="N292" s="40"/>
      <c r="O292" s="40"/>
      <c r="P292" s="40"/>
      <c r="Q292" s="40"/>
      <c r="R292" s="40"/>
      <c r="S292" s="16">
        <f t="shared" si="73"/>
        <v>0</v>
      </c>
      <c r="T292" s="16">
        <v>100000</v>
      </c>
      <c r="U292" s="16">
        <f t="shared" si="75"/>
        <v>0</v>
      </c>
      <c r="V292" s="4"/>
      <c r="W292" s="4"/>
      <c r="X292" s="4"/>
      <c r="Y292" s="4"/>
    </row>
    <row r="293" spans="2:25" ht="38.25" hidden="1" customHeight="1">
      <c r="B293" s="58">
        <v>46105</v>
      </c>
      <c r="C293" s="59" t="s">
        <v>16</v>
      </c>
      <c r="D293" s="51" t="s">
        <v>47</v>
      </c>
      <c r="E293" s="62" t="s">
        <v>101</v>
      </c>
      <c r="F293" s="5">
        <v>0.41666666666666669</v>
      </c>
      <c r="G293" s="65" t="s">
        <v>74</v>
      </c>
      <c r="H293" s="66"/>
      <c r="I293" s="34">
        <v>20</v>
      </c>
      <c r="J293" s="6">
        <f t="shared" si="66"/>
        <v>0.5</v>
      </c>
      <c r="K293" s="38"/>
      <c r="L293" s="38"/>
      <c r="M293" s="38"/>
      <c r="N293" s="38"/>
      <c r="O293" s="38"/>
      <c r="P293" s="38"/>
      <c r="Q293" s="38">
        <v>5</v>
      </c>
      <c r="R293" s="38">
        <v>5</v>
      </c>
      <c r="S293" s="7">
        <f>SUM(K293:R293)</f>
        <v>10</v>
      </c>
      <c r="T293" s="7">
        <v>100000</v>
      </c>
      <c r="U293" s="7">
        <f>T293*S293</f>
        <v>1000000</v>
      </c>
      <c r="V293" s="4"/>
      <c r="W293" s="4"/>
      <c r="X293" s="4"/>
      <c r="Y293" s="4"/>
    </row>
    <row r="294" spans="2:25" ht="37.5" hidden="1">
      <c r="B294" s="58"/>
      <c r="C294" s="60"/>
      <c r="D294" s="52" t="s">
        <v>47</v>
      </c>
      <c r="E294" s="63"/>
      <c r="F294" s="8">
        <v>0.5</v>
      </c>
      <c r="G294" s="67" t="s">
        <v>74</v>
      </c>
      <c r="H294" s="68"/>
      <c r="I294" s="35">
        <v>85</v>
      </c>
      <c r="J294" s="9">
        <f t="shared" si="66"/>
        <v>0</v>
      </c>
      <c r="K294" s="39"/>
      <c r="L294" s="39"/>
      <c r="M294" s="39"/>
      <c r="N294" s="39"/>
      <c r="O294" s="39"/>
      <c r="P294" s="39"/>
      <c r="Q294" s="39"/>
      <c r="R294" s="39"/>
      <c r="S294" s="10">
        <f t="shared" ref="S294:S304" si="76">SUM(K294:R294)</f>
        <v>0</v>
      </c>
      <c r="T294" s="10">
        <v>100000</v>
      </c>
      <c r="U294" s="10">
        <f t="shared" ref="U294:U295" si="77">T294*S294</f>
        <v>0</v>
      </c>
      <c r="V294" s="4"/>
      <c r="W294" s="4"/>
      <c r="X294" s="4"/>
      <c r="Y294" s="4"/>
    </row>
    <row r="295" spans="2:25" ht="37.5" hidden="1">
      <c r="B295" s="58"/>
      <c r="C295" s="60"/>
      <c r="D295" s="52" t="s">
        <v>47</v>
      </c>
      <c r="E295" s="63"/>
      <c r="F295" s="8">
        <v>0.58333333333333337</v>
      </c>
      <c r="G295" s="67" t="s">
        <v>74</v>
      </c>
      <c r="H295" s="68"/>
      <c r="I295" s="35">
        <v>85</v>
      </c>
      <c r="J295" s="9">
        <f t="shared" si="66"/>
        <v>0</v>
      </c>
      <c r="K295" s="39"/>
      <c r="L295" s="39"/>
      <c r="M295" s="39"/>
      <c r="N295" s="39"/>
      <c r="O295" s="39"/>
      <c r="P295" s="39"/>
      <c r="Q295" s="39"/>
      <c r="R295" s="39"/>
      <c r="S295" s="10">
        <f t="shared" si="76"/>
        <v>0</v>
      </c>
      <c r="T295" s="10">
        <v>100000</v>
      </c>
      <c r="U295" s="10">
        <f t="shared" si="77"/>
        <v>0</v>
      </c>
      <c r="V295" s="4"/>
      <c r="W295" s="4"/>
      <c r="X295" s="4"/>
      <c r="Y295" s="4"/>
    </row>
    <row r="296" spans="2:25" ht="37.5" hidden="1">
      <c r="B296" s="58"/>
      <c r="C296" s="60"/>
      <c r="D296" s="52" t="s">
        <v>47</v>
      </c>
      <c r="E296" s="63"/>
      <c r="F296" s="8">
        <v>0.66666666666666663</v>
      </c>
      <c r="G296" s="67" t="s">
        <v>74</v>
      </c>
      <c r="H296" s="68"/>
      <c r="I296" s="35">
        <v>85</v>
      </c>
      <c r="J296" s="9">
        <f t="shared" si="66"/>
        <v>0</v>
      </c>
      <c r="K296" s="39"/>
      <c r="L296" s="39"/>
      <c r="M296" s="39"/>
      <c r="N296" s="39"/>
      <c r="O296" s="39"/>
      <c r="P296" s="39"/>
      <c r="Q296" s="39"/>
      <c r="R296" s="39"/>
      <c r="S296" s="10">
        <f t="shared" si="76"/>
        <v>0</v>
      </c>
      <c r="T296" s="10">
        <v>100000</v>
      </c>
      <c r="U296" s="10">
        <f>T296*S296</f>
        <v>0</v>
      </c>
      <c r="V296" s="4"/>
      <c r="W296" s="4"/>
      <c r="X296" s="4"/>
      <c r="Y296" s="4"/>
    </row>
    <row r="297" spans="2:25" ht="37.5" hidden="1">
      <c r="B297" s="58"/>
      <c r="C297" s="60"/>
      <c r="D297" s="52" t="s">
        <v>47</v>
      </c>
      <c r="E297" s="63"/>
      <c r="F297" s="8">
        <v>0.75</v>
      </c>
      <c r="G297" s="67" t="s">
        <v>74</v>
      </c>
      <c r="H297" s="68"/>
      <c r="I297" s="35">
        <v>85</v>
      </c>
      <c r="J297" s="9">
        <f t="shared" si="66"/>
        <v>2.3529411764705882E-2</v>
      </c>
      <c r="K297" s="39">
        <v>2</v>
      </c>
      <c r="L297" s="39"/>
      <c r="M297" s="39"/>
      <c r="N297" s="39"/>
      <c r="O297" s="39"/>
      <c r="P297" s="39"/>
      <c r="Q297" s="39"/>
      <c r="R297" s="39"/>
      <c r="S297" s="10">
        <f t="shared" si="76"/>
        <v>2</v>
      </c>
      <c r="T297" s="10">
        <v>100000</v>
      </c>
      <c r="U297" s="10">
        <f t="shared" ref="U297:U304" si="78">T297*S297</f>
        <v>200000</v>
      </c>
      <c r="V297" s="4"/>
      <c r="W297" s="4"/>
      <c r="X297" s="11"/>
      <c r="Y297" s="4"/>
    </row>
    <row r="298" spans="2:25" ht="37.5" hidden="1">
      <c r="B298" s="58"/>
      <c r="C298" s="60"/>
      <c r="D298" s="53" t="s">
        <v>47</v>
      </c>
      <c r="E298" s="64"/>
      <c r="F298" s="12">
        <v>0.83333333333333337</v>
      </c>
      <c r="G298" s="67" t="s">
        <v>74</v>
      </c>
      <c r="H298" s="68"/>
      <c r="I298" s="36">
        <v>80</v>
      </c>
      <c r="J298" s="9">
        <f t="shared" si="66"/>
        <v>0</v>
      </c>
      <c r="K298" s="41"/>
      <c r="L298" s="41"/>
      <c r="M298" s="39"/>
      <c r="N298" s="41"/>
      <c r="O298" s="41"/>
      <c r="P298" s="41"/>
      <c r="Q298" s="41"/>
      <c r="R298" s="41"/>
      <c r="S298" s="13">
        <f t="shared" si="76"/>
        <v>0</v>
      </c>
      <c r="T298" s="13">
        <v>100000</v>
      </c>
      <c r="U298" s="13">
        <f t="shared" si="78"/>
        <v>0</v>
      </c>
      <c r="V298" s="4"/>
      <c r="Y298" s="4"/>
    </row>
    <row r="299" spans="2:25" ht="37.5" hidden="1">
      <c r="B299" s="58"/>
      <c r="C299" s="60"/>
      <c r="D299" s="51" t="s">
        <v>48</v>
      </c>
      <c r="E299" s="62" t="s">
        <v>102</v>
      </c>
      <c r="F299" s="5">
        <v>0.91666666666666663</v>
      </c>
      <c r="G299" s="65" t="s">
        <v>87</v>
      </c>
      <c r="H299" s="66"/>
      <c r="I299" s="34"/>
      <c r="J299" s="6" t="str">
        <f t="shared" si="66"/>
        <v/>
      </c>
      <c r="K299" s="38"/>
      <c r="L299" s="38"/>
      <c r="M299" s="38"/>
      <c r="N299" s="38"/>
      <c r="O299" s="38"/>
      <c r="P299" s="38"/>
      <c r="Q299" s="38"/>
      <c r="R299" s="38"/>
      <c r="S299" s="7">
        <f t="shared" si="76"/>
        <v>0</v>
      </c>
      <c r="T299" s="7">
        <v>100000</v>
      </c>
      <c r="U299" s="7">
        <f t="shared" si="78"/>
        <v>0</v>
      </c>
      <c r="V299" s="4"/>
      <c r="Y299" s="4"/>
    </row>
    <row r="300" spans="2:25" ht="37.5" hidden="1">
      <c r="B300" s="58"/>
      <c r="C300" s="60"/>
      <c r="D300" s="52" t="s">
        <v>48</v>
      </c>
      <c r="E300" s="63"/>
      <c r="F300" s="8">
        <v>1</v>
      </c>
      <c r="G300" s="67" t="s">
        <v>87</v>
      </c>
      <c r="H300" s="68"/>
      <c r="I300" s="35"/>
      <c r="J300" s="9" t="str">
        <f t="shared" si="66"/>
        <v/>
      </c>
      <c r="K300" s="39"/>
      <c r="L300" s="39"/>
      <c r="M300" s="39"/>
      <c r="N300" s="39"/>
      <c r="O300" s="39"/>
      <c r="P300" s="39"/>
      <c r="Q300" s="39"/>
      <c r="R300" s="39"/>
      <c r="S300" s="10">
        <f t="shared" si="76"/>
        <v>0</v>
      </c>
      <c r="T300" s="10">
        <v>100000</v>
      </c>
      <c r="U300" s="10">
        <f t="shared" si="78"/>
        <v>0</v>
      </c>
      <c r="V300" s="4"/>
      <c r="Y300" s="4"/>
    </row>
    <row r="301" spans="2:25" ht="37.5" hidden="1">
      <c r="B301" s="58"/>
      <c r="C301" s="60"/>
      <c r="D301" s="52" t="s">
        <v>48</v>
      </c>
      <c r="E301" s="63"/>
      <c r="F301" s="8">
        <v>8.3333333333333329E-2</v>
      </c>
      <c r="G301" s="67" t="s">
        <v>87</v>
      </c>
      <c r="H301" s="68"/>
      <c r="I301" s="35">
        <v>20</v>
      </c>
      <c r="J301" s="9">
        <f t="shared" si="66"/>
        <v>0.3</v>
      </c>
      <c r="K301" s="39"/>
      <c r="L301" s="39"/>
      <c r="M301" s="39"/>
      <c r="N301" s="39"/>
      <c r="O301" s="39"/>
      <c r="P301" s="39"/>
      <c r="Q301" s="39">
        <v>6</v>
      </c>
      <c r="R301" s="39"/>
      <c r="S301" s="10">
        <f t="shared" si="76"/>
        <v>6</v>
      </c>
      <c r="T301" s="10">
        <v>100000</v>
      </c>
      <c r="U301" s="10">
        <f t="shared" si="78"/>
        <v>600000</v>
      </c>
      <c r="V301" s="4"/>
      <c r="Y301" s="4"/>
    </row>
    <row r="302" spans="2:25" ht="37.5" hidden="1">
      <c r="B302" s="58"/>
      <c r="C302" s="60"/>
      <c r="D302" s="52" t="s">
        <v>48</v>
      </c>
      <c r="E302" s="63"/>
      <c r="F302" s="8">
        <v>0.16666666666666666</v>
      </c>
      <c r="G302" s="67" t="s">
        <v>87</v>
      </c>
      <c r="H302" s="68"/>
      <c r="I302" s="35">
        <v>40</v>
      </c>
      <c r="J302" s="9">
        <f t="shared" si="66"/>
        <v>0.05</v>
      </c>
      <c r="K302" s="39"/>
      <c r="L302" s="39"/>
      <c r="M302" s="39"/>
      <c r="N302" s="39"/>
      <c r="O302" s="39"/>
      <c r="P302" s="39"/>
      <c r="Q302" s="39">
        <v>2</v>
      </c>
      <c r="R302" s="39"/>
      <c r="S302" s="10">
        <f t="shared" si="76"/>
        <v>2</v>
      </c>
      <c r="T302" s="10">
        <v>100000</v>
      </c>
      <c r="U302" s="10">
        <f t="shared" si="78"/>
        <v>200000</v>
      </c>
      <c r="V302" s="4"/>
      <c r="W302" s="4"/>
      <c r="X302" s="4"/>
      <c r="Y302" s="4"/>
    </row>
    <row r="303" spans="2:25" ht="37.5" hidden="1">
      <c r="B303" s="58"/>
      <c r="C303" s="60"/>
      <c r="D303" s="52" t="s">
        <v>48</v>
      </c>
      <c r="E303" s="63"/>
      <c r="F303" s="8">
        <v>0.25</v>
      </c>
      <c r="G303" s="67" t="s">
        <v>87</v>
      </c>
      <c r="H303" s="68"/>
      <c r="I303" s="35">
        <v>50</v>
      </c>
      <c r="J303" s="9">
        <f t="shared" si="66"/>
        <v>0</v>
      </c>
      <c r="K303" s="39"/>
      <c r="L303" s="39"/>
      <c r="M303" s="39"/>
      <c r="N303" s="39"/>
      <c r="O303" s="39"/>
      <c r="P303" s="39"/>
      <c r="Q303" s="39"/>
      <c r="R303" s="39"/>
      <c r="S303" s="10">
        <f t="shared" si="76"/>
        <v>0</v>
      </c>
      <c r="T303" s="10">
        <v>100000</v>
      </c>
      <c r="U303" s="10">
        <f t="shared" si="78"/>
        <v>0</v>
      </c>
      <c r="V303" s="4"/>
      <c r="Y303" s="4"/>
    </row>
    <row r="304" spans="2:25" ht="37.5" hidden="1">
      <c r="B304" s="58"/>
      <c r="C304" s="61"/>
      <c r="D304" s="53" t="s">
        <v>48</v>
      </c>
      <c r="E304" s="69"/>
      <c r="F304" s="14">
        <v>0.33333333333333331</v>
      </c>
      <c r="G304" s="67" t="s">
        <v>87</v>
      </c>
      <c r="H304" s="68"/>
      <c r="I304" s="37">
        <v>50</v>
      </c>
      <c r="J304" s="15">
        <f t="shared" si="66"/>
        <v>0</v>
      </c>
      <c r="K304" s="40"/>
      <c r="L304" s="40"/>
      <c r="M304" s="40"/>
      <c r="N304" s="40"/>
      <c r="O304" s="40"/>
      <c r="P304" s="40"/>
      <c r="Q304" s="40"/>
      <c r="R304" s="40"/>
      <c r="S304" s="16">
        <f t="shared" si="76"/>
        <v>0</v>
      </c>
      <c r="T304" s="16">
        <v>100000</v>
      </c>
      <c r="U304" s="16">
        <f t="shared" si="78"/>
        <v>0</v>
      </c>
      <c r="V304" s="4"/>
      <c r="W304" s="4"/>
      <c r="X304" s="4"/>
      <c r="Y304" s="4"/>
    </row>
    <row r="305" spans="2:25" ht="16.5" hidden="1" customHeight="1">
      <c r="B305" s="58">
        <v>46106</v>
      </c>
      <c r="C305" s="59" t="s">
        <v>16</v>
      </c>
      <c r="D305" s="51"/>
      <c r="E305" s="62" t="s">
        <v>101</v>
      </c>
      <c r="F305" s="5">
        <v>0.41666666666666669</v>
      </c>
      <c r="G305" s="65"/>
      <c r="H305" s="66"/>
      <c r="I305" s="34"/>
      <c r="J305" s="6" t="str">
        <f t="shared" ref="J305:J328" si="79">IFERROR(S305/I305,"")</f>
        <v/>
      </c>
      <c r="K305" s="38"/>
      <c r="L305" s="38"/>
      <c r="M305" s="38"/>
      <c r="N305" s="38"/>
      <c r="O305" s="38"/>
      <c r="P305" s="38"/>
      <c r="Q305" s="38"/>
      <c r="R305" s="38"/>
      <c r="S305" s="7">
        <f>SUM(K305:R305)</f>
        <v>0</v>
      </c>
      <c r="T305" s="7">
        <v>100000</v>
      </c>
      <c r="U305" s="7">
        <f>T305*S305</f>
        <v>0</v>
      </c>
      <c r="V305" s="4"/>
      <c r="W305" s="4"/>
      <c r="X305" s="4"/>
      <c r="Y305" s="4"/>
    </row>
    <row r="306" spans="2:25" ht="18.75" hidden="1">
      <c r="B306" s="58"/>
      <c r="C306" s="60"/>
      <c r="D306" s="52"/>
      <c r="E306" s="63"/>
      <c r="F306" s="8">
        <v>0.5</v>
      </c>
      <c r="G306" s="67"/>
      <c r="H306" s="68"/>
      <c r="I306" s="35"/>
      <c r="J306" s="9" t="str">
        <f t="shared" si="79"/>
        <v/>
      </c>
      <c r="K306" s="39"/>
      <c r="L306" s="39"/>
      <c r="M306" s="39"/>
      <c r="N306" s="39"/>
      <c r="O306" s="39"/>
      <c r="P306" s="39"/>
      <c r="Q306" s="39"/>
      <c r="R306" s="39"/>
      <c r="S306" s="10">
        <f t="shared" ref="S306:S316" si="80">SUM(K306:R306)</f>
        <v>0</v>
      </c>
      <c r="T306" s="10">
        <v>100000</v>
      </c>
      <c r="U306" s="10">
        <f t="shared" ref="U306:U307" si="81">T306*S306</f>
        <v>0</v>
      </c>
      <c r="V306" s="4"/>
      <c r="W306" s="4"/>
      <c r="X306" s="4"/>
      <c r="Y306" s="4"/>
    </row>
    <row r="307" spans="2:25" ht="18.75" hidden="1">
      <c r="B307" s="58"/>
      <c r="C307" s="60"/>
      <c r="D307" s="52"/>
      <c r="E307" s="63"/>
      <c r="F307" s="8">
        <v>0.58333333333333337</v>
      </c>
      <c r="G307" s="67"/>
      <c r="H307" s="68"/>
      <c r="I307" s="35"/>
      <c r="J307" s="9" t="str">
        <f t="shared" si="79"/>
        <v/>
      </c>
      <c r="K307" s="39"/>
      <c r="L307" s="39"/>
      <c r="M307" s="39"/>
      <c r="N307" s="39"/>
      <c r="O307" s="39"/>
      <c r="P307" s="39"/>
      <c r="Q307" s="39"/>
      <c r="R307" s="39"/>
      <c r="S307" s="10">
        <f t="shared" si="80"/>
        <v>0</v>
      </c>
      <c r="T307" s="10">
        <v>100000</v>
      </c>
      <c r="U307" s="10">
        <f t="shared" si="81"/>
        <v>0</v>
      </c>
      <c r="V307" s="4"/>
      <c r="W307" s="4"/>
      <c r="X307" s="4"/>
      <c r="Y307" s="4"/>
    </row>
    <row r="308" spans="2:25" ht="18.75" hidden="1">
      <c r="B308" s="58"/>
      <c r="C308" s="60"/>
      <c r="D308" s="52"/>
      <c r="E308" s="63"/>
      <c r="F308" s="8">
        <v>0.66666666666666663</v>
      </c>
      <c r="G308" s="67"/>
      <c r="H308" s="68"/>
      <c r="I308" s="35"/>
      <c r="J308" s="9" t="str">
        <f t="shared" si="79"/>
        <v/>
      </c>
      <c r="K308" s="39"/>
      <c r="L308" s="39"/>
      <c r="M308" s="39"/>
      <c r="N308" s="39"/>
      <c r="O308" s="39"/>
      <c r="P308" s="39"/>
      <c r="Q308" s="39"/>
      <c r="R308" s="39"/>
      <c r="S308" s="10">
        <f t="shared" si="80"/>
        <v>0</v>
      </c>
      <c r="T308" s="10">
        <v>100000</v>
      </c>
      <c r="U308" s="10">
        <f>T308*S308</f>
        <v>0</v>
      </c>
      <c r="V308" s="4"/>
      <c r="W308" s="4"/>
      <c r="X308" s="4"/>
      <c r="Y308" s="4"/>
    </row>
    <row r="309" spans="2:25" ht="18.75" hidden="1">
      <c r="B309" s="58"/>
      <c r="C309" s="60"/>
      <c r="D309" s="52"/>
      <c r="E309" s="63"/>
      <c r="F309" s="8">
        <v>0.75</v>
      </c>
      <c r="G309" s="67"/>
      <c r="H309" s="68"/>
      <c r="I309" s="35"/>
      <c r="J309" s="9" t="str">
        <f t="shared" si="79"/>
        <v/>
      </c>
      <c r="K309" s="39"/>
      <c r="L309" s="39"/>
      <c r="M309" s="39"/>
      <c r="N309" s="39"/>
      <c r="O309" s="39"/>
      <c r="P309" s="39"/>
      <c r="Q309" s="39"/>
      <c r="R309" s="39"/>
      <c r="S309" s="10">
        <f t="shared" si="80"/>
        <v>0</v>
      </c>
      <c r="T309" s="10">
        <v>100000</v>
      </c>
      <c r="U309" s="10">
        <f t="shared" ref="U309:U316" si="82">T309*S309</f>
        <v>0</v>
      </c>
      <c r="V309" s="4"/>
      <c r="W309" s="4"/>
      <c r="X309" s="11"/>
      <c r="Y309" s="4"/>
    </row>
    <row r="310" spans="2:25" ht="18.75" hidden="1">
      <c r="B310" s="58"/>
      <c r="C310" s="60"/>
      <c r="D310" s="53"/>
      <c r="E310" s="64"/>
      <c r="F310" s="12">
        <v>0.83333333333333337</v>
      </c>
      <c r="G310" s="67"/>
      <c r="H310" s="68"/>
      <c r="I310" s="36"/>
      <c r="J310" s="9" t="str">
        <f t="shared" si="79"/>
        <v/>
      </c>
      <c r="K310" s="41"/>
      <c r="L310" s="41"/>
      <c r="M310" s="39"/>
      <c r="N310" s="41"/>
      <c r="O310" s="41"/>
      <c r="P310" s="41"/>
      <c r="Q310" s="41"/>
      <c r="R310" s="41"/>
      <c r="S310" s="13">
        <f t="shared" si="80"/>
        <v>0</v>
      </c>
      <c r="T310" s="13">
        <v>100000</v>
      </c>
      <c r="U310" s="13">
        <f t="shared" si="82"/>
        <v>0</v>
      </c>
      <c r="V310" s="4"/>
      <c r="Y310" s="4"/>
    </row>
    <row r="311" spans="2:25" ht="37.5" hidden="1">
      <c r="B311" s="58"/>
      <c r="C311" s="60"/>
      <c r="D311" s="51" t="s">
        <v>47</v>
      </c>
      <c r="E311" s="62" t="s">
        <v>102</v>
      </c>
      <c r="F311" s="5">
        <v>0.91666666666666663</v>
      </c>
      <c r="G311" s="65" t="s">
        <v>86</v>
      </c>
      <c r="H311" s="66"/>
      <c r="I311" s="34">
        <v>70</v>
      </c>
      <c r="J311" s="6">
        <f t="shared" si="79"/>
        <v>0</v>
      </c>
      <c r="K311" s="38"/>
      <c r="L311" s="38"/>
      <c r="M311" s="38"/>
      <c r="N311" s="38"/>
      <c r="O311" s="38"/>
      <c r="P311" s="38"/>
      <c r="Q311" s="38"/>
      <c r="R311" s="38"/>
      <c r="S311" s="7">
        <f t="shared" si="80"/>
        <v>0</v>
      </c>
      <c r="T311" s="7">
        <v>100000</v>
      </c>
      <c r="U311" s="7">
        <f t="shared" si="82"/>
        <v>0</v>
      </c>
      <c r="V311" s="4"/>
      <c r="Y311" s="4"/>
    </row>
    <row r="312" spans="2:25" ht="37.5" hidden="1">
      <c r="B312" s="58"/>
      <c r="C312" s="60"/>
      <c r="D312" s="52" t="s">
        <v>47</v>
      </c>
      <c r="E312" s="63"/>
      <c r="F312" s="8">
        <v>1</v>
      </c>
      <c r="G312" s="67" t="s">
        <v>86</v>
      </c>
      <c r="H312" s="68"/>
      <c r="I312" s="35">
        <v>70</v>
      </c>
      <c r="J312" s="9">
        <f t="shared" si="79"/>
        <v>0</v>
      </c>
      <c r="K312" s="39"/>
      <c r="L312" s="39"/>
      <c r="M312" s="39"/>
      <c r="N312" s="39"/>
      <c r="O312" s="39"/>
      <c r="P312" s="39"/>
      <c r="Q312" s="39"/>
      <c r="R312" s="39"/>
      <c r="S312" s="10">
        <f t="shared" si="80"/>
        <v>0</v>
      </c>
      <c r="T312" s="10">
        <v>100000</v>
      </c>
      <c r="U312" s="10">
        <f t="shared" si="82"/>
        <v>0</v>
      </c>
      <c r="V312" s="4"/>
      <c r="Y312" s="4"/>
    </row>
    <row r="313" spans="2:25" ht="37.5" hidden="1">
      <c r="B313" s="58"/>
      <c r="C313" s="60"/>
      <c r="D313" s="52" t="s">
        <v>47</v>
      </c>
      <c r="E313" s="63"/>
      <c r="F313" s="8">
        <v>8.3333333333333329E-2</v>
      </c>
      <c r="G313" s="67" t="s">
        <v>86</v>
      </c>
      <c r="H313" s="68"/>
      <c r="I313" s="35">
        <v>70</v>
      </c>
      <c r="J313" s="9">
        <f t="shared" si="79"/>
        <v>0</v>
      </c>
      <c r="K313" s="39"/>
      <c r="L313" s="39"/>
      <c r="M313" s="39"/>
      <c r="N313" s="39"/>
      <c r="O313" s="39"/>
      <c r="P313" s="39"/>
      <c r="Q313" s="39"/>
      <c r="R313" s="39"/>
      <c r="S313" s="10">
        <f t="shared" si="80"/>
        <v>0</v>
      </c>
      <c r="T313" s="10">
        <v>100000</v>
      </c>
      <c r="U313" s="10">
        <f t="shared" si="82"/>
        <v>0</v>
      </c>
      <c r="V313" s="4"/>
      <c r="Y313" s="4"/>
    </row>
    <row r="314" spans="2:25" ht="37.5" hidden="1">
      <c r="B314" s="58"/>
      <c r="C314" s="60"/>
      <c r="D314" s="52" t="s">
        <v>47</v>
      </c>
      <c r="E314" s="63"/>
      <c r="F314" s="8">
        <v>0.16666666666666666</v>
      </c>
      <c r="G314" s="67" t="s">
        <v>86</v>
      </c>
      <c r="H314" s="68"/>
      <c r="I314" s="35">
        <v>30</v>
      </c>
      <c r="J314" s="9">
        <f t="shared" si="79"/>
        <v>0.33333333333333331</v>
      </c>
      <c r="K314" s="39"/>
      <c r="L314" s="39"/>
      <c r="M314" s="39"/>
      <c r="N314" s="39"/>
      <c r="O314" s="39"/>
      <c r="P314" s="39"/>
      <c r="Q314" s="39"/>
      <c r="R314" s="39">
        <v>10</v>
      </c>
      <c r="S314" s="10">
        <f t="shared" si="80"/>
        <v>10</v>
      </c>
      <c r="T314" s="10">
        <v>100000</v>
      </c>
      <c r="U314" s="10">
        <f t="shared" si="82"/>
        <v>1000000</v>
      </c>
      <c r="V314" s="4"/>
      <c r="W314" s="4"/>
      <c r="X314" s="4"/>
      <c r="Y314" s="4"/>
    </row>
    <row r="315" spans="2:25" ht="37.5" hidden="1">
      <c r="B315" s="58"/>
      <c r="C315" s="60"/>
      <c r="D315" s="52" t="s">
        <v>47</v>
      </c>
      <c r="E315" s="63"/>
      <c r="F315" s="8">
        <v>0.25</v>
      </c>
      <c r="G315" s="67" t="s">
        <v>86</v>
      </c>
      <c r="H315" s="68"/>
      <c r="I315" s="35"/>
      <c r="J315" s="9" t="str">
        <f t="shared" si="79"/>
        <v/>
      </c>
      <c r="K315" s="39"/>
      <c r="L315" s="39"/>
      <c r="M315" s="39"/>
      <c r="N315" s="39"/>
      <c r="O315" s="39"/>
      <c r="P315" s="39"/>
      <c r="Q315" s="39"/>
      <c r="R315" s="39"/>
      <c r="S315" s="10">
        <f t="shared" si="80"/>
        <v>0</v>
      </c>
      <c r="T315" s="10">
        <v>100000</v>
      </c>
      <c r="U315" s="10">
        <f t="shared" si="82"/>
        <v>0</v>
      </c>
      <c r="V315" s="4"/>
      <c r="Y315" s="4"/>
    </row>
    <row r="316" spans="2:25" ht="37.5" hidden="1">
      <c r="B316" s="58"/>
      <c r="C316" s="61"/>
      <c r="D316" s="53" t="s">
        <v>47</v>
      </c>
      <c r="E316" s="69"/>
      <c r="F316" s="14">
        <v>0.33333333333333331</v>
      </c>
      <c r="G316" s="67" t="s">
        <v>86</v>
      </c>
      <c r="H316" s="68"/>
      <c r="I316" s="37"/>
      <c r="J316" s="15" t="str">
        <f t="shared" si="79"/>
        <v/>
      </c>
      <c r="K316" s="40"/>
      <c r="L316" s="40"/>
      <c r="M316" s="40"/>
      <c r="N316" s="40"/>
      <c r="O316" s="40"/>
      <c r="P316" s="40"/>
      <c r="Q316" s="40"/>
      <c r="R316" s="40"/>
      <c r="S316" s="16">
        <f t="shared" si="80"/>
        <v>0</v>
      </c>
      <c r="T316" s="16">
        <v>100000</v>
      </c>
      <c r="U316" s="16">
        <f t="shared" si="82"/>
        <v>0</v>
      </c>
      <c r="V316" s="4"/>
      <c r="W316" s="4"/>
      <c r="X316" s="4"/>
      <c r="Y316" s="4"/>
    </row>
    <row r="317" spans="2:25" ht="16.5" hidden="1" customHeight="1">
      <c r="B317" s="58">
        <v>46107</v>
      </c>
      <c r="C317" s="59" t="s">
        <v>16</v>
      </c>
      <c r="D317" s="51" t="s">
        <v>59</v>
      </c>
      <c r="E317" s="62" t="s">
        <v>101</v>
      </c>
      <c r="F317" s="5">
        <v>0.41666666666666669</v>
      </c>
      <c r="G317" s="65" t="s">
        <v>79</v>
      </c>
      <c r="H317" s="66"/>
      <c r="I317" s="34"/>
      <c r="J317" s="6" t="str">
        <f t="shared" si="79"/>
        <v/>
      </c>
      <c r="K317" s="38"/>
      <c r="L317" s="38"/>
      <c r="M317" s="38"/>
      <c r="N317" s="38"/>
      <c r="O317" s="38"/>
      <c r="P317" s="38"/>
      <c r="Q317" s="38"/>
      <c r="R317" s="38"/>
      <c r="S317" s="7">
        <f>SUM(K317:R317)</f>
        <v>0</v>
      </c>
      <c r="T317" s="7">
        <v>100000</v>
      </c>
      <c r="U317" s="7">
        <f>T317*S317</f>
        <v>0</v>
      </c>
      <c r="V317" s="4"/>
      <c r="W317" s="4"/>
      <c r="X317" s="4"/>
      <c r="Y317" s="4"/>
    </row>
    <row r="318" spans="2:25" ht="18.75" hidden="1">
      <c r="B318" s="58"/>
      <c r="C318" s="60"/>
      <c r="D318" s="52" t="s">
        <v>59</v>
      </c>
      <c r="E318" s="63"/>
      <c r="F318" s="8">
        <v>0.5</v>
      </c>
      <c r="G318" s="67" t="s">
        <v>79</v>
      </c>
      <c r="H318" s="68"/>
      <c r="I318" s="35"/>
      <c r="J318" s="9" t="str">
        <f t="shared" si="79"/>
        <v/>
      </c>
      <c r="K318" s="39"/>
      <c r="L318" s="39"/>
      <c r="M318" s="39"/>
      <c r="N318" s="39"/>
      <c r="O318" s="39"/>
      <c r="P318" s="39"/>
      <c r="Q318" s="39"/>
      <c r="R318" s="39"/>
      <c r="S318" s="10">
        <f t="shared" ref="S318:S328" si="83">SUM(K318:R318)</f>
        <v>0</v>
      </c>
      <c r="T318" s="10">
        <v>100000</v>
      </c>
      <c r="U318" s="10">
        <f t="shared" ref="U318:U319" si="84">T318*S318</f>
        <v>0</v>
      </c>
      <c r="V318" s="4"/>
      <c r="W318" s="4"/>
      <c r="X318" s="4"/>
      <c r="Y318" s="4"/>
    </row>
    <row r="319" spans="2:25" ht="18.75" hidden="1">
      <c r="B319" s="58"/>
      <c r="C319" s="60"/>
      <c r="D319" s="52" t="s">
        <v>59</v>
      </c>
      <c r="E319" s="63"/>
      <c r="F319" s="8">
        <v>0.58333333333333337</v>
      </c>
      <c r="G319" s="67" t="s">
        <v>79</v>
      </c>
      <c r="H319" s="68"/>
      <c r="I319" s="35">
        <v>41</v>
      </c>
      <c r="J319" s="9">
        <f t="shared" si="79"/>
        <v>0.24390243902439024</v>
      </c>
      <c r="K319" s="39"/>
      <c r="L319" s="39"/>
      <c r="M319" s="39"/>
      <c r="N319" s="39">
        <v>10</v>
      </c>
      <c r="O319" s="39"/>
      <c r="P319" s="39"/>
      <c r="Q319" s="39"/>
      <c r="R319" s="39"/>
      <c r="S319" s="10">
        <f t="shared" si="83"/>
        <v>10</v>
      </c>
      <c r="T319" s="10">
        <v>100000</v>
      </c>
      <c r="U319" s="10">
        <f t="shared" si="84"/>
        <v>1000000</v>
      </c>
      <c r="V319" s="4"/>
      <c r="W319" s="4"/>
      <c r="X319" s="4"/>
      <c r="Y319" s="4"/>
    </row>
    <row r="320" spans="2:25" ht="18.75" hidden="1">
      <c r="B320" s="58"/>
      <c r="C320" s="60"/>
      <c r="D320" s="52" t="s">
        <v>59</v>
      </c>
      <c r="E320" s="63"/>
      <c r="F320" s="8">
        <v>0.66666666666666663</v>
      </c>
      <c r="G320" s="67" t="s">
        <v>79</v>
      </c>
      <c r="H320" s="68"/>
      <c r="I320" s="35">
        <v>53</v>
      </c>
      <c r="J320" s="9">
        <f t="shared" si="79"/>
        <v>0</v>
      </c>
      <c r="K320" s="39"/>
      <c r="L320" s="39"/>
      <c r="M320" s="39"/>
      <c r="N320" s="39"/>
      <c r="O320" s="39"/>
      <c r="P320" s="39"/>
      <c r="Q320" s="39"/>
      <c r="R320" s="39"/>
      <c r="S320" s="10">
        <f t="shared" si="83"/>
        <v>0</v>
      </c>
      <c r="T320" s="10">
        <v>100000</v>
      </c>
      <c r="U320" s="10">
        <f>T320*S320</f>
        <v>0</v>
      </c>
      <c r="V320" s="4"/>
      <c r="W320" s="4"/>
      <c r="X320" s="4"/>
      <c r="Y320" s="4"/>
    </row>
    <row r="321" spans="2:25" ht="18.75" hidden="1">
      <c r="B321" s="58"/>
      <c r="C321" s="60"/>
      <c r="D321" s="52" t="s">
        <v>59</v>
      </c>
      <c r="E321" s="63"/>
      <c r="F321" s="8">
        <v>0.75</v>
      </c>
      <c r="G321" s="67" t="s">
        <v>79</v>
      </c>
      <c r="H321" s="68"/>
      <c r="I321" s="35">
        <v>53</v>
      </c>
      <c r="J321" s="9">
        <f t="shared" si="79"/>
        <v>0</v>
      </c>
      <c r="K321" s="39"/>
      <c r="L321" s="39"/>
      <c r="M321" s="39"/>
      <c r="N321" s="39"/>
      <c r="O321" s="39"/>
      <c r="P321" s="39"/>
      <c r="Q321" s="39"/>
      <c r="R321" s="39"/>
      <c r="S321" s="10">
        <f t="shared" si="83"/>
        <v>0</v>
      </c>
      <c r="T321" s="10">
        <v>100000</v>
      </c>
      <c r="U321" s="10">
        <f t="shared" ref="U321:U328" si="85">T321*S321</f>
        <v>0</v>
      </c>
      <c r="V321" s="4"/>
      <c r="W321" s="4"/>
      <c r="X321" s="11"/>
      <c r="Y321" s="4"/>
    </row>
    <row r="322" spans="2:25" ht="18.75" hidden="1">
      <c r="B322" s="58"/>
      <c r="C322" s="60"/>
      <c r="D322" s="53" t="s">
        <v>59</v>
      </c>
      <c r="E322" s="64"/>
      <c r="F322" s="12">
        <v>0.83333333333333337</v>
      </c>
      <c r="G322" s="67" t="s">
        <v>79</v>
      </c>
      <c r="H322" s="68"/>
      <c r="I322" s="36">
        <v>53</v>
      </c>
      <c r="J322" s="9">
        <f t="shared" si="79"/>
        <v>0</v>
      </c>
      <c r="K322" s="41"/>
      <c r="L322" s="41"/>
      <c r="M322" s="39"/>
      <c r="N322" s="41"/>
      <c r="O322" s="41"/>
      <c r="P322" s="41"/>
      <c r="Q322" s="41"/>
      <c r="R322" s="41"/>
      <c r="S322" s="13">
        <f t="shared" si="83"/>
        <v>0</v>
      </c>
      <c r="T322" s="13">
        <v>100000</v>
      </c>
      <c r="U322" s="13">
        <f t="shared" si="85"/>
        <v>0</v>
      </c>
      <c r="V322" s="4"/>
      <c r="Y322" s="4"/>
    </row>
    <row r="323" spans="2:25" ht="18.75" hidden="1">
      <c r="B323" s="58"/>
      <c r="C323" s="60"/>
      <c r="D323" s="51"/>
      <c r="E323" s="62" t="s">
        <v>102</v>
      </c>
      <c r="F323" s="5">
        <v>0.91666666666666663</v>
      </c>
      <c r="G323" s="65"/>
      <c r="H323" s="66"/>
      <c r="I323" s="34"/>
      <c r="J323" s="6" t="str">
        <f t="shared" si="79"/>
        <v/>
      </c>
      <c r="K323" s="38"/>
      <c r="L323" s="38"/>
      <c r="M323" s="38"/>
      <c r="N323" s="38"/>
      <c r="O323" s="38"/>
      <c r="P323" s="38"/>
      <c r="Q323" s="38"/>
      <c r="R323" s="38"/>
      <c r="S323" s="7">
        <f t="shared" si="83"/>
        <v>0</v>
      </c>
      <c r="T323" s="7">
        <v>100000</v>
      </c>
      <c r="U323" s="7">
        <f t="shared" si="85"/>
        <v>0</v>
      </c>
      <c r="V323" s="4"/>
      <c r="Y323" s="4"/>
    </row>
    <row r="324" spans="2:25" ht="18.75" hidden="1">
      <c r="B324" s="58"/>
      <c r="C324" s="60"/>
      <c r="D324" s="52"/>
      <c r="E324" s="63"/>
      <c r="F324" s="8">
        <v>1</v>
      </c>
      <c r="G324" s="67"/>
      <c r="H324" s="68"/>
      <c r="I324" s="35"/>
      <c r="J324" s="9" t="str">
        <f t="shared" si="79"/>
        <v/>
      </c>
      <c r="K324" s="39"/>
      <c r="L324" s="39"/>
      <c r="M324" s="39"/>
      <c r="N324" s="39"/>
      <c r="O324" s="39"/>
      <c r="P324" s="39"/>
      <c r="Q324" s="39"/>
      <c r="R324" s="39"/>
      <c r="S324" s="10">
        <f t="shared" si="83"/>
        <v>0</v>
      </c>
      <c r="T324" s="10">
        <v>100000</v>
      </c>
      <c r="U324" s="10">
        <f t="shared" si="85"/>
        <v>0</v>
      </c>
      <c r="V324" s="4"/>
      <c r="Y324" s="4"/>
    </row>
    <row r="325" spans="2:25" ht="18.75" hidden="1">
      <c r="B325" s="58"/>
      <c r="C325" s="60"/>
      <c r="D325" s="52"/>
      <c r="E325" s="63"/>
      <c r="F325" s="8">
        <v>8.3333333333333329E-2</v>
      </c>
      <c r="G325" s="67"/>
      <c r="H325" s="68"/>
      <c r="I325" s="35"/>
      <c r="J325" s="9" t="str">
        <f t="shared" si="79"/>
        <v/>
      </c>
      <c r="K325" s="39"/>
      <c r="L325" s="39"/>
      <c r="M325" s="39"/>
      <c r="N325" s="39"/>
      <c r="O325" s="39"/>
      <c r="P325" s="39"/>
      <c r="Q325" s="39"/>
      <c r="R325" s="39"/>
      <c r="S325" s="10">
        <f t="shared" si="83"/>
        <v>0</v>
      </c>
      <c r="T325" s="10">
        <v>100000</v>
      </c>
      <c r="U325" s="10">
        <f t="shared" si="85"/>
        <v>0</v>
      </c>
      <c r="V325" s="4"/>
      <c r="Y325" s="4"/>
    </row>
    <row r="326" spans="2:25" ht="18.75" hidden="1">
      <c r="B326" s="58"/>
      <c r="C326" s="60"/>
      <c r="D326" s="52"/>
      <c r="E326" s="63"/>
      <c r="F326" s="8">
        <v>0.16666666666666666</v>
      </c>
      <c r="G326" s="67"/>
      <c r="H326" s="68"/>
      <c r="I326" s="35"/>
      <c r="J326" s="9" t="str">
        <f t="shared" si="79"/>
        <v/>
      </c>
      <c r="K326" s="39"/>
      <c r="L326" s="39"/>
      <c r="M326" s="39"/>
      <c r="N326" s="39"/>
      <c r="O326" s="39"/>
      <c r="P326" s="39"/>
      <c r="Q326" s="39"/>
      <c r="R326" s="39"/>
      <c r="S326" s="10">
        <f t="shared" si="83"/>
        <v>0</v>
      </c>
      <c r="T326" s="10">
        <v>100000</v>
      </c>
      <c r="U326" s="10">
        <f t="shared" si="85"/>
        <v>0</v>
      </c>
      <c r="V326" s="4"/>
      <c r="W326" s="4"/>
      <c r="X326" s="4"/>
      <c r="Y326" s="4"/>
    </row>
    <row r="327" spans="2:25" ht="18.75" hidden="1">
      <c r="B327" s="58"/>
      <c r="C327" s="60"/>
      <c r="D327" s="52"/>
      <c r="E327" s="63"/>
      <c r="F327" s="8">
        <v>0.25</v>
      </c>
      <c r="G327" s="67"/>
      <c r="H327" s="68"/>
      <c r="I327" s="35"/>
      <c r="J327" s="9" t="str">
        <f t="shared" si="79"/>
        <v/>
      </c>
      <c r="K327" s="39"/>
      <c r="L327" s="39"/>
      <c r="M327" s="39"/>
      <c r="N327" s="39"/>
      <c r="O327" s="39"/>
      <c r="P327" s="39"/>
      <c r="Q327" s="39"/>
      <c r="R327" s="39"/>
      <c r="S327" s="10">
        <f t="shared" si="83"/>
        <v>0</v>
      </c>
      <c r="T327" s="10">
        <v>100000</v>
      </c>
      <c r="U327" s="10">
        <f t="shared" si="85"/>
        <v>0</v>
      </c>
      <c r="V327" s="4"/>
      <c r="Y327" s="4"/>
    </row>
    <row r="328" spans="2:25" ht="18.75" hidden="1">
      <c r="B328" s="58"/>
      <c r="C328" s="61"/>
      <c r="D328" s="53"/>
      <c r="E328" s="69"/>
      <c r="F328" s="14">
        <v>0.33333333333333331</v>
      </c>
      <c r="G328" s="67"/>
      <c r="H328" s="68"/>
      <c r="I328" s="37"/>
      <c r="J328" s="15" t="str">
        <f t="shared" si="79"/>
        <v/>
      </c>
      <c r="K328" s="40"/>
      <c r="L328" s="40"/>
      <c r="M328" s="40"/>
      <c r="N328" s="40"/>
      <c r="O328" s="40"/>
      <c r="P328" s="40"/>
      <c r="Q328" s="40"/>
      <c r="R328" s="40"/>
      <c r="S328" s="16">
        <f t="shared" si="83"/>
        <v>0</v>
      </c>
      <c r="T328" s="16">
        <v>100000</v>
      </c>
      <c r="U328" s="16">
        <f t="shared" si="85"/>
        <v>0</v>
      </c>
      <c r="V328" s="4"/>
      <c r="W328" s="4"/>
      <c r="X328" s="4"/>
      <c r="Y328" s="4"/>
    </row>
    <row r="329" spans="2:25" ht="16.5" hidden="1" customHeight="1">
      <c r="B329" s="58">
        <v>46108</v>
      </c>
      <c r="C329" s="59" t="s">
        <v>16</v>
      </c>
      <c r="D329" s="51" t="s">
        <v>60</v>
      </c>
      <c r="E329" s="62" t="s">
        <v>101</v>
      </c>
      <c r="F329" s="5">
        <v>0.41666666666666669</v>
      </c>
      <c r="G329" s="65" t="s">
        <v>109</v>
      </c>
      <c r="H329" s="66"/>
      <c r="I329" s="34"/>
      <c r="J329" s="6" t="str">
        <f t="shared" ref="J329:J364" si="86">IFERROR(S329/I329,"")</f>
        <v/>
      </c>
      <c r="K329" s="38"/>
      <c r="L329" s="38"/>
      <c r="M329" s="38"/>
      <c r="N329" s="38"/>
      <c r="O329" s="38"/>
      <c r="P329" s="38"/>
      <c r="Q329" s="38"/>
      <c r="R329" s="38"/>
      <c r="S329" s="7">
        <f>SUM(K329:R329)</f>
        <v>0</v>
      </c>
      <c r="T329" s="7">
        <v>100000</v>
      </c>
      <c r="U329" s="7">
        <f>T329*S329</f>
        <v>0</v>
      </c>
      <c r="V329" s="4"/>
      <c r="W329" s="4"/>
      <c r="X329" s="4"/>
      <c r="Y329" s="4"/>
    </row>
    <row r="330" spans="2:25" ht="18.75" hidden="1">
      <c r="B330" s="58"/>
      <c r="C330" s="60"/>
      <c r="D330" s="52" t="s">
        <v>60</v>
      </c>
      <c r="E330" s="63"/>
      <c r="F330" s="8">
        <v>0.5</v>
      </c>
      <c r="G330" s="67" t="s">
        <v>109</v>
      </c>
      <c r="H330" s="68"/>
      <c r="I330" s="35">
        <v>23</v>
      </c>
      <c r="J330" s="9">
        <f t="shared" si="86"/>
        <v>0.73913043478260865</v>
      </c>
      <c r="K330" s="39"/>
      <c r="L330" s="39"/>
      <c r="M330" s="39">
        <v>7</v>
      </c>
      <c r="N330" s="39"/>
      <c r="O330" s="39"/>
      <c r="P330" s="39"/>
      <c r="Q330" s="39">
        <v>10</v>
      </c>
      <c r="R330" s="39"/>
      <c r="S330" s="10">
        <f t="shared" ref="S330:S340" si="87">SUM(K330:R330)</f>
        <v>17</v>
      </c>
      <c r="T330" s="10">
        <v>100000</v>
      </c>
      <c r="U330" s="10">
        <f t="shared" ref="U330:U331" si="88">T330*S330</f>
        <v>1700000</v>
      </c>
      <c r="V330" s="4"/>
      <c r="W330" s="4"/>
      <c r="X330" s="4"/>
      <c r="Y330" s="4"/>
    </row>
    <row r="331" spans="2:25" ht="18.75" hidden="1">
      <c r="B331" s="58"/>
      <c r="C331" s="60"/>
      <c r="D331" s="52" t="s">
        <v>60</v>
      </c>
      <c r="E331" s="63"/>
      <c r="F331" s="8">
        <v>0.58333333333333337</v>
      </c>
      <c r="G331" s="67" t="s">
        <v>109</v>
      </c>
      <c r="H331" s="68"/>
      <c r="I331" s="35">
        <v>55</v>
      </c>
      <c r="J331" s="9">
        <f t="shared" si="86"/>
        <v>0</v>
      </c>
      <c r="K331" s="39"/>
      <c r="L331" s="39"/>
      <c r="M331" s="39"/>
      <c r="N331" s="39"/>
      <c r="O331" s="39"/>
      <c r="P331" s="39"/>
      <c r="Q331" s="39"/>
      <c r="R331" s="39"/>
      <c r="S331" s="10">
        <f t="shared" si="87"/>
        <v>0</v>
      </c>
      <c r="T331" s="10">
        <v>100000</v>
      </c>
      <c r="U331" s="10">
        <f t="shared" si="88"/>
        <v>0</v>
      </c>
      <c r="V331" s="4"/>
      <c r="W331" s="4"/>
      <c r="X331" s="4"/>
      <c r="Y331" s="4"/>
    </row>
    <row r="332" spans="2:25" ht="18.75" hidden="1">
      <c r="B332" s="58"/>
      <c r="C332" s="60"/>
      <c r="D332" s="52" t="s">
        <v>60</v>
      </c>
      <c r="E332" s="63"/>
      <c r="F332" s="8">
        <v>0.66666666666666663</v>
      </c>
      <c r="G332" s="67" t="s">
        <v>109</v>
      </c>
      <c r="H332" s="68"/>
      <c r="I332" s="35">
        <v>55</v>
      </c>
      <c r="J332" s="9">
        <f t="shared" si="86"/>
        <v>0</v>
      </c>
      <c r="K332" s="39"/>
      <c r="L332" s="39"/>
      <c r="M332" s="39"/>
      <c r="N332" s="39"/>
      <c r="O332" s="39"/>
      <c r="P332" s="39"/>
      <c r="Q332" s="39"/>
      <c r="R332" s="39"/>
      <c r="S332" s="10">
        <f t="shared" si="87"/>
        <v>0</v>
      </c>
      <c r="T332" s="10">
        <v>100000</v>
      </c>
      <c r="U332" s="10">
        <f>T332*S332</f>
        <v>0</v>
      </c>
      <c r="V332" s="4"/>
      <c r="W332" s="4"/>
      <c r="X332" s="4"/>
      <c r="Y332" s="4"/>
    </row>
    <row r="333" spans="2:25" ht="18.75" hidden="1">
      <c r="B333" s="58"/>
      <c r="C333" s="60"/>
      <c r="D333" s="52" t="s">
        <v>60</v>
      </c>
      <c r="E333" s="63"/>
      <c r="F333" s="8">
        <v>0.75</v>
      </c>
      <c r="G333" s="67" t="s">
        <v>109</v>
      </c>
      <c r="H333" s="68"/>
      <c r="I333" s="35">
        <v>55</v>
      </c>
      <c r="J333" s="9">
        <f t="shared" si="86"/>
        <v>0</v>
      </c>
      <c r="K333" s="39"/>
      <c r="L333" s="39"/>
      <c r="M333" s="39"/>
      <c r="N333" s="39"/>
      <c r="O333" s="39"/>
      <c r="P333" s="39"/>
      <c r="Q333" s="39"/>
      <c r="R333" s="39"/>
      <c r="S333" s="10">
        <f t="shared" si="87"/>
        <v>0</v>
      </c>
      <c r="T333" s="10">
        <v>100000</v>
      </c>
      <c r="U333" s="10">
        <f t="shared" ref="U333:U340" si="89">T333*S333</f>
        <v>0</v>
      </c>
      <c r="V333" s="4"/>
      <c r="W333" s="4"/>
      <c r="X333" s="11"/>
      <c r="Y333" s="4"/>
    </row>
    <row r="334" spans="2:25" ht="18.75" hidden="1">
      <c r="B334" s="58"/>
      <c r="C334" s="60"/>
      <c r="D334" s="53" t="s">
        <v>60</v>
      </c>
      <c r="E334" s="64"/>
      <c r="F334" s="12">
        <v>0.83333333333333337</v>
      </c>
      <c r="G334" s="67" t="s">
        <v>109</v>
      </c>
      <c r="H334" s="68"/>
      <c r="I334" s="36">
        <v>52</v>
      </c>
      <c r="J334" s="9">
        <f t="shared" si="86"/>
        <v>0</v>
      </c>
      <c r="K334" s="41"/>
      <c r="L334" s="41"/>
      <c r="M334" s="39"/>
      <c r="N334" s="41"/>
      <c r="O334" s="41"/>
      <c r="P334" s="41"/>
      <c r="Q334" s="41"/>
      <c r="R334" s="41"/>
      <c r="S334" s="13">
        <f t="shared" si="87"/>
        <v>0</v>
      </c>
      <c r="T334" s="13">
        <v>100000</v>
      </c>
      <c r="U334" s="13">
        <f t="shared" si="89"/>
        <v>0</v>
      </c>
      <c r="V334" s="4"/>
      <c r="Y334" s="4"/>
    </row>
    <row r="335" spans="2:25" ht="18.75" hidden="1">
      <c r="B335" s="58"/>
      <c r="C335" s="60"/>
      <c r="D335" s="51" t="s">
        <v>59</v>
      </c>
      <c r="E335" s="62" t="s">
        <v>102</v>
      </c>
      <c r="F335" s="5">
        <v>0.91666666666666663</v>
      </c>
      <c r="G335" s="65" t="s">
        <v>87</v>
      </c>
      <c r="H335" s="66"/>
      <c r="I335" s="34">
        <v>20</v>
      </c>
      <c r="J335" s="6">
        <f t="shared" si="86"/>
        <v>0.5</v>
      </c>
      <c r="K335" s="38"/>
      <c r="L335" s="38"/>
      <c r="M335" s="38"/>
      <c r="N335" s="38"/>
      <c r="O335" s="38"/>
      <c r="P335" s="38"/>
      <c r="Q335" s="38"/>
      <c r="R335" s="38">
        <v>10</v>
      </c>
      <c r="S335" s="7">
        <f t="shared" si="87"/>
        <v>10</v>
      </c>
      <c r="T335" s="7">
        <v>100000</v>
      </c>
      <c r="U335" s="7">
        <f t="shared" si="89"/>
        <v>1000000</v>
      </c>
      <c r="V335" s="4"/>
      <c r="Y335" s="4"/>
    </row>
    <row r="336" spans="2:25" ht="18.75" hidden="1">
      <c r="B336" s="58"/>
      <c r="C336" s="60"/>
      <c r="D336" s="52" t="s">
        <v>59</v>
      </c>
      <c r="E336" s="63"/>
      <c r="F336" s="8">
        <v>1</v>
      </c>
      <c r="G336" s="67" t="s">
        <v>87</v>
      </c>
      <c r="H336" s="68"/>
      <c r="I336" s="35">
        <v>40</v>
      </c>
      <c r="J336" s="9">
        <f t="shared" si="86"/>
        <v>0.2</v>
      </c>
      <c r="K336" s="39"/>
      <c r="L336" s="39"/>
      <c r="M336" s="39"/>
      <c r="N336" s="39"/>
      <c r="O336" s="39"/>
      <c r="P336" s="39"/>
      <c r="Q336" s="39"/>
      <c r="R336" s="39">
        <v>8</v>
      </c>
      <c r="S336" s="10">
        <f t="shared" si="87"/>
        <v>8</v>
      </c>
      <c r="T336" s="10">
        <v>100000</v>
      </c>
      <c r="U336" s="10">
        <f t="shared" si="89"/>
        <v>800000</v>
      </c>
      <c r="V336" s="4"/>
      <c r="Y336" s="4"/>
    </row>
    <row r="337" spans="2:25" ht="18.75" hidden="1">
      <c r="B337" s="58"/>
      <c r="C337" s="60"/>
      <c r="D337" s="52" t="s">
        <v>59</v>
      </c>
      <c r="E337" s="63"/>
      <c r="F337" s="8">
        <v>8.3333333333333329E-2</v>
      </c>
      <c r="G337" s="67" t="s">
        <v>87</v>
      </c>
      <c r="H337" s="68"/>
      <c r="I337" s="35">
        <v>50</v>
      </c>
      <c r="J337" s="9">
        <f t="shared" si="86"/>
        <v>0</v>
      </c>
      <c r="K337" s="39"/>
      <c r="L337" s="39"/>
      <c r="M337" s="39"/>
      <c r="N337" s="39"/>
      <c r="O337" s="39"/>
      <c r="P337" s="39"/>
      <c r="Q337" s="39"/>
      <c r="R337" s="39"/>
      <c r="S337" s="10">
        <f t="shared" si="87"/>
        <v>0</v>
      </c>
      <c r="T337" s="10">
        <v>100000</v>
      </c>
      <c r="U337" s="10">
        <f t="shared" si="89"/>
        <v>0</v>
      </c>
      <c r="V337" s="4"/>
      <c r="Y337" s="4"/>
    </row>
    <row r="338" spans="2:25" ht="18.75" hidden="1">
      <c r="B338" s="58"/>
      <c r="C338" s="60"/>
      <c r="D338" s="52" t="s">
        <v>59</v>
      </c>
      <c r="E338" s="63"/>
      <c r="F338" s="8">
        <v>0.16666666666666666</v>
      </c>
      <c r="G338" s="67" t="s">
        <v>87</v>
      </c>
      <c r="H338" s="68"/>
      <c r="I338" s="35">
        <v>50</v>
      </c>
      <c r="J338" s="9">
        <f t="shared" si="86"/>
        <v>0</v>
      </c>
      <c r="K338" s="39"/>
      <c r="L338" s="39"/>
      <c r="M338" s="39"/>
      <c r="N338" s="39"/>
      <c r="O338" s="39"/>
      <c r="P338" s="39"/>
      <c r="Q338" s="39"/>
      <c r="R338" s="39"/>
      <c r="S338" s="10">
        <f t="shared" si="87"/>
        <v>0</v>
      </c>
      <c r="T338" s="10">
        <v>100000</v>
      </c>
      <c r="U338" s="10">
        <f t="shared" si="89"/>
        <v>0</v>
      </c>
      <c r="V338" s="4"/>
      <c r="W338" s="4"/>
      <c r="X338" s="4"/>
      <c r="Y338" s="4"/>
    </row>
    <row r="339" spans="2:25" ht="18.75" hidden="1">
      <c r="B339" s="58"/>
      <c r="C339" s="60"/>
      <c r="D339" s="52" t="s">
        <v>59</v>
      </c>
      <c r="E339" s="63"/>
      <c r="F339" s="8">
        <v>0.25</v>
      </c>
      <c r="G339" s="67" t="s">
        <v>87</v>
      </c>
      <c r="H339" s="68"/>
      <c r="I339" s="35">
        <v>50</v>
      </c>
      <c r="J339" s="9">
        <f t="shared" si="86"/>
        <v>0</v>
      </c>
      <c r="K339" s="39"/>
      <c r="L339" s="39"/>
      <c r="M339" s="39"/>
      <c r="N339" s="39"/>
      <c r="O339" s="39"/>
      <c r="P339" s="39"/>
      <c r="Q339" s="39"/>
      <c r="R339" s="39"/>
      <c r="S339" s="10">
        <f t="shared" si="87"/>
        <v>0</v>
      </c>
      <c r="T339" s="10">
        <v>100000</v>
      </c>
      <c r="U339" s="10">
        <f t="shared" si="89"/>
        <v>0</v>
      </c>
      <c r="V339" s="4"/>
      <c r="Y339" s="4"/>
    </row>
    <row r="340" spans="2:25" ht="18.75" hidden="1">
      <c r="B340" s="58"/>
      <c r="C340" s="61"/>
      <c r="D340" s="53" t="s">
        <v>59</v>
      </c>
      <c r="E340" s="69"/>
      <c r="F340" s="14">
        <v>0.33333333333333331</v>
      </c>
      <c r="G340" s="67" t="s">
        <v>87</v>
      </c>
      <c r="H340" s="68"/>
      <c r="I340" s="37">
        <v>50</v>
      </c>
      <c r="J340" s="15">
        <f t="shared" si="86"/>
        <v>0</v>
      </c>
      <c r="K340" s="40"/>
      <c r="L340" s="40"/>
      <c r="M340" s="40"/>
      <c r="N340" s="40"/>
      <c r="O340" s="40"/>
      <c r="P340" s="40"/>
      <c r="Q340" s="40"/>
      <c r="R340" s="40"/>
      <c r="S340" s="16">
        <f t="shared" si="87"/>
        <v>0</v>
      </c>
      <c r="T340" s="16">
        <v>100000</v>
      </c>
      <c r="U340" s="16">
        <f t="shared" si="89"/>
        <v>0</v>
      </c>
      <c r="V340" s="4"/>
      <c r="W340" s="4"/>
      <c r="X340" s="4"/>
      <c r="Y340" s="4"/>
    </row>
    <row r="341" spans="2:25" ht="16.5" hidden="1" customHeight="1">
      <c r="B341" s="58">
        <v>46109</v>
      </c>
      <c r="C341" s="59" t="s">
        <v>16</v>
      </c>
      <c r="D341" s="51" t="s">
        <v>60</v>
      </c>
      <c r="E341" s="62" t="s">
        <v>101</v>
      </c>
      <c r="F341" s="5">
        <v>0.41666666666666669</v>
      </c>
      <c r="G341" s="65" t="s">
        <v>108</v>
      </c>
      <c r="H341" s="66"/>
      <c r="I341" s="34">
        <v>50</v>
      </c>
      <c r="J341" s="6">
        <f t="shared" si="86"/>
        <v>0.08</v>
      </c>
      <c r="K341" s="38"/>
      <c r="L341" s="38"/>
      <c r="M341" s="38">
        <v>4</v>
      </c>
      <c r="N341" s="38"/>
      <c r="O341" s="38"/>
      <c r="P341" s="38"/>
      <c r="Q341" s="38"/>
      <c r="R341" s="38"/>
      <c r="S341" s="7">
        <f>SUM(K341:R341)</f>
        <v>4</v>
      </c>
      <c r="T341" s="7">
        <v>100000</v>
      </c>
      <c r="U341" s="7">
        <f>T341*S341</f>
        <v>400000</v>
      </c>
      <c r="V341" s="4"/>
      <c r="W341" s="4"/>
      <c r="X341" s="4"/>
      <c r="Y341" s="4"/>
    </row>
    <row r="342" spans="2:25" ht="18.75" hidden="1">
      <c r="B342" s="58"/>
      <c r="C342" s="60"/>
      <c r="D342" s="52" t="s">
        <v>60</v>
      </c>
      <c r="E342" s="63"/>
      <c r="F342" s="8">
        <v>0.5</v>
      </c>
      <c r="G342" s="67" t="s">
        <v>108</v>
      </c>
      <c r="H342" s="68"/>
      <c r="I342" s="35">
        <v>57</v>
      </c>
      <c r="J342" s="9">
        <f t="shared" si="86"/>
        <v>0</v>
      </c>
      <c r="K342" s="39"/>
      <c r="L342" s="39"/>
      <c r="M342" s="39"/>
      <c r="N342" s="39"/>
      <c r="O342" s="39"/>
      <c r="P342" s="39"/>
      <c r="Q342" s="39"/>
      <c r="R342" s="39"/>
      <c r="S342" s="10">
        <f t="shared" ref="S342:S352" si="90">SUM(K342:R342)</f>
        <v>0</v>
      </c>
      <c r="T342" s="10">
        <v>100000</v>
      </c>
      <c r="U342" s="10">
        <f t="shared" ref="U342:U343" si="91">T342*S342</f>
        <v>0</v>
      </c>
      <c r="V342" s="4"/>
      <c r="W342" s="4"/>
      <c r="X342" s="4"/>
      <c r="Y342" s="4"/>
    </row>
    <row r="343" spans="2:25" ht="18.75" hidden="1">
      <c r="B343" s="58"/>
      <c r="C343" s="60"/>
      <c r="D343" s="52" t="s">
        <v>60</v>
      </c>
      <c r="E343" s="63"/>
      <c r="F343" s="8">
        <v>0.58333333333333337</v>
      </c>
      <c r="G343" s="67" t="s">
        <v>108</v>
      </c>
      <c r="H343" s="68"/>
      <c r="I343" s="35">
        <v>57</v>
      </c>
      <c r="J343" s="9">
        <f t="shared" si="86"/>
        <v>0</v>
      </c>
      <c r="K343" s="39"/>
      <c r="L343" s="39"/>
      <c r="M343" s="39"/>
      <c r="N343" s="39"/>
      <c r="O343" s="39"/>
      <c r="P343" s="39"/>
      <c r="Q343" s="39"/>
      <c r="R343" s="39"/>
      <c r="S343" s="10">
        <f t="shared" si="90"/>
        <v>0</v>
      </c>
      <c r="T343" s="10">
        <v>100000</v>
      </c>
      <c r="U343" s="10">
        <f t="shared" si="91"/>
        <v>0</v>
      </c>
      <c r="V343" s="4"/>
      <c r="W343" s="4"/>
      <c r="X343" s="4"/>
      <c r="Y343" s="4"/>
    </row>
    <row r="344" spans="2:25" ht="18.75" hidden="1">
      <c r="B344" s="58"/>
      <c r="C344" s="60"/>
      <c r="D344" s="52" t="s">
        <v>60</v>
      </c>
      <c r="E344" s="63"/>
      <c r="F344" s="8">
        <v>0.66666666666666663</v>
      </c>
      <c r="G344" s="67" t="s">
        <v>108</v>
      </c>
      <c r="H344" s="68"/>
      <c r="I344" s="35">
        <v>57</v>
      </c>
      <c r="J344" s="9">
        <f t="shared" si="86"/>
        <v>0</v>
      </c>
      <c r="K344" s="39"/>
      <c r="L344" s="39"/>
      <c r="M344" s="39"/>
      <c r="N344" s="39"/>
      <c r="O344" s="39"/>
      <c r="P344" s="39"/>
      <c r="Q344" s="39"/>
      <c r="R344" s="39"/>
      <c r="S344" s="10">
        <f t="shared" si="90"/>
        <v>0</v>
      </c>
      <c r="T344" s="10">
        <v>100000</v>
      </c>
      <c r="U344" s="10">
        <f>T344*S344</f>
        <v>0</v>
      </c>
      <c r="V344" s="4"/>
      <c r="W344" s="4"/>
      <c r="X344" s="4"/>
      <c r="Y344" s="4"/>
    </row>
    <row r="345" spans="2:25" ht="18.75" hidden="1">
      <c r="B345" s="58"/>
      <c r="C345" s="60"/>
      <c r="D345" s="52" t="s">
        <v>60</v>
      </c>
      <c r="E345" s="63"/>
      <c r="F345" s="8">
        <v>0.75</v>
      </c>
      <c r="G345" s="67" t="s">
        <v>108</v>
      </c>
      <c r="H345" s="68"/>
      <c r="I345" s="35">
        <v>57</v>
      </c>
      <c r="J345" s="9">
        <f t="shared" si="86"/>
        <v>0</v>
      </c>
      <c r="K345" s="39"/>
      <c r="L345" s="39"/>
      <c r="M345" s="39"/>
      <c r="N345" s="39"/>
      <c r="O345" s="39"/>
      <c r="P345" s="39"/>
      <c r="Q345" s="39"/>
      <c r="R345" s="39"/>
      <c r="S345" s="10">
        <f t="shared" si="90"/>
        <v>0</v>
      </c>
      <c r="T345" s="10">
        <v>100000</v>
      </c>
      <c r="U345" s="10">
        <f t="shared" ref="U345:U352" si="92">T345*S345</f>
        <v>0</v>
      </c>
      <c r="V345" s="4"/>
      <c r="W345" s="4"/>
      <c r="X345" s="11"/>
      <c r="Y345" s="4"/>
    </row>
    <row r="346" spans="2:25" ht="18.75" hidden="1">
      <c r="B346" s="58"/>
      <c r="C346" s="60"/>
      <c r="D346" s="53" t="s">
        <v>60</v>
      </c>
      <c r="E346" s="64"/>
      <c r="F346" s="12">
        <v>0.83333333333333337</v>
      </c>
      <c r="G346" s="67" t="s">
        <v>108</v>
      </c>
      <c r="H346" s="68"/>
      <c r="I346" s="36">
        <v>22</v>
      </c>
      <c r="J346" s="9">
        <f t="shared" si="86"/>
        <v>0.13636363636363635</v>
      </c>
      <c r="K346" s="41"/>
      <c r="L346" s="41"/>
      <c r="M346" s="39">
        <v>3</v>
      </c>
      <c r="N346" s="41"/>
      <c r="O346" s="41"/>
      <c r="P346" s="41"/>
      <c r="Q346" s="41"/>
      <c r="R346" s="41"/>
      <c r="S346" s="13">
        <f t="shared" si="90"/>
        <v>3</v>
      </c>
      <c r="T346" s="13">
        <v>100000</v>
      </c>
      <c r="U346" s="13">
        <f t="shared" si="92"/>
        <v>300000</v>
      </c>
      <c r="V346" s="4"/>
      <c r="Y346" s="4"/>
    </row>
    <row r="347" spans="2:25" ht="18.75" hidden="1">
      <c r="B347" s="58"/>
      <c r="C347" s="60"/>
      <c r="D347" s="51" t="s">
        <v>60</v>
      </c>
      <c r="E347" s="62" t="s">
        <v>102</v>
      </c>
      <c r="F347" s="5">
        <v>0.91666666666666663</v>
      </c>
      <c r="G347" s="65" t="s">
        <v>87</v>
      </c>
      <c r="H347" s="66"/>
      <c r="I347" s="34">
        <v>50</v>
      </c>
      <c r="J347" s="6">
        <f t="shared" si="86"/>
        <v>0.04</v>
      </c>
      <c r="K347" s="38"/>
      <c r="L347" s="38"/>
      <c r="M347" s="38">
        <v>2</v>
      </c>
      <c r="N347" s="38"/>
      <c r="O347" s="38"/>
      <c r="P347" s="38"/>
      <c r="Q347" s="38"/>
      <c r="R347" s="38"/>
      <c r="S347" s="7">
        <f t="shared" si="90"/>
        <v>2</v>
      </c>
      <c r="T347" s="7">
        <v>100000</v>
      </c>
      <c r="U347" s="7">
        <f t="shared" si="92"/>
        <v>200000</v>
      </c>
      <c r="V347" s="4"/>
      <c r="Y347" s="4"/>
    </row>
    <row r="348" spans="2:25" ht="18.75" hidden="1">
      <c r="B348" s="58"/>
      <c r="C348" s="60"/>
      <c r="D348" s="52" t="s">
        <v>60</v>
      </c>
      <c r="E348" s="63"/>
      <c r="F348" s="8">
        <v>1</v>
      </c>
      <c r="G348" s="67" t="s">
        <v>87</v>
      </c>
      <c r="H348" s="68"/>
      <c r="I348" s="35">
        <v>50</v>
      </c>
      <c r="J348" s="9">
        <f t="shared" si="86"/>
        <v>0.04</v>
      </c>
      <c r="K348" s="39"/>
      <c r="L348" s="39"/>
      <c r="M348" s="39"/>
      <c r="N348" s="39"/>
      <c r="O348" s="39"/>
      <c r="P348" s="39"/>
      <c r="Q348" s="39"/>
      <c r="R348" s="39">
        <v>2</v>
      </c>
      <c r="S348" s="10">
        <f t="shared" si="90"/>
        <v>2</v>
      </c>
      <c r="T348" s="10">
        <v>100000</v>
      </c>
      <c r="U348" s="10">
        <f t="shared" si="92"/>
        <v>200000</v>
      </c>
      <c r="V348" s="4"/>
      <c r="Y348" s="4"/>
    </row>
    <row r="349" spans="2:25" ht="18.75" hidden="1">
      <c r="B349" s="58"/>
      <c r="C349" s="60"/>
      <c r="D349" s="52" t="s">
        <v>60</v>
      </c>
      <c r="E349" s="63"/>
      <c r="F349" s="8">
        <v>8.3333333333333329E-2</v>
      </c>
      <c r="G349" s="67" t="s">
        <v>87</v>
      </c>
      <c r="H349" s="68"/>
      <c r="I349" s="35">
        <v>50</v>
      </c>
      <c r="J349" s="9">
        <f t="shared" si="86"/>
        <v>0.04</v>
      </c>
      <c r="K349" s="39"/>
      <c r="L349" s="39"/>
      <c r="M349" s="39"/>
      <c r="N349" s="39"/>
      <c r="O349" s="39"/>
      <c r="P349" s="39"/>
      <c r="Q349" s="39"/>
      <c r="R349" s="39">
        <v>2</v>
      </c>
      <c r="S349" s="10">
        <f t="shared" si="90"/>
        <v>2</v>
      </c>
      <c r="T349" s="10">
        <v>100000</v>
      </c>
      <c r="U349" s="10">
        <f t="shared" si="92"/>
        <v>200000</v>
      </c>
      <c r="V349" s="4"/>
      <c r="Y349" s="4"/>
    </row>
    <row r="350" spans="2:25" ht="18.75" hidden="1">
      <c r="B350" s="58"/>
      <c r="C350" s="60"/>
      <c r="D350" s="52" t="s">
        <v>60</v>
      </c>
      <c r="E350" s="63"/>
      <c r="F350" s="8">
        <v>0.16666666666666666</v>
      </c>
      <c r="G350" s="67" t="s">
        <v>87</v>
      </c>
      <c r="H350" s="68"/>
      <c r="I350" s="35">
        <v>50</v>
      </c>
      <c r="J350" s="9">
        <f t="shared" si="86"/>
        <v>0.04</v>
      </c>
      <c r="K350" s="39"/>
      <c r="L350" s="39"/>
      <c r="M350" s="39">
        <v>2</v>
      </c>
      <c r="N350" s="39"/>
      <c r="O350" s="39"/>
      <c r="P350" s="39"/>
      <c r="Q350" s="39"/>
      <c r="R350" s="39"/>
      <c r="S350" s="10">
        <f t="shared" si="90"/>
        <v>2</v>
      </c>
      <c r="T350" s="10">
        <v>100000</v>
      </c>
      <c r="U350" s="10">
        <f t="shared" si="92"/>
        <v>200000</v>
      </c>
      <c r="V350" s="4"/>
      <c r="W350" s="4"/>
      <c r="X350" s="4"/>
      <c r="Y350" s="4"/>
    </row>
    <row r="351" spans="2:25" ht="18.75" hidden="1">
      <c r="B351" s="58"/>
      <c r="C351" s="60"/>
      <c r="D351" s="52" t="s">
        <v>60</v>
      </c>
      <c r="E351" s="63"/>
      <c r="F351" s="8">
        <v>0.25</v>
      </c>
      <c r="G351" s="67" t="s">
        <v>87</v>
      </c>
      <c r="H351" s="68"/>
      <c r="I351" s="35">
        <v>50</v>
      </c>
      <c r="J351" s="9">
        <f t="shared" si="86"/>
        <v>0.04</v>
      </c>
      <c r="K351" s="39"/>
      <c r="L351" s="39"/>
      <c r="M351" s="39">
        <v>2</v>
      </c>
      <c r="N351" s="39"/>
      <c r="O351" s="39"/>
      <c r="P351" s="39"/>
      <c r="Q351" s="39"/>
      <c r="R351" s="39"/>
      <c r="S351" s="10">
        <f t="shared" si="90"/>
        <v>2</v>
      </c>
      <c r="T351" s="10">
        <v>100000</v>
      </c>
      <c r="U351" s="10">
        <f t="shared" si="92"/>
        <v>200000</v>
      </c>
      <c r="V351" s="4"/>
      <c r="Y351" s="4"/>
    </row>
    <row r="352" spans="2:25" ht="18.75" hidden="1">
      <c r="B352" s="58"/>
      <c r="C352" s="61"/>
      <c r="D352" s="53" t="s">
        <v>60</v>
      </c>
      <c r="E352" s="69"/>
      <c r="F352" s="14">
        <v>0.33333333333333331</v>
      </c>
      <c r="G352" s="67" t="s">
        <v>87</v>
      </c>
      <c r="H352" s="68"/>
      <c r="I352" s="37">
        <v>50</v>
      </c>
      <c r="J352" s="15">
        <f t="shared" si="86"/>
        <v>0.04</v>
      </c>
      <c r="K352" s="40"/>
      <c r="L352" s="40"/>
      <c r="M352" s="40">
        <v>2</v>
      </c>
      <c r="N352" s="40"/>
      <c r="O352" s="40"/>
      <c r="P352" s="40"/>
      <c r="Q352" s="40"/>
      <c r="R352" s="40"/>
      <c r="S352" s="16">
        <f t="shared" si="90"/>
        <v>2</v>
      </c>
      <c r="T352" s="16">
        <v>100000</v>
      </c>
      <c r="U352" s="16">
        <f t="shared" si="92"/>
        <v>200000</v>
      </c>
      <c r="V352" s="4"/>
      <c r="W352" s="4"/>
      <c r="X352" s="4"/>
      <c r="Y352" s="4"/>
    </row>
    <row r="353" spans="2:25" ht="16.5" hidden="1" customHeight="1">
      <c r="B353" s="58">
        <v>46110</v>
      </c>
      <c r="C353" s="59" t="s">
        <v>16</v>
      </c>
      <c r="D353" s="51"/>
      <c r="E353" s="62" t="s">
        <v>101</v>
      </c>
      <c r="F353" s="5">
        <v>0.41666666666666669</v>
      </c>
      <c r="G353" s="65"/>
      <c r="H353" s="66"/>
      <c r="I353" s="34"/>
      <c r="J353" s="6" t="str">
        <f t="shared" si="86"/>
        <v/>
      </c>
      <c r="K353" s="38"/>
      <c r="L353" s="38"/>
      <c r="M353" s="38"/>
      <c r="N353" s="38"/>
      <c r="O353" s="38"/>
      <c r="P353" s="38"/>
      <c r="Q353" s="38"/>
      <c r="R353" s="38"/>
      <c r="S353" s="7">
        <f>SUM(K353:R353)</f>
        <v>0</v>
      </c>
      <c r="T353" s="7">
        <v>100000</v>
      </c>
      <c r="U353" s="7">
        <f>T353*S353</f>
        <v>0</v>
      </c>
      <c r="V353" s="4"/>
      <c r="W353" s="4"/>
      <c r="X353" s="4"/>
      <c r="Y353" s="4"/>
    </row>
    <row r="354" spans="2:25" ht="18.75" hidden="1">
      <c r="B354" s="58"/>
      <c r="C354" s="60"/>
      <c r="D354" s="52"/>
      <c r="E354" s="63"/>
      <c r="F354" s="8">
        <v>0.5</v>
      </c>
      <c r="G354" s="67"/>
      <c r="H354" s="68"/>
      <c r="I354" s="35"/>
      <c r="J354" s="9" t="str">
        <f t="shared" si="86"/>
        <v/>
      </c>
      <c r="K354" s="39"/>
      <c r="L354" s="39"/>
      <c r="M354" s="39"/>
      <c r="N354" s="39"/>
      <c r="O354" s="39"/>
      <c r="P354" s="39"/>
      <c r="Q354" s="39"/>
      <c r="R354" s="39"/>
      <c r="S354" s="10">
        <f t="shared" ref="S354:S364" si="93">SUM(K354:R354)</f>
        <v>0</v>
      </c>
      <c r="T354" s="10">
        <v>100000</v>
      </c>
      <c r="U354" s="10">
        <f t="shared" ref="U354:U355" si="94">T354*S354</f>
        <v>0</v>
      </c>
      <c r="V354" s="4"/>
      <c r="W354" s="4"/>
      <c r="X354" s="4"/>
      <c r="Y354" s="4"/>
    </row>
    <row r="355" spans="2:25" ht="18.75" hidden="1">
      <c r="B355" s="58"/>
      <c r="C355" s="60"/>
      <c r="D355" s="52"/>
      <c r="E355" s="63"/>
      <c r="F355" s="8">
        <v>0.58333333333333337</v>
      </c>
      <c r="G355" s="67"/>
      <c r="H355" s="68"/>
      <c r="I355" s="35"/>
      <c r="J355" s="9" t="str">
        <f t="shared" si="86"/>
        <v/>
      </c>
      <c r="K355" s="39"/>
      <c r="L355" s="39"/>
      <c r="M355" s="39"/>
      <c r="N355" s="39"/>
      <c r="O355" s="39"/>
      <c r="P355" s="39"/>
      <c r="Q355" s="39"/>
      <c r="R355" s="39"/>
      <c r="S355" s="10">
        <f t="shared" si="93"/>
        <v>0</v>
      </c>
      <c r="T355" s="10">
        <v>100000</v>
      </c>
      <c r="U355" s="10">
        <f t="shared" si="94"/>
        <v>0</v>
      </c>
      <c r="V355" s="4"/>
      <c r="W355" s="4"/>
      <c r="X355" s="4"/>
      <c r="Y355" s="4"/>
    </row>
    <row r="356" spans="2:25" ht="18.75" hidden="1">
      <c r="B356" s="58"/>
      <c r="C356" s="60"/>
      <c r="D356" s="52"/>
      <c r="E356" s="63"/>
      <c r="F356" s="8">
        <v>0.66666666666666663</v>
      </c>
      <c r="G356" s="67"/>
      <c r="H356" s="68"/>
      <c r="I356" s="35"/>
      <c r="J356" s="9" t="str">
        <f t="shared" si="86"/>
        <v/>
      </c>
      <c r="K356" s="39"/>
      <c r="L356" s="39"/>
      <c r="M356" s="39"/>
      <c r="N356" s="39"/>
      <c r="O356" s="39"/>
      <c r="P356" s="39"/>
      <c r="Q356" s="39"/>
      <c r="R356" s="39"/>
      <c r="S356" s="10">
        <f t="shared" si="93"/>
        <v>0</v>
      </c>
      <c r="T356" s="10">
        <v>100000</v>
      </c>
      <c r="U356" s="10">
        <f>T356*S356</f>
        <v>0</v>
      </c>
      <c r="V356" s="4"/>
      <c r="W356" s="4"/>
      <c r="X356" s="4"/>
      <c r="Y356" s="4"/>
    </row>
    <row r="357" spans="2:25" ht="18.75" hidden="1">
      <c r="B357" s="58"/>
      <c r="C357" s="60"/>
      <c r="D357" s="52"/>
      <c r="E357" s="63"/>
      <c r="F357" s="8">
        <v>0.75</v>
      </c>
      <c r="G357" s="67"/>
      <c r="H357" s="68"/>
      <c r="I357" s="35"/>
      <c r="J357" s="9" t="str">
        <f t="shared" si="86"/>
        <v/>
      </c>
      <c r="K357" s="39"/>
      <c r="L357" s="39"/>
      <c r="M357" s="39"/>
      <c r="N357" s="39"/>
      <c r="O357" s="39"/>
      <c r="P357" s="39"/>
      <c r="Q357" s="39"/>
      <c r="R357" s="39"/>
      <c r="S357" s="10">
        <f t="shared" si="93"/>
        <v>0</v>
      </c>
      <c r="T357" s="10">
        <v>100000</v>
      </c>
      <c r="U357" s="10">
        <f t="shared" ref="U357:U364" si="95">T357*S357</f>
        <v>0</v>
      </c>
      <c r="V357" s="4"/>
      <c r="W357" s="4"/>
      <c r="X357" s="11"/>
      <c r="Y357" s="4"/>
    </row>
    <row r="358" spans="2:25" ht="18.75" hidden="1">
      <c r="B358" s="58"/>
      <c r="C358" s="60"/>
      <c r="D358" s="53"/>
      <c r="E358" s="64"/>
      <c r="F358" s="12">
        <v>0.83333333333333337</v>
      </c>
      <c r="G358" s="67"/>
      <c r="H358" s="68"/>
      <c r="I358" s="36"/>
      <c r="J358" s="9" t="str">
        <f t="shared" si="86"/>
        <v/>
      </c>
      <c r="K358" s="41"/>
      <c r="L358" s="41"/>
      <c r="M358" s="39"/>
      <c r="N358" s="41"/>
      <c r="O358" s="41"/>
      <c r="P358" s="41"/>
      <c r="Q358" s="41"/>
      <c r="R358" s="41"/>
      <c r="S358" s="13">
        <f t="shared" si="93"/>
        <v>0</v>
      </c>
      <c r="T358" s="13">
        <v>100000</v>
      </c>
      <c r="U358" s="13">
        <f t="shared" si="95"/>
        <v>0</v>
      </c>
      <c r="V358" s="4"/>
      <c r="Y358" s="4"/>
    </row>
    <row r="359" spans="2:25" ht="18.75" hidden="1">
      <c r="B359" s="58"/>
      <c r="C359" s="60"/>
      <c r="D359" s="51"/>
      <c r="E359" s="62" t="s">
        <v>102</v>
      </c>
      <c r="F359" s="5">
        <v>0.91666666666666663</v>
      </c>
      <c r="G359" s="65"/>
      <c r="H359" s="66"/>
      <c r="I359" s="34"/>
      <c r="J359" s="6" t="str">
        <f t="shared" si="86"/>
        <v/>
      </c>
      <c r="K359" s="38"/>
      <c r="L359" s="38"/>
      <c r="M359" s="38"/>
      <c r="N359" s="38"/>
      <c r="O359" s="38"/>
      <c r="P359" s="38"/>
      <c r="Q359" s="38"/>
      <c r="R359" s="38"/>
      <c r="S359" s="7">
        <f t="shared" si="93"/>
        <v>0</v>
      </c>
      <c r="T359" s="7">
        <v>100000</v>
      </c>
      <c r="U359" s="7">
        <f t="shared" si="95"/>
        <v>0</v>
      </c>
      <c r="V359" s="4"/>
      <c r="Y359" s="4"/>
    </row>
    <row r="360" spans="2:25" ht="18.75" hidden="1">
      <c r="B360" s="58"/>
      <c r="C360" s="60"/>
      <c r="D360" s="52"/>
      <c r="E360" s="63"/>
      <c r="F360" s="8">
        <v>1</v>
      </c>
      <c r="G360" s="67"/>
      <c r="H360" s="68"/>
      <c r="I360" s="35"/>
      <c r="J360" s="9" t="str">
        <f t="shared" si="86"/>
        <v/>
      </c>
      <c r="K360" s="39"/>
      <c r="L360" s="39"/>
      <c r="M360" s="39"/>
      <c r="N360" s="39"/>
      <c r="O360" s="39"/>
      <c r="P360" s="39"/>
      <c r="Q360" s="39"/>
      <c r="R360" s="39"/>
      <c r="S360" s="10">
        <f t="shared" si="93"/>
        <v>0</v>
      </c>
      <c r="T360" s="10">
        <v>100000</v>
      </c>
      <c r="U360" s="10">
        <f t="shared" si="95"/>
        <v>0</v>
      </c>
      <c r="V360" s="4"/>
      <c r="Y360" s="4"/>
    </row>
    <row r="361" spans="2:25" ht="18.75" hidden="1">
      <c r="B361" s="58"/>
      <c r="C361" s="60"/>
      <c r="D361" s="52"/>
      <c r="E361" s="63"/>
      <c r="F361" s="8">
        <v>8.3333333333333329E-2</v>
      </c>
      <c r="G361" s="67"/>
      <c r="H361" s="68"/>
      <c r="I361" s="35"/>
      <c r="J361" s="9" t="str">
        <f t="shared" si="86"/>
        <v/>
      </c>
      <c r="K361" s="39"/>
      <c r="L361" s="39"/>
      <c r="M361" s="39"/>
      <c r="N361" s="39"/>
      <c r="O361" s="39"/>
      <c r="P361" s="39"/>
      <c r="Q361" s="39"/>
      <c r="R361" s="39"/>
      <c r="S361" s="10">
        <f t="shared" si="93"/>
        <v>0</v>
      </c>
      <c r="T361" s="10">
        <v>100000</v>
      </c>
      <c r="U361" s="10">
        <f t="shared" si="95"/>
        <v>0</v>
      </c>
      <c r="V361" s="4"/>
      <c r="Y361" s="4"/>
    </row>
    <row r="362" spans="2:25" ht="18.75" hidden="1">
      <c r="B362" s="58"/>
      <c r="C362" s="60"/>
      <c r="D362" s="52"/>
      <c r="E362" s="63"/>
      <c r="F362" s="8">
        <v>0.16666666666666666</v>
      </c>
      <c r="G362" s="67"/>
      <c r="H362" s="68"/>
      <c r="I362" s="35"/>
      <c r="J362" s="9" t="str">
        <f t="shared" si="86"/>
        <v/>
      </c>
      <c r="K362" s="39"/>
      <c r="L362" s="39"/>
      <c r="M362" s="39"/>
      <c r="N362" s="39"/>
      <c r="O362" s="39"/>
      <c r="P362" s="39"/>
      <c r="Q362" s="39"/>
      <c r="R362" s="39"/>
      <c r="S362" s="10">
        <f t="shared" si="93"/>
        <v>0</v>
      </c>
      <c r="T362" s="10">
        <v>100000</v>
      </c>
      <c r="U362" s="10">
        <f t="shared" si="95"/>
        <v>0</v>
      </c>
      <c r="V362" s="4"/>
      <c r="W362" s="4"/>
      <c r="X362" s="4"/>
      <c r="Y362" s="4"/>
    </row>
    <row r="363" spans="2:25" ht="18.75" hidden="1">
      <c r="B363" s="58"/>
      <c r="C363" s="60"/>
      <c r="D363" s="52"/>
      <c r="E363" s="63"/>
      <c r="F363" s="8">
        <v>0.25</v>
      </c>
      <c r="G363" s="67"/>
      <c r="H363" s="68"/>
      <c r="I363" s="35"/>
      <c r="J363" s="9" t="str">
        <f t="shared" si="86"/>
        <v/>
      </c>
      <c r="K363" s="39"/>
      <c r="L363" s="39"/>
      <c r="M363" s="39"/>
      <c r="N363" s="39"/>
      <c r="O363" s="39"/>
      <c r="P363" s="39"/>
      <c r="Q363" s="39"/>
      <c r="R363" s="39"/>
      <c r="S363" s="10">
        <f t="shared" si="93"/>
        <v>0</v>
      </c>
      <c r="T363" s="10">
        <v>100000</v>
      </c>
      <c r="U363" s="10">
        <f t="shared" si="95"/>
        <v>0</v>
      </c>
      <c r="V363" s="4"/>
      <c r="Y363" s="4"/>
    </row>
    <row r="364" spans="2:25" ht="18.75" hidden="1">
      <c r="B364" s="58"/>
      <c r="C364" s="61"/>
      <c r="D364" s="53"/>
      <c r="E364" s="69"/>
      <c r="F364" s="14">
        <v>0.33333333333333331</v>
      </c>
      <c r="G364" s="67"/>
      <c r="H364" s="68"/>
      <c r="I364" s="37"/>
      <c r="J364" s="15" t="str">
        <f t="shared" si="86"/>
        <v/>
      </c>
      <c r="K364" s="40"/>
      <c r="L364" s="40"/>
      <c r="M364" s="40"/>
      <c r="N364" s="40"/>
      <c r="O364" s="40"/>
      <c r="P364" s="40"/>
      <c r="Q364" s="40"/>
      <c r="R364" s="40"/>
      <c r="S364" s="16">
        <f t="shared" si="93"/>
        <v>0</v>
      </c>
      <c r="T364" s="16">
        <v>100000</v>
      </c>
      <c r="U364" s="16">
        <f t="shared" si="95"/>
        <v>0</v>
      </c>
      <c r="V364" s="4"/>
      <c r="W364" s="4"/>
      <c r="X364" s="4"/>
      <c r="Y364" s="4"/>
    </row>
    <row r="365" spans="2:25" ht="16.5" hidden="1" customHeight="1">
      <c r="B365" s="58">
        <v>46111</v>
      </c>
      <c r="C365" s="59" t="s">
        <v>16</v>
      </c>
      <c r="D365" s="51" t="s">
        <v>56</v>
      </c>
      <c r="E365" s="62" t="s">
        <v>101</v>
      </c>
      <c r="F365" s="5">
        <v>0.41666666666666669</v>
      </c>
      <c r="G365" s="65" t="s">
        <v>110</v>
      </c>
      <c r="H365" s="66"/>
      <c r="I365" s="34">
        <v>30</v>
      </c>
      <c r="J365" s="6">
        <f t="shared" ref="J365:J388" si="96">IFERROR(S365/I365,"")</f>
        <v>0.33333333333333331</v>
      </c>
      <c r="K365" s="38"/>
      <c r="L365" s="38"/>
      <c r="M365" s="38"/>
      <c r="N365" s="38"/>
      <c r="O365" s="38"/>
      <c r="P365" s="38"/>
      <c r="Q365" s="38">
        <v>10</v>
      </c>
      <c r="R365" s="38"/>
      <c r="S365" s="7">
        <f>SUM(K365:R365)</f>
        <v>10</v>
      </c>
      <c r="T365" s="7">
        <v>100000</v>
      </c>
      <c r="U365" s="7">
        <f>T365*S365</f>
        <v>1000000</v>
      </c>
      <c r="V365" s="4"/>
      <c r="W365" s="4"/>
      <c r="X365" s="4"/>
      <c r="Y365" s="4"/>
    </row>
    <row r="366" spans="2:25" ht="18.75" hidden="1">
      <c r="B366" s="58"/>
      <c r="C366" s="60"/>
      <c r="D366" s="52" t="s">
        <v>56</v>
      </c>
      <c r="E366" s="63"/>
      <c r="F366" s="8">
        <v>0.5</v>
      </c>
      <c r="G366" s="67" t="s">
        <v>110</v>
      </c>
      <c r="H366" s="68"/>
      <c r="I366" s="35">
        <v>50</v>
      </c>
      <c r="J366" s="9">
        <f t="shared" si="96"/>
        <v>0.04</v>
      </c>
      <c r="K366" s="39"/>
      <c r="L366" s="39"/>
      <c r="M366" s="39">
        <v>2</v>
      </c>
      <c r="N366" s="39"/>
      <c r="O366" s="39"/>
      <c r="P366" s="39"/>
      <c r="Q366" s="39"/>
      <c r="R366" s="39"/>
      <c r="S366" s="10">
        <f t="shared" ref="S366:S376" si="97">SUM(K366:R366)</f>
        <v>2</v>
      </c>
      <c r="T366" s="10">
        <v>100000</v>
      </c>
      <c r="U366" s="10">
        <f t="shared" ref="U366:U367" si="98">T366*S366</f>
        <v>200000</v>
      </c>
      <c r="V366" s="4"/>
      <c r="W366" s="4"/>
      <c r="X366" s="4"/>
      <c r="Y366" s="4"/>
    </row>
    <row r="367" spans="2:25" ht="18.75" hidden="1">
      <c r="B367" s="58"/>
      <c r="C367" s="60"/>
      <c r="D367" s="52" t="s">
        <v>56</v>
      </c>
      <c r="E367" s="63"/>
      <c r="F367" s="8">
        <v>0.58333333333333337</v>
      </c>
      <c r="G367" s="67" t="s">
        <v>110</v>
      </c>
      <c r="H367" s="68"/>
      <c r="I367" s="35">
        <v>20</v>
      </c>
      <c r="J367" s="9">
        <f t="shared" si="96"/>
        <v>0.2</v>
      </c>
      <c r="K367" s="39"/>
      <c r="L367" s="39"/>
      <c r="M367" s="39"/>
      <c r="N367" s="39"/>
      <c r="O367" s="39"/>
      <c r="P367" s="39"/>
      <c r="Q367" s="39">
        <v>4</v>
      </c>
      <c r="R367" s="39"/>
      <c r="S367" s="10">
        <f t="shared" si="97"/>
        <v>4</v>
      </c>
      <c r="T367" s="10">
        <v>100000</v>
      </c>
      <c r="U367" s="10">
        <f t="shared" si="98"/>
        <v>400000</v>
      </c>
      <c r="V367" s="4"/>
      <c r="W367" s="4"/>
      <c r="X367" s="4"/>
      <c r="Y367" s="4"/>
    </row>
    <row r="368" spans="2:25" ht="18.75" hidden="1">
      <c r="B368" s="58"/>
      <c r="C368" s="60"/>
      <c r="D368" s="52" t="s">
        <v>56</v>
      </c>
      <c r="E368" s="63"/>
      <c r="F368" s="8">
        <v>0.66666666666666663</v>
      </c>
      <c r="G368" s="67" t="s">
        <v>110</v>
      </c>
      <c r="H368" s="68"/>
      <c r="I368" s="35">
        <v>0</v>
      </c>
      <c r="J368" s="9" t="str">
        <f t="shared" si="96"/>
        <v/>
      </c>
      <c r="K368" s="39"/>
      <c r="L368" s="39"/>
      <c r="M368" s="39"/>
      <c r="N368" s="39"/>
      <c r="O368" s="39"/>
      <c r="P368" s="39"/>
      <c r="Q368" s="39"/>
      <c r="R368" s="39"/>
      <c r="S368" s="10">
        <f t="shared" si="97"/>
        <v>0</v>
      </c>
      <c r="T368" s="10">
        <v>100000</v>
      </c>
      <c r="U368" s="10">
        <f>T368*S368</f>
        <v>0</v>
      </c>
      <c r="V368" s="4"/>
      <c r="W368" s="4"/>
      <c r="X368" s="4"/>
      <c r="Y368" s="4"/>
    </row>
    <row r="369" spans="2:25" ht="18.75" hidden="1">
      <c r="B369" s="58"/>
      <c r="C369" s="60"/>
      <c r="D369" s="52" t="s">
        <v>56</v>
      </c>
      <c r="E369" s="63"/>
      <c r="F369" s="8">
        <v>0.75</v>
      </c>
      <c r="G369" s="67" t="s">
        <v>110</v>
      </c>
      <c r="H369" s="68"/>
      <c r="I369" s="35">
        <v>50</v>
      </c>
      <c r="J369" s="9">
        <f t="shared" si="96"/>
        <v>0.06</v>
      </c>
      <c r="K369" s="39"/>
      <c r="L369" s="39"/>
      <c r="M369" s="39">
        <v>3</v>
      </c>
      <c r="N369" s="39"/>
      <c r="O369" s="39"/>
      <c r="P369" s="39"/>
      <c r="Q369" s="39"/>
      <c r="R369" s="39"/>
      <c r="S369" s="10">
        <f t="shared" si="97"/>
        <v>3</v>
      </c>
      <c r="T369" s="10">
        <v>100000</v>
      </c>
      <c r="U369" s="10">
        <f t="shared" ref="U369:U376" si="99">T369*S369</f>
        <v>300000</v>
      </c>
      <c r="V369" s="4"/>
      <c r="W369" s="4"/>
      <c r="X369" s="11"/>
      <c r="Y369" s="4"/>
    </row>
    <row r="370" spans="2:25" ht="18.75" hidden="1">
      <c r="B370" s="58"/>
      <c r="C370" s="60"/>
      <c r="D370" s="53" t="s">
        <v>56</v>
      </c>
      <c r="E370" s="64"/>
      <c r="F370" s="12">
        <v>0.83333333333333337</v>
      </c>
      <c r="G370" s="67" t="s">
        <v>110</v>
      </c>
      <c r="H370" s="68"/>
      <c r="I370" s="36">
        <v>50</v>
      </c>
      <c r="J370" s="9">
        <f t="shared" si="96"/>
        <v>0.06</v>
      </c>
      <c r="K370" s="41"/>
      <c r="L370" s="41"/>
      <c r="M370" s="39"/>
      <c r="N370" s="41"/>
      <c r="O370" s="41"/>
      <c r="P370" s="41"/>
      <c r="Q370" s="41"/>
      <c r="R370" s="41">
        <v>3</v>
      </c>
      <c r="S370" s="13">
        <f t="shared" si="97"/>
        <v>3</v>
      </c>
      <c r="T370" s="13">
        <v>100000</v>
      </c>
      <c r="U370" s="13">
        <f t="shared" si="99"/>
        <v>300000</v>
      </c>
      <c r="V370" s="4"/>
      <c r="Y370" s="4"/>
    </row>
    <row r="371" spans="2:25" ht="18.75" hidden="1">
      <c r="B371" s="58"/>
      <c r="C371" s="60"/>
      <c r="D371" s="51" t="s">
        <v>56</v>
      </c>
      <c r="E371" s="62" t="s">
        <v>102</v>
      </c>
      <c r="F371" s="5">
        <v>0.91666666666666663</v>
      </c>
      <c r="G371" s="65" t="s">
        <v>88</v>
      </c>
      <c r="H371" s="66"/>
      <c r="I371" s="34">
        <v>30</v>
      </c>
      <c r="J371" s="6">
        <f t="shared" si="96"/>
        <v>0.16666666666666666</v>
      </c>
      <c r="K371" s="38"/>
      <c r="L371" s="38"/>
      <c r="M371" s="38"/>
      <c r="N371" s="38"/>
      <c r="O371" s="38"/>
      <c r="P371" s="38"/>
      <c r="Q371" s="38"/>
      <c r="R371" s="38">
        <v>5</v>
      </c>
      <c r="S371" s="7">
        <f t="shared" si="97"/>
        <v>5</v>
      </c>
      <c r="T371" s="7">
        <v>100000</v>
      </c>
      <c r="U371" s="7">
        <f t="shared" si="99"/>
        <v>500000</v>
      </c>
      <c r="V371" s="4"/>
      <c r="Y371" s="4"/>
    </row>
    <row r="372" spans="2:25" ht="18.75" hidden="1">
      <c r="B372" s="58"/>
      <c r="C372" s="60"/>
      <c r="D372" s="52" t="s">
        <v>56</v>
      </c>
      <c r="E372" s="63"/>
      <c r="F372" s="8">
        <v>1</v>
      </c>
      <c r="G372" s="67" t="s">
        <v>88</v>
      </c>
      <c r="H372" s="68"/>
      <c r="I372" s="35">
        <v>0</v>
      </c>
      <c r="J372" s="9" t="str">
        <f t="shared" si="96"/>
        <v/>
      </c>
      <c r="K372" s="39"/>
      <c r="L372" s="39"/>
      <c r="M372" s="39"/>
      <c r="N372" s="39"/>
      <c r="O372" s="39"/>
      <c r="P372" s="39"/>
      <c r="Q372" s="39">
        <v>10</v>
      </c>
      <c r="R372" s="39"/>
      <c r="S372" s="10">
        <f t="shared" si="97"/>
        <v>10</v>
      </c>
      <c r="T372" s="10">
        <v>100000</v>
      </c>
      <c r="U372" s="10">
        <f t="shared" si="99"/>
        <v>1000000</v>
      </c>
      <c r="V372" s="4"/>
      <c r="Y372" s="4"/>
    </row>
    <row r="373" spans="2:25" ht="18.75" hidden="1">
      <c r="B373" s="58"/>
      <c r="C373" s="60"/>
      <c r="D373" s="52" t="s">
        <v>56</v>
      </c>
      <c r="E373" s="63"/>
      <c r="F373" s="8">
        <v>8.3333333333333329E-2</v>
      </c>
      <c r="G373" s="67" t="s">
        <v>88</v>
      </c>
      <c r="H373" s="68"/>
      <c r="I373" s="35">
        <v>50</v>
      </c>
      <c r="J373" s="9">
        <f t="shared" si="96"/>
        <v>0.06</v>
      </c>
      <c r="K373" s="39"/>
      <c r="L373" s="39"/>
      <c r="M373" s="39"/>
      <c r="N373" s="39"/>
      <c r="O373" s="39"/>
      <c r="P373" s="39"/>
      <c r="Q373" s="39"/>
      <c r="R373" s="39">
        <v>3</v>
      </c>
      <c r="S373" s="10">
        <f t="shared" si="97"/>
        <v>3</v>
      </c>
      <c r="T373" s="10">
        <v>100000</v>
      </c>
      <c r="U373" s="10">
        <f t="shared" si="99"/>
        <v>300000</v>
      </c>
      <c r="V373" s="4"/>
      <c r="Y373" s="4"/>
    </row>
    <row r="374" spans="2:25" ht="18.75" hidden="1">
      <c r="B374" s="58"/>
      <c r="C374" s="60"/>
      <c r="D374" s="52" t="s">
        <v>56</v>
      </c>
      <c r="E374" s="63"/>
      <c r="F374" s="8">
        <v>0.16666666666666666</v>
      </c>
      <c r="G374" s="67" t="s">
        <v>88</v>
      </c>
      <c r="H374" s="68"/>
      <c r="I374" s="35">
        <v>50</v>
      </c>
      <c r="J374" s="9">
        <f t="shared" si="96"/>
        <v>0.04</v>
      </c>
      <c r="K374" s="39"/>
      <c r="L374" s="39"/>
      <c r="M374" s="39"/>
      <c r="N374" s="39"/>
      <c r="O374" s="39"/>
      <c r="P374" s="39"/>
      <c r="Q374" s="39"/>
      <c r="R374" s="39">
        <v>2</v>
      </c>
      <c r="S374" s="10">
        <f t="shared" si="97"/>
        <v>2</v>
      </c>
      <c r="T374" s="10">
        <v>100000</v>
      </c>
      <c r="U374" s="10">
        <f t="shared" si="99"/>
        <v>200000</v>
      </c>
      <c r="V374" s="4"/>
      <c r="W374" s="4"/>
      <c r="X374" s="4"/>
      <c r="Y374" s="4"/>
    </row>
    <row r="375" spans="2:25" ht="18.75" hidden="1">
      <c r="B375" s="58"/>
      <c r="C375" s="60"/>
      <c r="D375" s="52" t="s">
        <v>56</v>
      </c>
      <c r="E375" s="63"/>
      <c r="F375" s="8">
        <v>0.25</v>
      </c>
      <c r="G375" s="67" t="s">
        <v>88</v>
      </c>
      <c r="H375" s="68"/>
      <c r="I375" s="35">
        <v>50</v>
      </c>
      <c r="J375" s="9">
        <f t="shared" si="96"/>
        <v>0</v>
      </c>
      <c r="K375" s="39"/>
      <c r="L375" s="39"/>
      <c r="M375" s="39"/>
      <c r="N375" s="39"/>
      <c r="O375" s="39"/>
      <c r="P375" s="39"/>
      <c r="Q375" s="39"/>
      <c r="R375" s="39"/>
      <c r="S375" s="10">
        <f t="shared" si="97"/>
        <v>0</v>
      </c>
      <c r="T375" s="10">
        <v>100000</v>
      </c>
      <c r="U375" s="10">
        <f t="shared" si="99"/>
        <v>0</v>
      </c>
      <c r="V375" s="4"/>
      <c r="Y375" s="4"/>
    </row>
    <row r="376" spans="2:25" ht="18.75" hidden="1">
      <c r="B376" s="58"/>
      <c r="C376" s="61"/>
      <c r="D376" s="53" t="s">
        <v>56</v>
      </c>
      <c r="E376" s="69"/>
      <c r="F376" s="14">
        <v>0.33333333333333331</v>
      </c>
      <c r="G376" s="67" t="s">
        <v>88</v>
      </c>
      <c r="H376" s="68"/>
      <c r="I376" s="37">
        <v>50</v>
      </c>
      <c r="J376" s="15">
        <f t="shared" si="96"/>
        <v>0</v>
      </c>
      <c r="K376" s="40"/>
      <c r="L376" s="40"/>
      <c r="M376" s="40"/>
      <c r="N376" s="40"/>
      <c r="O376" s="40"/>
      <c r="P376" s="40"/>
      <c r="Q376" s="40"/>
      <c r="R376" s="40"/>
      <c r="S376" s="16">
        <f t="shared" si="97"/>
        <v>0</v>
      </c>
      <c r="T376" s="16">
        <v>100000</v>
      </c>
      <c r="U376" s="16">
        <f t="shared" si="99"/>
        <v>0</v>
      </c>
      <c r="V376" s="4"/>
      <c r="W376" s="4"/>
      <c r="X376" s="4"/>
      <c r="Y376" s="4"/>
    </row>
    <row r="377" spans="2:25" ht="16.5" hidden="1" customHeight="1">
      <c r="B377" s="58">
        <v>46112</v>
      </c>
      <c r="C377" s="59" t="s">
        <v>16</v>
      </c>
      <c r="D377" s="51" t="s">
        <v>55</v>
      </c>
      <c r="E377" s="62" t="s">
        <v>101</v>
      </c>
      <c r="F377" s="5">
        <v>0.41666666666666669</v>
      </c>
      <c r="G377" s="65" t="s">
        <v>79</v>
      </c>
      <c r="H377" s="66"/>
      <c r="I377" s="34"/>
      <c r="J377" s="6" t="str">
        <f t="shared" si="96"/>
        <v/>
      </c>
      <c r="K377" s="38"/>
      <c r="L377" s="38"/>
      <c r="M377" s="38"/>
      <c r="N377" s="38"/>
      <c r="O377" s="38"/>
      <c r="P377" s="38"/>
      <c r="Q377" s="38"/>
      <c r="R377" s="38"/>
      <c r="S377" s="7">
        <f>SUM(K377:R377)</f>
        <v>0</v>
      </c>
      <c r="T377" s="7">
        <v>100000</v>
      </c>
      <c r="U377" s="7">
        <f>T377*S377</f>
        <v>0</v>
      </c>
      <c r="V377" s="4"/>
      <c r="W377" s="4"/>
      <c r="X377" s="4"/>
      <c r="Y377" s="4"/>
    </row>
    <row r="378" spans="2:25" ht="18.75" hidden="1">
      <c r="B378" s="58"/>
      <c r="C378" s="60"/>
      <c r="D378" s="52" t="s">
        <v>55</v>
      </c>
      <c r="E378" s="63"/>
      <c r="F378" s="8">
        <v>0.5</v>
      </c>
      <c r="G378" s="67" t="s">
        <v>79</v>
      </c>
      <c r="H378" s="68"/>
      <c r="I378" s="35">
        <v>10</v>
      </c>
      <c r="J378" s="9">
        <f t="shared" si="96"/>
        <v>0.8</v>
      </c>
      <c r="K378" s="39"/>
      <c r="L378" s="39"/>
      <c r="M378" s="39"/>
      <c r="N378" s="39">
        <v>8</v>
      </c>
      <c r="O378" s="39"/>
      <c r="P378" s="39"/>
      <c r="Q378" s="39"/>
      <c r="R378" s="39"/>
      <c r="S378" s="10">
        <f t="shared" ref="S378:S388" si="100">SUM(K378:R378)</f>
        <v>8</v>
      </c>
      <c r="T378" s="10">
        <v>100000</v>
      </c>
      <c r="U378" s="10">
        <f t="shared" ref="U378:U379" si="101">T378*S378</f>
        <v>800000</v>
      </c>
      <c r="V378" s="4"/>
      <c r="W378" s="4"/>
      <c r="X378" s="4"/>
      <c r="Y378" s="4"/>
    </row>
    <row r="379" spans="2:25" ht="18.75" hidden="1">
      <c r="B379" s="58"/>
      <c r="C379" s="60"/>
      <c r="D379" s="52" t="s">
        <v>55</v>
      </c>
      <c r="E379" s="63"/>
      <c r="F379" s="8">
        <v>0.58333333333333337</v>
      </c>
      <c r="G379" s="67" t="s">
        <v>79</v>
      </c>
      <c r="H379" s="68"/>
      <c r="I379" s="35"/>
      <c r="J379" s="9" t="str">
        <f t="shared" si="96"/>
        <v/>
      </c>
      <c r="K379" s="39"/>
      <c r="L379" s="39"/>
      <c r="M379" s="39"/>
      <c r="N379" s="39"/>
      <c r="O379" s="39"/>
      <c r="P379" s="39"/>
      <c r="Q379" s="39"/>
      <c r="R379" s="39"/>
      <c r="S379" s="10">
        <f t="shared" si="100"/>
        <v>0</v>
      </c>
      <c r="T379" s="10">
        <v>100000</v>
      </c>
      <c r="U379" s="10">
        <f t="shared" si="101"/>
        <v>0</v>
      </c>
      <c r="V379" s="4"/>
      <c r="W379" s="4"/>
      <c r="X379" s="4"/>
      <c r="Y379" s="4"/>
    </row>
    <row r="380" spans="2:25" ht="18.75" hidden="1">
      <c r="B380" s="58"/>
      <c r="C380" s="60"/>
      <c r="D380" s="52" t="s">
        <v>55</v>
      </c>
      <c r="E380" s="63"/>
      <c r="F380" s="8">
        <v>0.66666666666666663</v>
      </c>
      <c r="G380" s="67" t="s">
        <v>79</v>
      </c>
      <c r="H380" s="68"/>
      <c r="I380" s="35">
        <v>20</v>
      </c>
      <c r="J380" s="9">
        <f t="shared" si="96"/>
        <v>0.25</v>
      </c>
      <c r="K380" s="39"/>
      <c r="L380" s="39"/>
      <c r="M380" s="39"/>
      <c r="N380" s="39">
        <v>5</v>
      </c>
      <c r="O380" s="39"/>
      <c r="P380" s="39"/>
      <c r="Q380" s="39"/>
      <c r="R380" s="39"/>
      <c r="S380" s="10">
        <f t="shared" si="100"/>
        <v>5</v>
      </c>
      <c r="T380" s="10">
        <v>100000</v>
      </c>
      <c r="U380" s="10">
        <f>T380*S380</f>
        <v>500000</v>
      </c>
      <c r="V380" s="4"/>
      <c r="W380" s="4"/>
      <c r="X380" s="4"/>
      <c r="Y380" s="4"/>
    </row>
    <row r="381" spans="2:25" ht="18.75" hidden="1">
      <c r="B381" s="58"/>
      <c r="C381" s="60"/>
      <c r="D381" s="52" t="s">
        <v>55</v>
      </c>
      <c r="E381" s="63"/>
      <c r="F381" s="8">
        <v>0.75</v>
      </c>
      <c r="G381" s="67" t="s">
        <v>79</v>
      </c>
      <c r="H381" s="68"/>
      <c r="I381" s="35">
        <v>50</v>
      </c>
      <c r="J381" s="9">
        <f t="shared" si="96"/>
        <v>0.06</v>
      </c>
      <c r="K381" s="39">
        <v>3</v>
      </c>
      <c r="L381" s="39"/>
      <c r="M381" s="39"/>
      <c r="N381" s="39"/>
      <c r="O381" s="39"/>
      <c r="P381" s="39"/>
      <c r="Q381" s="39"/>
      <c r="R381" s="39"/>
      <c r="S381" s="10">
        <f t="shared" si="100"/>
        <v>3</v>
      </c>
      <c r="T381" s="10">
        <v>100000</v>
      </c>
      <c r="U381" s="10">
        <f t="shared" ref="U381:U388" si="102">T381*S381</f>
        <v>300000</v>
      </c>
      <c r="V381" s="4"/>
      <c r="W381" s="4"/>
      <c r="X381" s="11"/>
      <c r="Y381" s="4"/>
    </row>
    <row r="382" spans="2:25" ht="18.75" hidden="1">
      <c r="B382" s="58"/>
      <c r="C382" s="60"/>
      <c r="D382" s="53" t="s">
        <v>55</v>
      </c>
      <c r="E382" s="64"/>
      <c r="F382" s="12">
        <v>0.83333333333333337</v>
      </c>
      <c r="G382" s="67" t="s">
        <v>79</v>
      </c>
      <c r="H382" s="68"/>
      <c r="I382" s="36">
        <v>50</v>
      </c>
      <c r="J382" s="9">
        <f t="shared" si="96"/>
        <v>0.04</v>
      </c>
      <c r="K382" s="41">
        <v>2</v>
      </c>
      <c r="L382" s="41"/>
      <c r="M382" s="39"/>
      <c r="N382" s="41"/>
      <c r="O382" s="41"/>
      <c r="P382" s="41"/>
      <c r="Q382" s="41"/>
      <c r="R382" s="41"/>
      <c r="S382" s="13">
        <f t="shared" si="100"/>
        <v>2</v>
      </c>
      <c r="T382" s="13">
        <v>100000</v>
      </c>
      <c r="U382" s="13">
        <f t="shared" si="102"/>
        <v>200000</v>
      </c>
      <c r="V382" s="4"/>
      <c r="Y382" s="4"/>
    </row>
    <row r="383" spans="2:25" ht="18.75" hidden="1">
      <c r="B383" s="58"/>
      <c r="C383" s="60"/>
      <c r="D383" s="51" t="s">
        <v>55</v>
      </c>
      <c r="E383" s="62" t="s">
        <v>102</v>
      </c>
      <c r="F383" s="5">
        <v>0.91666666666666663</v>
      </c>
      <c r="G383" s="65" t="s">
        <v>87</v>
      </c>
      <c r="H383" s="66"/>
      <c r="I383" s="34">
        <v>50</v>
      </c>
      <c r="J383" s="6">
        <f t="shared" si="96"/>
        <v>0.08</v>
      </c>
      <c r="K383" s="38"/>
      <c r="L383" s="38"/>
      <c r="M383" s="38"/>
      <c r="N383" s="38"/>
      <c r="O383" s="38"/>
      <c r="P383" s="38"/>
      <c r="Q383" s="38"/>
      <c r="R383" s="38">
        <v>4</v>
      </c>
      <c r="S383" s="7">
        <f t="shared" si="100"/>
        <v>4</v>
      </c>
      <c r="T383" s="7">
        <v>100000</v>
      </c>
      <c r="U383" s="7">
        <f t="shared" si="102"/>
        <v>400000</v>
      </c>
      <c r="V383" s="4"/>
      <c r="Y383" s="4"/>
    </row>
    <row r="384" spans="2:25" ht="18.75" hidden="1">
      <c r="B384" s="58"/>
      <c r="C384" s="60"/>
      <c r="D384" s="52" t="s">
        <v>55</v>
      </c>
      <c r="E384" s="63"/>
      <c r="F384" s="8">
        <v>1</v>
      </c>
      <c r="G384" s="67" t="s">
        <v>87</v>
      </c>
      <c r="H384" s="68"/>
      <c r="I384" s="35">
        <v>50</v>
      </c>
      <c r="J384" s="9">
        <f t="shared" si="96"/>
        <v>0.06</v>
      </c>
      <c r="K384" s="39"/>
      <c r="L384" s="39"/>
      <c r="M384" s="39"/>
      <c r="N384" s="39"/>
      <c r="O384" s="39"/>
      <c r="P384" s="39"/>
      <c r="Q384" s="39"/>
      <c r="R384" s="39">
        <v>3</v>
      </c>
      <c r="S384" s="10">
        <f t="shared" si="100"/>
        <v>3</v>
      </c>
      <c r="T384" s="10">
        <v>100000</v>
      </c>
      <c r="U384" s="10">
        <f t="shared" si="102"/>
        <v>300000</v>
      </c>
      <c r="V384" s="4"/>
      <c r="Y384" s="4"/>
    </row>
    <row r="385" spans="2:25" ht="18.75" hidden="1">
      <c r="B385" s="58"/>
      <c r="C385" s="60"/>
      <c r="D385" s="52" t="s">
        <v>55</v>
      </c>
      <c r="E385" s="63"/>
      <c r="F385" s="8">
        <v>8.3333333333333329E-2</v>
      </c>
      <c r="G385" s="67" t="s">
        <v>87</v>
      </c>
      <c r="H385" s="68"/>
      <c r="I385" s="35">
        <v>50</v>
      </c>
      <c r="J385" s="9">
        <f t="shared" si="96"/>
        <v>0.06</v>
      </c>
      <c r="K385" s="39"/>
      <c r="L385" s="39"/>
      <c r="M385" s="39"/>
      <c r="N385" s="39"/>
      <c r="O385" s="39"/>
      <c r="P385" s="39"/>
      <c r="Q385" s="39"/>
      <c r="R385" s="39">
        <v>3</v>
      </c>
      <c r="S385" s="10">
        <f t="shared" si="100"/>
        <v>3</v>
      </c>
      <c r="T385" s="10">
        <v>100000</v>
      </c>
      <c r="U385" s="10">
        <f t="shared" si="102"/>
        <v>300000</v>
      </c>
      <c r="V385" s="4"/>
      <c r="Y385" s="4"/>
    </row>
    <row r="386" spans="2:25" ht="18.75" hidden="1">
      <c r="B386" s="58"/>
      <c r="C386" s="60"/>
      <c r="D386" s="52" t="s">
        <v>55</v>
      </c>
      <c r="E386" s="63"/>
      <c r="F386" s="8">
        <v>0.16666666666666666</v>
      </c>
      <c r="G386" s="67" t="s">
        <v>87</v>
      </c>
      <c r="H386" s="68"/>
      <c r="I386" s="35">
        <v>50</v>
      </c>
      <c r="J386" s="9">
        <f t="shared" si="96"/>
        <v>0.06</v>
      </c>
      <c r="K386" s="39"/>
      <c r="L386" s="39"/>
      <c r="M386" s="39"/>
      <c r="N386" s="39"/>
      <c r="O386" s="39"/>
      <c r="P386" s="39"/>
      <c r="Q386" s="39"/>
      <c r="R386" s="39">
        <v>3</v>
      </c>
      <c r="S386" s="10">
        <f t="shared" si="100"/>
        <v>3</v>
      </c>
      <c r="T386" s="10">
        <v>100000</v>
      </c>
      <c r="U386" s="10">
        <f t="shared" si="102"/>
        <v>300000</v>
      </c>
      <c r="V386" s="4"/>
      <c r="W386" s="4"/>
      <c r="X386" s="4"/>
      <c r="Y386" s="4"/>
    </row>
    <row r="387" spans="2:25" ht="18.75" hidden="1">
      <c r="B387" s="58"/>
      <c r="C387" s="60"/>
      <c r="D387" s="52" t="s">
        <v>55</v>
      </c>
      <c r="E387" s="63"/>
      <c r="F387" s="8">
        <v>0.25</v>
      </c>
      <c r="G387" s="67" t="s">
        <v>87</v>
      </c>
      <c r="H387" s="68"/>
      <c r="I387" s="35">
        <v>50</v>
      </c>
      <c r="J387" s="9">
        <f t="shared" si="96"/>
        <v>0.06</v>
      </c>
      <c r="K387" s="39"/>
      <c r="L387" s="39"/>
      <c r="M387" s="39"/>
      <c r="N387" s="39"/>
      <c r="O387" s="39"/>
      <c r="P387" s="39"/>
      <c r="Q387" s="39"/>
      <c r="R387" s="39">
        <v>3</v>
      </c>
      <c r="S387" s="10">
        <f t="shared" si="100"/>
        <v>3</v>
      </c>
      <c r="T387" s="10">
        <v>100000</v>
      </c>
      <c r="U387" s="10">
        <f t="shared" si="102"/>
        <v>300000</v>
      </c>
      <c r="V387" s="4"/>
      <c r="Y387" s="4"/>
    </row>
    <row r="388" spans="2:25" ht="18.75" hidden="1">
      <c r="B388" s="58"/>
      <c r="C388" s="61"/>
      <c r="D388" s="53" t="s">
        <v>55</v>
      </c>
      <c r="E388" s="69"/>
      <c r="F388" s="14">
        <v>0.33333333333333331</v>
      </c>
      <c r="G388" s="67" t="s">
        <v>87</v>
      </c>
      <c r="H388" s="68"/>
      <c r="I388" s="37">
        <v>27</v>
      </c>
      <c r="J388" s="15">
        <f t="shared" si="96"/>
        <v>0</v>
      </c>
      <c r="K388" s="40"/>
      <c r="L388" s="40"/>
      <c r="M388" s="40"/>
      <c r="N388" s="40"/>
      <c r="O388" s="40"/>
      <c r="P388" s="40"/>
      <c r="Q388" s="40"/>
      <c r="R388" s="40"/>
      <c r="S388" s="16">
        <f t="shared" si="100"/>
        <v>0</v>
      </c>
      <c r="T388" s="16">
        <v>100000</v>
      </c>
      <c r="U388" s="16">
        <f t="shared" si="102"/>
        <v>0</v>
      </c>
      <c r="V388" s="4"/>
      <c r="W388" s="4"/>
      <c r="X388" s="4"/>
      <c r="Y388" s="4"/>
    </row>
    <row r="389" spans="2:25" ht="35.25" customHeight="1">
      <c r="B389" s="58">
        <v>46113</v>
      </c>
      <c r="C389" s="59" t="s">
        <v>16</v>
      </c>
      <c r="D389" s="51" t="s">
        <v>47</v>
      </c>
      <c r="E389" s="62" t="s">
        <v>101</v>
      </c>
      <c r="F389" s="5">
        <v>0.41666666666666669</v>
      </c>
      <c r="G389" s="65" t="s">
        <v>108</v>
      </c>
      <c r="H389" s="66"/>
      <c r="I389" s="34">
        <v>68</v>
      </c>
      <c r="J389" s="6">
        <f t="shared" ref="J389:J400" si="103">IFERROR(S389/I389,"")</f>
        <v>0.20588235294117646</v>
      </c>
      <c r="K389" s="38"/>
      <c r="L389" s="38"/>
      <c r="M389" s="38"/>
      <c r="N389" s="38"/>
      <c r="O389" s="38"/>
      <c r="P389" s="38"/>
      <c r="Q389" s="38">
        <v>12</v>
      </c>
      <c r="R389" s="38">
        <v>2</v>
      </c>
      <c r="S389" s="7">
        <f>SUM(K389:R389)</f>
        <v>14</v>
      </c>
      <c r="T389" s="7">
        <v>100000</v>
      </c>
      <c r="U389" s="7">
        <f>T389*S389</f>
        <v>1400000</v>
      </c>
      <c r="V389" s="4"/>
      <c r="W389" s="4"/>
      <c r="X389" s="4"/>
      <c r="Y389" s="4"/>
    </row>
    <row r="390" spans="2:25" ht="37.5">
      <c r="B390" s="58"/>
      <c r="C390" s="60"/>
      <c r="D390" s="52" t="s">
        <v>47</v>
      </c>
      <c r="E390" s="63"/>
      <c r="F390" s="8">
        <v>0.5</v>
      </c>
      <c r="G390" s="67" t="s">
        <v>108</v>
      </c>
      <c r="H390" s="68"/>
      <c r="I390" s="35">
        <v>80</v>
      </c>
      <c r="J390" s="9">
        <f t="shared" si="103"/>
        <v>6.25E-2</v>
      </c>
      <c r="K390" s="39">
        <v>5</v>
      </c>
      <c r="L390" s="39"/>
      <c r="M390" s="39"/>
      <c r="N390" s="39"/>
      <c r="O390" s="39"/>
      <c r="P390" s="39"/>
      <c r="Q390" s="39"/>
      <c r="R390" s="39"/>
      <c r="S390" s="10">
        <f t="shared" ref="S390:S400" si="104">SUM(K390:R390)</f>
        <v>5</v>
      </c>
      <c r="T390" s="10">
        <v>100000</v>
      </c>
      <c r="U390" s="10">
        <f t="shared" ref="U390:U391" si="105">T390*S390</f>
        <v>500000</v>
      </c>
      <c r="V390" s="4"/>
      <c r="W390" s="4"/>
      <c r="X390" s="4"/>
      <c r="Y390" s="4"/>
    </row>
    <row r="391" spans="2:25" ht="37.5">
      <c r="B391" s="58"/>
      <c r="C391" s="60"/>
      <c r="D391" s="52" t="s">
        <v>47</v>
      </c>
      <c r="E391" s="63"/>
      <c r="F391" s="8">
        <v>0.58333333333333337</v>
      </c>
      <c r="G391" s="67" t="s">
        <v>108</v>
      </c>
      <c r="H391" s="68"/>
      <c r="I391" s="35">
        <v>84</v>
      </c>
      <c r="J391" s="9">
        <f t="shared" si="103"/>
        <v>0</v>
      </c>
      <c r="K391" s="39"/>
      <c r="L391" s="39"/>
      <c r="M391" s="39"/>
      <c r="N391" s="39"/>
      <c r="O391" s="39"/>
      <c r="P391" s="39"/>
      <c r="Q391" s="39"/>
      <c r="R391" s="39"/>
      <c r="S391" s="10">
        <f t="shared" si="104"/>
        <v>0</v>
      </c>
      <c r="T391" s="10">
        <v>100000</v>
      </c>
      <c r="U391" s="10">
        <f t="shared" si="105"/>
        <v>0</v>
      </c>
      <c r="V391" s="4"/>
      <c r="W391" s="4"/>
      <c r="X391" s="4"/>
      <c r="Y391" s="4"/>
    </row>
    <row r="392" spans="2:25" ht="37.5">
      <c r="B392" s="58"/>
      <c r="C392" s="60"/>
      <c r="D392" s="52" t="s">
        <v>47</v>
      </c>
      <c r="E392" s="63"/>
      <c r="F392" s="8">
        <v>0.66666666666666663</v>
      </c>
      <c r="G392" s="67" t="s">
        <v>108</v>
      </c>
      <c r="H392" s="68"/>
      <c r="I392" s="35">
        <v>84</v>
      </c>
      <c r="J392" s="9">
        <f t="shared" si="103"/>
        <v>0</v>
      </c>
      <c r="K392" s="39"/>
      <c r="L392" s="39"/>
      <c r="M392" s="39"/>
      <c r="N392" s="39"/>
      <c r="O392" s="39"/>
      <c r="P392" s="39"/>
      <c r="Q392" s="39"/>
      <c r="R392" s="39"/>
      <c r="S392" s="10">
        <f t="shared" si="104"/>
        <v>0</v>
      </c>
      <c r="T392" s="10">
        <v>100000</v>
      </c>
      <c r="U392" s="10">
        <f>T392*S392</f>
        <v>0</v>
      </c>
      <c r="V392" s="4"/>
      <c r="W392" s="4"/>
      <c r="X392" s="4"/>
      <c r="Y392" s="4"/>
    </row>
    <row r="393" spans="2:25" ht="37.5">
      <c r="B393" s="58"/>
      <c r="C393" s="60"/>
      <c r="D393" s="52" t="s">
        <v>47</v>
      </c>
      <c r="E393" s="63"/>
      <c r="F393" s="8">
        <v>0.75</v>
      </c>
      <c r="G393" s="67" t="s">
        <v>108</v>
      </c>
      <c r="H393" s="68"/>
      <c r="I393" s="35">
        <v>84</v>
      </c>
      <c r="J393" s="9">
        <f t="shared" si="103"/>
        <v>0</v>
      </c>
      <c r="K393" s="39"/>
      <c r="L393" s="39"/>
      <c r="M393" s="39"/>
      <c r="N393" s="39"/>
      <c r="O393" s="39"/>
      <c r="P393" s="39"/>
      <c r="Q393" s="39"/>
      <c r="R393" s="39"/>
      <c r="S393" s="10">
        <f t="shared" si="104"/>
        <v>0</v>
      </c>
      <c r="T393" s="10">
        <v>100000</v>
      </c>
      <c r="U393" s="10">
        <f t="shared" ref="U393:U400" si="106">T393*S393</f>
        <v>0</v>
      </c>
      <c r="V393" s="4"/>
      <c r="W393" s="4"/>
      <c r="X393" s="11"/>
      <c r="Y393" s="4"/>
    </row>
    <row r="394" spans="2:25" ht="37.5">
      <c r="B394" s="58"/>
      <c r="C394" s="60"/>
      <c r="D394" s="53" t="s">
        <v>47</v>
      </c>
      <c r="E394" s="64"/>
      <c r="F394" s="12">
        <v>0.83333333333333337</v>
      </c>
      <c r="G394" s="67" t="s">
        <v>108</v>
      </c>
      <c r="H394" s="68"/>
      <c r="I394" s="36">
        <v>80</v>
      </c>
      <c r="J394" s="9">
        <f t="shared" si="103"/>
        <v>0</v>
      </c>
      <c r="K394" s="41"/>
      <c r="L394" s="41"/>
      <c r="M394" s="39"/>
      <c r="N394" s="41"/>
      <c r="O394" s="41"/>
      <c r="P394" s="41"/>
      <c r="Q394" s="41"/>
      <c r="R394" s="41"/>
      <c r="S394" s="13">
        <f t="shared" si="104"/>
        <v>0</v>
      </c>
      <c r="T394" s="13">
        <v>100000</v>
      </c>
      <c r="U394" s="13">
        <f t="shared" si="106"/>
        <v>0</v>
      </c>
      <c r="V394" s="4"/>
      <c r="Y394" s="4"/>
    </row>
    <row r="395" spans="2:25" ht="37.5">
      <c r="B395" s="58"/>
      <c r="C395" s="60"/>
      <c r="D395" s="51" t="s">
        <v>47</v>
      </c>
      <c r="E395" s="62" t="s">
        <v>102</v>
      </c>
      <c r="F395" s="5">
        <v>0.91666666666666663</v>
      </c>
      <c r="G395" s="65" t="s">
        <v>87</v>
      </c>
      <c r="H395" s="66"/>
      <c r="I395" s="34">
        <v>80</v>
      </c>
      <c r="J395" s="6">
        <f t="shared" si="103"/>
        <v>0.05</v>
      </c>
      <c r="K395" s="38"/>
      <c r="L395" s="38"/>
      <c r="M395" s="38"/>
      <c r="N395" s="38"/>
      <c r="O395" s="38"/>
      <c r="P395" s="38"/>
      <c r="Q395" s="38"/>
      <c r="R395" s="38">
        <v>4</v>
      </c>
      <c r="S395" s="7">
        <f t="shared" si="104"/>
        <v>4</v>
      </c>
      <c r="T395" s="7">
        <v>100000</v>
      </c>
      <c r="U395" s="7">
        <f t="shared" si="106"/>
        <v>400000</v>
      </c>
      <c r="V395" s="4"/>
      <c r="Y395" s="4"/>
    </row>
    <row r="396" spans="2:25" ht="37.5">
      <c r="B396" s="58"/>
      <c r="C396" s="60"/>
      <c r="D396" s="52" t="s">
        <v>47</v>
      </c>
      <c r="E396" s="63"/>
      <c r="F396" s="8">
        <v>1</v>
      </c>
      <c r="G396" s="67" t="s">
        <v>87</v>
      </c>
      <c r="H396" s="68"/>
      <c r="I396" s="35">
        <v>80</v>
      </c>
      <c r="J396" s="9">
        <f t="shared" si="103"/>
        <v>0.05</v>
      </c>
      <c r="K396" s="39"/>
      <c r="L396" s="39"/>
      <c r="M396" s="39"/>
      <c r="N396" s="39"/>
      <c r="O396" s="39"/>
      <c r="P396" s="39"/>
      <c r="Q396" s="39"/>
      <c r="R396" s="39">
        <v>4</v>
      </c>
      <c r="S396" s="10">
        <f t="shared" si="104"/>
        <v>4</v>
      </c>
      <c r="T396" s="10">
        <v>100000</v>
      </c>
      <c r="U396" s="10">
        <f t="shared" si="106"/>
        <v>400000</v>
      </c>
      <c r="V396" s="4"/>
      <c r="Y396" s="4"/>
    </row>
    <row r="397" spans="2:25" ht="37.5">
      <c r="B397" s="58"/>
      <c r="C397" s="60"/>
      <c r="D397" s="52" t="s">
        <v>47</v>
      </c>
      <c r="E397" s="63"/>
      <c r="F397" s="8">
        <v>8.3333333333333329E-2</v>
      </c>
      <c r="G397" s="67" t="s">
        <v>87</v>
      </c>
      <c r="H397" s="68"/>
      <c r="I397" s="35">
        <v>80</v>
      </c>
      <c r="J397" s="9">
        <f t="shared" si="103"/>
        <v>6.25E-2</v>
      </c>
      <c r="K397" s="39"/>
      <c r="L397" s="39"/>
      <c r="M397" s="39"/>
      <c r="N397" s="39"/>
      <c r="O397" s="39"/>
      <c r="P397" s="39"/>
      <c r="Q397" s="39"/>
      <c r="R397" s="39">
        <v>5</v>
      </c>
      <c r="S397" s="10">
        <f t="shared" si="104"/>
        <v>5</v>
      </c>
      <c r="T397" s="10">
        <v>100000</v>
      </c>
      <c r="U397" s="10">
        <f t="shared" si="106"/>
        <v>500000</v>
      </c>
      <c r="V397" s="4"/>
      <c r="Y397" s="4"/>
    </row>
    <row r="398" spans="2:25" ht="37.5">
      <c r="B398" s="58"/>
      <c r="C398" s="60"/>
      <c r="D398" s="52" t="s">
        <v>47</v>
      </c>
      <c r="E398" s="63"/>
      <c r="F398" s="8">
        <v>0.16666666666666666</v>
      </c>
      <c r="G398" s="67" t="s">
        <v>87</v>
      </c>
      <c r="H398" s="68"/>
      <c r="I398" s="35"/>
      <c r="J398" s="9" t="str">
        <f t="shared" si="103"/>
        <v/>
      </c>
      <c r="K398" s="39"/>
      <c r="L398" s="39"/>
      <c r="M398" s="39"/>
      <c r="N398" s="39"/>
      <c r="O398" s="39"/>
      <c r="P398" s="39"/>
      <c r="Q398" s="39"/>
      <c r="R398" s="39"/>
      <c r="S398" s="10">
        <f t="shared" si="104"/>
        <v>0</v>
      </c>
      <c r="T398" s="10">
        <v>100000</v>
      </c>
      <c r="U398" s="10">
        <f t="shared" si="106"/>
        <v>0</v>
      </c>
      <c r="V398" s="4"/>
      <c r="W398" s="4"/>
      <c r="X398" s="4"/>
      <c r="Y398" s="4"/>
    </row>
    <row r="399" spans="2:25" ht="37.5">
      <c r="B399" s="58"/>
      <c r="C399" s="60"/>
      <c r="D399" s="52" t="s">
        <v>47</v>
      </c>
      <c r="E399" s="63"/>
      <c r="F399" s="8">
        <v>0.25</v>
      </c>
      <c r="G399" s="67" t="s">
        <v>87</v>
      </c>
      <c r="H399" s="68"/>
      <c r="I399" s="35"/>
      <c r="J399" s="9" t="str">
        <f t="shared" si="103"/>
        <v/>
      </c>
      <c r="K399" s="39"/>
      <c r="L399" s="39"/>
      <c r="M399" s="39"/>
      <c r="N399" s="39"/>
      <c r="O399" s="39"/>
      <c r="P399" s="39"/>
      <c r="Q399" s="39"/>
      <c r="R399" s="39"/>
      <c r="S399" s="10">
        <f t="shared" si="104"/>
        <v>0</v>
      </c>
      <c r="T399" s="10">
        <v>100000</v>
      </c>
      <c r="U399" s="10">
        <f t="shared" si="106"/>
        <v>0</v>
      </c>
      <c r="V399" s="4"/>
      <c r="Y399" s="4"/>
    </row>
    <row r="400" spans="2:25" ht="37.5">
      <c r="B400" s="58"/>
      <c r="C400" s="61"/>
      <c r="D400" s="53" t="s">
        <v>47</v>
      </c>
      <c r="E400" s="69"/>
      <c r="F400" s="14">
        <v>0.33333333333333331</v>
      </c>
      <c r="G400" s="67" t="s">
        <v>87</v>
      </c>
      <c r="H400" s="68"/>
      <c r="I400" s="37"/>
      <c r="J400" s="15" t="str">
        <f t="shared" si="103"/>
        <v/>
      </c>
      <c r="K400" s="40"/>
      <c r="L400" s="40"/>
      <c r="M400" s="40"/>
      <c r="N400" s="40"/>
      <c r="O400" s="40"/>
      <c r="P400" s="40"/>
      <c r="Q400" s="40"/>
      <c r="R400" s="40"/>
      <c r="S400" s="16">
        <f t="shared" si="104"/>
        <v>0</v>
      </c>
      <c r="T400" s="16">
        <v>100000</v>
      </c>
      <c r="U400" s="16">
        <f t="shared" si="106"/>
        <v>0</v>
      </c>
      <c r="V400" s="4"/>
      <c r="W400" s="4"/>
      <c r="X400" s="4"/>
      <c r="Y400" s="4"/>
    </row>
    <row r="401" spans="2:25" ht="35.25" customHeight="1">
      <c r="B401" s="58">
        <v>46114</v>
      </c>
      <c r="C401" s="59" t="s">
        <v>16</v>
      </c>
      <c r="D401" s="51"/>
      <c r="E401" s="62" t="s">
        <v>101</v>
      </c>
      <c r="F401" s="5">
        <v>0.41666666666666669</v>
      </c>
      <c r="G401" s="65"/>
      <c r="H401" s="66"/>
      <c r="I401" s="34"/>
      <c r="J401" s="6" t="str">
        <f t="shared" ref="J401:J412" si="107">IFERROR(S401/I401,"")</f>
        <v/>
      </c>
      <c r="K401" s="38"/>
      <c r="L401" s="38"/>
      <c r="M401" s="38"/>
      <c r="N401" s="38"/>
      <c r="O401" s="38"/>
      <c r="P401" s="38"/>
      <c r="Q401" s="38"/>
      <c r="R401" s="38"/>
      <c r="S401" s="7">
        <f>SUM(K401:R401)</f>
        <v>0</v>
      </c>
      <c r="T401" s="7">
        <v>100000</v>
      </c>
      <c r="U401" s="7">
        <f>T401*S401</f>
        <v>0</v>
      </c>
      <c r="V401" s="4"/>
      <c r="W401" s="4"/>
      <c r="X401" s="4"/>
      <c r="Y401" s="4"/>
    </row>
    <row r="402" spans="2:25" ht="18.75">
      <c r="B402" s="58"/>
      <c r="C402" s="60"/>
      <c r="D402" s="52"/>
      <c r="E402" s="63"/>
      <c r="F402" s="8">
        <v>0.5</v>
      </c>
      <c r="G402" s="67"/>
      <c r="H402" s="68"/>
      <c r="I402" s="35"/>
      <c r="J402" s="9" t="str">
        <f t="shared" si="107"/>
        <v/>
      </c>
      <c r="K402" s="39"/>
      <c r="L402" s="39"/>
      <c r="M402" s="39"/>
      <c r="N402" s="39"/>
      <c r="O402" s="39"/>
      <c r="P402" s="39"/>
      <c r="Q402" s="39"/>
      <c r="R402" s="39"/>
      <c r="S402" s="10">
        <f t="shared" ref="S402:S412" si="108">SUM(K402:R402)</f>
        <v>0</v>
      </c>
      <c r="T402" s="10">
        <v>100000</v>
      </c>
      <c r="U402" s="10">
        <f t="shared" ref="U402:U403" si="109">T402*S402</f>
        <v>0</v>
      </c>
      <c r="V402" s="4"/>
      <c r="W402" s="4"/>
      <c r="X402" s="4"/>
      <c r="Y402" s="4"/>
    </row>
    <row r="403" spans="2:25" ht="18.75">
      <c r="B403" s="58"/>
      <c r="C403" s="60"/>
      <c r="D403" s="52"/>
      <c r="E403" s="63"/>
      <c r="F403" s="8">
        <v>0.58333333333333337</v>
      </c>
      <c r="G403" s="67"/>
      <c r="H403" s="68"/>
      <c r="I403" s="35"/>
      <c r="J403" s="9" t="str">
        <f t="shared" si="107"/>
        <v/>
      </c>
      <c r="K403" s="39"/>
      <c r="L403" s="39"/>
      <c r="M403" s="39"/>
      <c r="N403" s="39"/>
      <c r="O403" s="39"/>
      <c r="P403" s="39"/>
      <c r="Q403" s="39"/>
      <c r="R403" s="39"/>
      <c r="S403" s="10">
        <f t="shared" si="108"/>
        <v>0</v>
      </c>
      <c r="T403" s="10">
        <v>100000</v>
      </c>
      <c r="U403" s="10">
        <f t="shared" si="109"/>
        <v>0</v>
      </c>
      <c r="V403" s="4"/>
      <c r="W403" s="4"/>
      <c r="X403" s="4"/>
      <c r="Y403" s="4"/>
    </row>
    <row r="404" spans="2:25" ht="18.75">
      <c r="B404" s="58"/>
      <c r="C404" s="60"/>
      <c r="D404" s="52"/>
      <c r="E404" s="63"/>
      <c r="F404" s="8">
        <v>0.66666666666666663</v>
      </c>
      <c r="G404" s="67"/>
      <c r="H404" s="68"/>
      <c r="I404" s="35"/>
      <c r="J404" s="9" t="str">
        <f t="shared" si="107"/>
        <v/>
      </c>
      <c r="K404" s="39"/>
      <c r="L404" s="39"/>
      <c r="M404" s="39"/>
      <c r="N404" s="39"/>
      <c r="O404" s="39"/>
      <c r="P404" s="39"/>
      <c r="Q404" s="39"/>
      <c r="R404" s="39"/>
      <c r="S404" s="10">
        <f t="shared" si="108"/>
        <v>0</v>
      </c>
      <c r="T404" s="10">
        <v>100000</v>
      </c>
      <c r="U404" s="10">
        <f>T404*S404</f>
        <v>0</v>
      </c>
      <c r="V404" s="4"/>
      <c r="W404" s="4"/>
      <c r="X404" s="4"/>
      <c r="Y404" s="4"/>
    </row>
    <row r="405" spans="2:25" ht="18.75">
      <c r="B405" s="58"/>
      <c r="C405" s="60"/>
      <c r="D405" s="52"/>
      <c r="E405" s="63"/>
      <c r="F405" s="8">
        <v>0.75</v>
      </c>
      <c r="G405" s="67"/>
      <c r="H405" s="68"/>
      <c r="I405" s="35"/>
      <c r="J405" s="9" t="str">
        <f t="shared" si="107"/>
        <v/>
      </c>
      <c r="K405" s="39"/>
      <c r="L405" s="39"/>
      <c r="M405" s="39"/>
      <c r="N405" s="39"/>
      <c r="O405" s="39"/>
      <c r="P405" s="39"/>
      <c r="Q405" s="39"/>
      <c r="R405" s="39"/>
      <c r="S405" s="10">
        <f t="shared" si="108"/>
        <v>0</v>
      </c>
      <c r="T405" s="10">
        <v>100000</v>
      </c>
      <c r="U405" s="10">
        <f t="shared" ref="U405:U412" si="110">T405*S405</f>
        <v>0</v>
      </c>
      <c r="V405" s="4"/>
      <c r="W405" s="4"/>
      <c r="X405" s="11"/>
      <c r="Y405" s="4"/>
    </row>
    <row r="406" spans="2:25" ht="18.75">
      <c r="B406" s="58"/>
      <c r="C406" s="60"/>
      <c r="D406" s="53"/>
      <c r="E406" s="64"/>
      <c r="F406" s="12">
        <v>0.83333333333333337</v>
      </c>
      <c r="G406" s="67"/>
      <c r="H406" s="68"/>
      <c r="I406" s="36"/>
      <c r="J406" s="9" t="str">
        <f t="shared" si="107"/>
        <v/>
      </c>
      <c r="K406" s="41"/>
      <c r="L406" s="41"/>
      <c r="M406" s="39"/>
      <c r="N406" s="41"/>
      <c r="O406" s="41"/>
      <c r="P406" s="41"/>
      <c r="Q406" s="41"/>
      <c r="R406" s="41"/>
      <c r="S406" s="13">
        <f t="shared" si="108"/>
        <v>0</v>
      </c>
      <c r="T406" s="13">
        <v>100000</v>
      </c>
      <c r="U406" s="13">
        <f t="shared" si="110"/>
        <v>0</v>
      </c>
      <c r="V406" s="4"/>
      <c r="Y406" s="4"/>
    </row>
    <row r="407" spans="2:25" ht="18.75">
      <c r="B407" s="58"/>
      <c r="C407" s="60"/>
      <c r="D407" s="51"/>
      <c r="E407" s="62" t="s">
        <v>102</v>
      </c>
      <c r="F407" s="5">
        <v>0.91666666666666663</v>
      </c>
      <c r="G407" s="65"/>
      <c r="H407" s="66"/>
      <c r="I407" s="34"/>
      <c r="J407" s="6" t="str">
        <f t="shared" si="107"/>
        <v/>
      </c>
      <c r="K407" s="38"/>
      <c r="L407" s="38"/>
      <c r="M407" s="38"/>
      <c r="N407" s="38"/>
      <c r="O407" s="38"/>
      <c r="P407" s="38"/>
      <c r="Q407" s="38"/>
      <c r="R407" s="38"/>
      <c r="S407" s="7">
        <f t="shared" si="108"/>
        <v>0</v>
      </c>
      <c r="T407" s="7">
        <v>100000</v>
      </c>
      <c r="U407" s="7">
        <f t="shared" si="110"/>
        <v>0</v>
      </c>
      <c r="V407" s="4"/>
      <c r="Y407" s="4"/>
    </row>
    <row r="408" spans="2:25" ht="18.75">
      <c r="B408" s="58"/>
      <c r="C408" s="60"/>
      <c r="D408" s="52"/>
      <c r="E408" s="63"/>
      <c r="F408" s="8">
        <v>1</v>
      </c>
      <c r="G408" s="67"/>
      <c r="H408" s="68"/>
      <c r="I408" s="35"/>
      <c r="J408" s="9" t="str">
        <f t="shared" si="107"/>
        <v/>
      </c>
      <c r="K408" s="39"/>
      <c r="L408" s="39"/>
      <c r="M408" s="39"/>
      <c r="N408" s="39"/>
      <c r="O408" s="39"/>
      <c r="P408" s="39"/>
      <c r="Q408" s="39"/>
      <c r="R408" s="39"/>
      <c r="S408" s="10">
        <f t="shared" si="108"/>
        <v>0</v>
      </c>
      <c r="T408" s="10">
        <v>100000</v>
      </c>
      <c r="U408" s="10">
        <f t="shared" si="110"/>
        <v>0</v>
      </c>
      <c r="V408" s="4"/>
      <c r="Y408" s="4"/>
    </row>
    <row r="409" spans="2:25" ht="18.75">
      <c r="B409" s="58"/>
      <c r="C409" s="60"/>
      <c r="D409" s="52"/>
      <c r="E409" s="63"/>
      <c r="F409" s="8">
        <v>8.3333333333333329E-2</v>
      </c>
      <c r="G409" s="67"/>
      <c r="H409" s="68"/>
      <c r="I409" s="35"/>
      <c r="J409" s="9" t="str">
        <f t="shared" si="107"/>
        <v/>
      </c>
      <c r="K409" s="39"/>
      <c r="L409" s="39"/>
      <c r="M409" s="39"/>
      <c r="N409" s="39"/>
      <c r="O409" s="39"/>
      <c r="P409" s="39"/>
      <c r="Q409" s="39"/>
      <c r="R409" s="39"/>
      <c r="S409" s="10">
        <f t="shared" si="108"/>
        <v>0</v>
      </c>
      <c r="T409" s="10">
        <v>100000</v>
      </c>
      <c r="U409" s="10">
        <f t="shared" si="110"/>
        <v>0</v>
      </c>
      <c r="V409" s="4"/>
      <c r="Y409" s="4"/>
    </row>
    <row r="410" spans="2:25" ht="18.75">
      <c r="B410" s="58"/>
      <c r="C410" s="60"/>
      <c r="D410" s="52"/>
      <c r="E410" s="63"/>
      <c r="F410" s="8">
        <v>0.16666666666666666</v>
      </c>
      <c r="G410" s="67"/>
      <c r="H410" s="68"/>
      <c r="I410" s="35"/>
      <c r="J410" s="9" t="str">
        <f t="shared" si="107"/>
        <v/>
      </c>
      <c r="K410" s="39"/>
      <c r="L410" s="39"/>
      <c r="M410" s="39"/>
      <c r="N410" s="39"/>
      <c r="O410" s="39"/>
      <c r="P410" s="39"/>
      <c r="Q410" s="39"/>
      <c r="R410" s="39"/>
      <c r="S410" s="10">
        <f t="shared" si="108"/>
        <v>0</v>
      </c>
      <c r="T410" s="10">
        <v>100000</v>
      </c>
      <c r="U410" s="10">
        <f t="shared" si="110"/>
        <v>0</v>
      </c>
      <c r="V410" s="4"/>
      <c r="W410" s="4"/>
      <c r="X410" s="4"/>
      <c r="Y410" s="4"/>
    </row>
    <row r="411" spans="2:25" ht="18.75">
      <c r="B411" s="58"/>
      <c r="C411" s="60"/>
      <c r="D411" s="52"/>
      <c r="E411" s="63"/>
      <c r="F411" s="8">
        <v>0.25</v>
      </c>
      <c r="G411" s="67"/>
      <c r="H411" s="68"/>
      <c r="I411" s="35"/>
      <c r="J411" s="9" t="str">
        <f t="shared" si="107"/>
        <v/>
      </c>
      <c r="K411" s="39"/>
      <c r="L411" s="39"/>
      <c r="M411" s="39"/>
      <c r="N411" s="39"/>
      <c r="O411" s="39"/>
      <c r="P411" s="39"/>
      <c r="Q411" s="39"/>
      <c r="R411" s="39"/>
      <c r="S411" s="10">
        <f t="shared" si="108"/>
        <v>0</v>
      </c>
      <c r="T411" s="10">
        <v>100000</v>
      </c>
      <c r="U411" s="10">
        <f t="shared" si="110"/>
        <v>0</v>
      </c>
      <c r="V411" s="4"/>
      <c r="Y411" s="4"/>
    </row>
    <row r="412" spans="2:25" ht="18.75">
      <c r="B412" s="58"/>
      <c r="C412" s="61"/>
      <c r="D412" s="53"/>
      <c r="E412" s="69"/>
      <c r="F412" s="14">
        <v>0.33333333333333331</v>
      </c>
      <c r="G412" s="67"/>
      <c r="H412" s="68"/>
      <c r="I412" s="37"/>
      <c r="J412" s="15" t="str">
        <f t="shared" si="107"/>
        <v/>
      </c>
      <c r="K412" s="40"/>
      <c r="L412" s="40"/>
      <c r="M412" s="40"/>
      <c r="N412" s="40"/>
      <c r="O412" s="40"/>
      <c r="P412" s="40"/>
      <c r="Q412" s="40"/>
      <c r="R412" s="40"/>
      <c r="S412" s="16">
        <f t="shared" si="108"/>
        <v>0</v>
      </c>
      <c r="T412" s="16">
        <v>100000</v>
      </c>
      <c r="U412" s="16">
        <f t="shared" si="110"/>
        <v>0</v>
      </c>
      <c r="V412" s="4"/>
      <c r="W412" s="4"/>
      <c r="X412" s="4"/>
      <c r="Y412" s="4"/>
    </row>
    <row r="413" spans="2:25" ht="35.25" customHeight="1">
      <c r="B413" s="58">
        <v>46115</v>
      </c>
      <c r="C413" s="59" t="s">
        <v>16</v>
      </c>
      <c r="D413" s="51" t="s">
        <v>47</v>
      </c>
      <c r="E413" s="62" t="s">
        <v>101</v>
      </c>
      <c r="F413" s="5">
        <v>0.41666666666666669</v>
      </c>
      <c r="G413" s="65" t="s">
        <v>108</v>
      </c>
      <c r="H413" s="66"/>
      <c r="I413" s="34">
        <v>29</v>
      </c>
      <c r="J413" s="6">
        <f t="shared" ref="J413:J424" si="111">IFERROR(S413/I413,"")</f>
        <v>0.34482758620689657</v>
      </c>
      <c r="K413" s="38"/>
      <c r="L413" s="38"/>
      <c r="M413" s="38"/>
      <c r="N413" s="38">
        <v>1</v>
      </c>
      <c r="O413" s="38"/>
      <c r="P413" s="38"/>
      <c r="Q413" s="38">
        <v>9</v>
      </c>
      <c r="R413" s="38"/>
      <c r="S413" s="7">
        <f>SUM(K413:R413)</f>
        <v>10</v>
      </c>
      <c r="T413" s="7">
        <v>100000</v>
      </c>
      <c r="U413" s="7">
        <f>T413*S413</f>
        <v>1000000</v>
      </c>
      <c r="V413" s="4"/>
      <c r="W413" s="4"/>
      <c r="X413" s="4"/>
      <c r="Y413" s="4"/>
    </row>
    <row r="414" spans="2:25" ht="37.5">
      <c r="B414" s="58"/>
      <c r="C414" s="60"/>
      <c r="D414" s="52" t="s">
        <v>47</v>
      </c>
      <c r="E414" s="63"/>
      <c r="F414" s="8">
        <v>0.5</v>
      </c>
      <c r="G414" s="67" t="s">
        <v>108</v>
      </c>
      <c r="H414" s="68"/>
      <c r="I414" s="35">
        <v>55</v>
      </c>
      <c r="J414" s="9">
        <f t="shared" si="111"/>
        <v>3.6363636363636362E-2</v>
      </c>
      <c r="K414" s="39"/>
      <c r="L414" s="39"/>
      <c r="M414" s="39"/>
      <c r="N414" s="39"/>
      <c r="O414" s="39"/>
      <c r="P414" s="39"/>
      <c r="Q414" s="39"/>
      <c r="R414" s="39">
        <v>2</v>
      </c>
      <c r="S414" s="10">
        <f t="shared" ref="S414:S424" si="112">SUM(K414:R414)</f>
        <v>2</v>
      </c>
      <c r="T414" s="10">
        <v>100000</v>
      </c>
      <c r="U414" s="10">
        <f t="shared" ref="U414:U415" si="113">T414*S414</f>
        <v>200000</v>
      </c>
      <c r="V414" s="4"/>
      <c r="W414" s="4"/>
      <c r="X414" s="4"/>
      <c r="Y414" s="4"/>
    </row>
    <row r="415" spans="2:25" ht="37.5">
      <c r="B415" s="58"/>
      <c r="C415" s="60"/>
      <c r="D415" s="52" t="s">
        <v>47</v>
      </c>
      <c r="E415" s="63"/>
      <c r="F415" s="8">
        <v>0.58333333333333337</v>
      </c>
      <c r="G415" s="67" t="s">
        <v>108</v>
      </c>
      <c r="H415" s="68"/>
      <c r="I415" s="35">
        <v>60</v>
      </c>
      <c r="J415" s="9">
        <f t="shared" si="111"/>
        <v>0</v>
      </c>
      <c r="K415" s="39"/>
      <c r="L415" s="39"/>
      <c r="M415" s="39"/>
      <c r="N415" s="39"/>
      <c r="O415" s="39"/>
      <c r="P415" s="39"/>
      <c r="Q415" s="39"/>
      <c r="R415" s="39"/>
      <c r="S415" s="10">
        <f t="shared" si="112"/>
        <v>0</v>
      </c>
      <c r="T415" s="10">
        <v>100000</v>
      </c>
      <c r="U415" s="10">
        <f t="shared" si="113"/>
        <v>0</v>
      </c>
      <c r="V415" s="4"/>
      <c r="W415" s="4"/>
      <c r="X415" s="4"/>
      <c r="Y415" s="4"/>
    </row>
    <row r="416" spans="2:25" ht="37.5">
      <c r="B416" s="58"/>
      <c r="C416" s="60"/>
      <c r="D416" s="52" t="s">
        <v>47</v>
      </c>
      <c r="E416" s="63"/>
      <c r="F416" s="8">
        <v>0.66666666666666663</v>
      </c>
      <c r="G416" s="67" t="s">
        <v>108</v>
      </c>
      <c r="H416" s="68"/>
      <c r="I416" s="35">
        <v>72</v>
      </c>
      <c r="J416" s="9">
        <f t="shared" si="111"/>
        <v>0</v>
      </c>
      <c r="K416" s="39"/>
      <c r="L416" s="39"/>
      <c r="M416" s="39"/>
      <c r="N416" s="39"/>
      <c r="O416" s="39"/>
      <c r="P416" s="39"/>
      <c r="Q416" s="39"/>
      <c r="R416" s="39"/>
      <c r="S416" s="10">
        <f t="shared" si="112"/>
        <v>0</v>
      </c>
      <c r="T416" s="10">
        <v>100000</v>
      </c>
      <c r="U416" s="10">
        <f>T416*S416</f>
        <v>0</v>
      </c>
      <c r="V416" s="4"/>
      <c r="W416" s="4"/>
      <c r="X416" s="4"/>
      <c r="Y416" s="4"/>
    </row>
    <row r="417" spans="2:25" ht="37.5">
      <c r="B417" s="58"/>
      <c r="C417" s="60"/>
      <c r="D417" s="52" t="s">
        <v>47</v>
      </c>
      <c r="E417" s="63"/>
      <c r="F417" s="8">
        <v>0.75</v>
      </c>
      <c r="G417" s="67" t="s">
        <v>108</v>
      </c>
      <c r="H417" s="68"/>
      <c r="I417" s="35">
        <v>72</v>
      </c>
      <c r="J417" s="9">
        <f t="shared" si="111"/>
        <v>0</v>
      </c>
      <c r="K417" s="39"/>
      <c r="L417" s="39"/>
      <c r="M417" s="39"/>
      <c r="N417" s="39"/>
      <c r="O417" s="39"/>
      <c r="P417" s="39"/>
      <c r="Q417" s="39"/>
      <c r="R417" s="39"/>
      <c r="S417" s="10">
        <f t="shared" si="112"/>
        <v>0</v>
      </c>
      <c r="T417" s="10">
        <v>100000</v>
      </c>
      <c r="U417" s="10">
        <f t="shared" ref="U417:U424" si="114">T417*S417</f>
        <v>0</v>
      </c>
      <c r="V417" s="4"/>
      <c r="W417" s="4"/>
      <c r="X417" s="11"/>
      <c r="Y417" s="4"/>
    </row>
    <row r="418" spans="2:25" ht="37.5">
      <c r="B418" s="58"/>
      <c r="C418" s="60"/>
      <c r="D418" s="53" t="s">
        <v>47</v>
      </c>
      <c r="E418" s="64"/>
      <c r="F418" s="12">
        <v>0.83333333333333337</v>
      </c>
      <c r="G418" s="67" t="s">
        <v>108</v>
      </c>
      <c r="H418" s="68"/>
      <c r="I418" s="36">
        <v>72</v>
      </c>
      <c r="J418" s="9">
        <f t="shared" si="111"/>
        <v>0</v>
      </c>
      <c r="K418" s="41"/>
      <c r="L418" s="41"/>
      <c r="M418" s="39"/>
      <c r="N418" s="41"/>
      <c r="O418" s="41"/>
      <c r="P418" s="41"/>
      <c r="Q418" s="41"/>
      <c r="R418" s="41"/>
      <c r="S418" s="13">
        <f t="shared" si="112"/>
        <v>0</v>
      </c>
      <c r="T418" s="13">
        <v>100000</v>
      </c>
      <c r="U418" s="13">
        <f t="shared" si="114"/>
        <v>0</v>
      </c>
      <c r="V418" s="4"/>
      <c r="Y418" s="4"/>
    </row>
    <row r="419" spans="2:25" ht="37.5">
      <c r="B419" s="58"/>
      <c r="C419" s="60"/>
      <c r="D419" s="51" t="s">
        <v>47</v>
      </c>
      <c r="E419" s="62" t="s">
        <v>102</v>
      </c>
      <c r="F419" s="5">
        <v>0.91666666666666663</v>
      </c>
      <c r="G419" s="65" t="s">
        <v>87</v>
      </c>
      <c r="H419" s="66"/>
      <c r="I419" s="34">
        <v>80</v>
      </c>
      <c r="J419" s="6">
        <f t="shared" si="111"/>
        <v>2.5000000000000001E-2</v>
      </c>
      <c r="K419" s="38"/>
      <c r="L419" s="38"/>
      <c r="M419" s="38"/>
      <c r="N419" s="38"/>
      <c r="O419" s="38"/>
      <c r="P419" s="38"/>
      <c r="Q419" s="38"/>
      <c r="R419" s="38">
        <v>2</v>
      </c>
      <c r="S419" s="7">
        <f t="shared" si="112"/>
        <v>2</v>
      </c>
      <c r="T419" s="7">
        <v>100000</v>
      </c>
      <c r="U419" s="7">
        <f t="shared" si="114"/>
        <v>200000</v>
      </c>
      <c r="V419" s="4"/>
      <c r="Y419" s="4"/>
    </row>
    <row r="420" spans="2:25" ht="37.5">
      <c r="B420" s="58"/>
      <c r="C420" s="60"/>
      <c r="D420" s="52" t="s">
        <v>47</v>
      </c>
      <c r="E420" s="63"/>
      <c r="F420" s="8">
        <v>1</v>
      </c>
      <c r="G420" s="67" t="s">
        <v>87</v>
      </c>
      <c r="H420" s="68"/>
      <c r="I420" s="35">
        <v>80</v>
      </c>
      <c r="J420" s="9">
        <f t="shared" si="111"/>
        <v>2.5000000000000001E-2</v>
      </c>
      <c r="K420" s="39"/>
      <c r="L420" s="39"/>
      <c r="M420" s="39"/>
      <c r="N420" s="39"/>
      <c r="O420" s="39"/>
      <c r="P420" s="39"/>
      <c r="Q420" s="39"/>
      <c r="R420" s="39">
        <v>2</v>
      </c>
      <c r="S420" s="10">
        <f t="shared" si="112"/>
        <v>2</v>
      </c>
      <c r="T420" s="10">
        <v>100000</v>
      </c>
      <c r="U420" s="10">
        <f t="shared" si="114"/>
        <v>200000</v>
      </c>
      <c r="V420" s="4"/>
      <c r="Y420" s="4"/>
    </row>
    <row r="421" spans="2:25" ht="37.5">
      <c r="B421" s="58"/>
      <c r="C421" s="60"/>
      <c r="D421" s="52" t="s">
        <v>47</v>
      </c>
      <c r="E421" s="63"/>
      <c r="F421" s="8">
        <v>8.3333333333333329E-2</v>
      </c>
      <c r="G421" s="67" t="s">
        <v>87</v>
      </c>
      <c r="H421" s="68"/>
      <c r="I421" s="35">
        <v>80</v>
      </c>
      <c r="J421" s="9">
        <f t="shared" si="111"/>
        <v>3.7499999999999999E-2</v>
      </c>
      <c r="K421" s="39"/>
      <c r="L421" s="39"/>
      <c r="M421" s="39"/>
      <c r="N421" s="39"/>
      <c r="O421" s="39"/>
      <c r="P421" s="39"/>
      <c r="Q421" s="39"/>
      <c r="R421" s="39">
        <v>3</v>
      </c>
      <c r="S421" s="10">
        <f t="shared" si="112"/>
        <v>3</v>
      </c>
      <c r="T421" s="10">
        <v>100000</v>
      </c>
      <c r="U421" s="10">
        <f t="shared" si="114"/>
        <v>300000</v>
      </c>
      <c r="V421" s="4"/>
      <c r="Y421" s="4"/>
    </row>
    <row r="422" spans="2:25" ht="37.5">
      <c r="B422" s="58"/>
      <c r="C422" s="60"/>
      <c r="D422" s="52" t="s">
        <v>47</v>
      </c>
      <c r="E422" s="63"/>
      <c r="F422" s="8">
        <v>0.16666666666666666</v>
      </c>
      <c r="G422" s="67" t="s">
        <v>87</v>
      </c>
      <c r="H422" s="68"/>
      <c r="I422" s="35">
        <v>0</v>
      </c>
      <c r="J422" s="9" t="str">
        <f t="shared" si="111"/>
        <v/>
      </c>
      <c r="K422" s="39"/>
      <c r="L422" s="39"/>
      <c r="M422" s="39"/>
      <c r="N422" s="39"/>
      <c r="O422" s="39"/>
      <c r="P422" s="39"/>
      <c r="Q422" s="39"/>
      <c r="R422" s="39"/>
      <c r="S422" s="10">
        <f t="shared" si="112"/>
        <v>0</v>
      </c>
      <c r="T422" s="10">
        <v>100000</v>
      </c>
      <c r="U422" s="10">
        <f t="shared" si="114"/>
        <v>0</v>
      </c>
      <c r="V422" s="4"/>
      <c r="W422" s="4"/>
      <c r="X422" s="4"/>
      <c r="Y422" s="4"/>
    </row>
    <row r="423" spans="2:25" ht="37.5">
      <c r="B423" s="58"/>
      <c r="C423" s="60"/>
      <c r="D423" s="52" t="s">
        <v>47</v>
      </c>
      <c r="E423" s="63"/>
      <c r="F423" s="8">
        <v>0.25</v>
      </c>
      <c r="G423" s="67" t="s">
        <v>87</v>
      </c>
      <c r="H423" s="68"/>
      <c r="I423" s="35">
        <v>0</v>
      </c>
      <c r="J423" s="9" t="str">
        <f t="shared" si="111"/>
        <v/>
      </c>
      <c r="K423" s="39"/>
      <c r="L423" s="39"/>
      <c r="M423" s="39"/>
      <c r="N423" s="39"/>
      <c r="O423" s="39"/>
      <c r="P423" s="39"/>
      <c r="Q423" s="39"/>
      <c r="R423" s="39"/>
      <c r="S423" s="10">
        <f t="shared" si="112"/>
        <v>0</v>
      </c>
      <c r="T423" s="10">
        <v>100000</v>
      </c>
      <c r="U423" s="10">
        <f t="shared" si="114"/>
        <v>0</v>
      </c>
      <c r="V423" s="4"/>
      <c r="Y423" s="4"/>
    </row>
    <row r="424" spans="2:25" ht="37.5">
      <c r="B424" s="58"/>
      <c r="C424" s="61"/>
      <c r="D424" s="53" t="s">
        <v>47</v>
      </c>
      <c r="E424" s="69"/>
      <c r="F424" s="14">
        <v>0.33333333333333331</v>
      </c>
      <c r="G424" s="67" t="s">
        <v>87</v>
      </c>
      <c r="H424" s="68"/>
      <c r="I424" s="37">
        <v>0</v>
      </c>
      <c r="J424" s="15" t="str">
        <f t="shared" si="111"/>
        <v/>
      </c>
      <c r="K424" s="40"/>
      <c r="L424" s="40"/>
      <c r="M424" s="40"/>
      <c r="N424" s="40"/>
      <c r="O424" s="40"/>
      <c r="P424" s="40"/>
      <c r="Q424" s="40"/>
      <c r="R424" s="40"/>
      <c r="S424" s="16">
        <f t="shared" si="112"/>
        <v>0</v>
      </c>
      <c r="T424" s="16">
        <v>100000</v>
      </c>
      <c r="U424" s="16">
        <f t="shared" si="114"/>
        <v>0</v>
      </c>
      <c r="V424" s="4"/>
      <c r="W424" s="4"/>
      <c r="X424" s="4"/>
      <c r="Y424" s="4"/>
    </row>
    <row r="425" spans="2:25" ht="35.25" customHeight="1">
      <c r="B425" s="58">
        <v>46116</v>
      </c>
      <c r="C425" s="59" t="s">
        <v>16</v>
      </c>
      <c r="D425" s="51"/>
      <c r="E425" s="62" t="s">
        <v>101</v>
      </c>
      <c r="F425" s="5">
        <v>0.41666666666666669</v>
      </c>
      <c r="G425" s="65"/>
      <c r="H425" s="66"/>
      <c r="I425" s="34"/>
      <c r="J425" s="6" t="str">
        <f t="shared" ref="J425:J448" si="115">IFERROR(S425/I425,"")</f>
        <v/>
      </c>
      <c r="K425" s="38"/>
      <c r="L425" s="38"/>
      <c r="M425" s="38"/>
      <c r="N425" s="38"/>
      <c r="O425" s="38"/>
      <c r="P425" s="38"/>
      <c r="Q425" s="38"/>
      <c r="R425" s="38"/>
      <c r="S425" s="7">
        <f>SUM(K425:R425)</f>
        <v>0</v>
      </c>
      <c r="T425" s="7">
        <v>100000</v>
      </c>
      <c r="U425" s="7">
        <f>T425*S425</f>
        <v>0</v>
      </c>
      <c r="V425" s="4"/>
      <c r="W425" s="4"/>
      <c r="X425" s="4"/>
      <c r="Y425" s="4"/>
    </row>
    <row r="426" spans="2:25" ht="18.75">
      <c r="B426" s="58"/>
      <c r="C426" s="60"/>
      <c r="D426" s="52"/>
      <c r="E426" s="63"/>
      <c r="F426" s="8">
        <v>0.5</v>
      </c>
      <c r="G426" s="67"/>
      <c r="H426" s="68"/>
      <c r="I426" s="35"/>
      <c r="J426" s="9" t="str">
        <f t="shared" si="115"/>
        <v/>
      </c>
      <c r="K426" s="39"/>
      <c r="L426" s="39"/>
      <c r="M426" s="39"/>
      <c r="N426" s="39"/>
      <c r="O426" s="39"/>
      <c r="P426" s="39"/>
      <c r="Q426" s="39"/>
      <c r="R426" s="39"/>
      <c r="S426" s="10">
        <f t="shared" ref="S426:S436" si="116">SUM(K426:R426)</f>
        <v>0</v>
      </c>
      <c r="T426" s="10">
        <v>100000</v>
      </c>
      <c r="U426" s="10">
        <f t="shared" ref="U426:U427" si="117">T426*S426</f>
        <v>0</v>
      </c>
      <c r="V426" s="4"/>
      <c r="W426" s="4"/>
      <c r="X426" s="4"/>
      <c r="Y426" s="4"/>
    </row>
    <row r="427" spans="2:25" ht="18.75">
      <c r="B427" s="58"/>
      <c r="C427" s="60"/>
      <c r="D427" s="52"/>
      <c r="E427" s="63"/>
      <c r="F427" s="8">
        <v>0.58333333333333337</v>
      </c>
      <c r="G427" s="67"/>
      <c r="H427" s="68"/>
      <c r="I427" s="35"/>
      <c r="J427" s="9" t="str">
        <f t="shared" si="115"/>
        <v/>
      </c>
      <c r="K427" s="39"/>
      <c r="L427" s="39"/>
      <c r="M427" s="39"/>
      <c r="N427" s="39"/>
      <c r="O427" s="39"/>
      <c r="P427" s="39"/>
      <c r="Q427" s="39"/>
      <c r="R427" s="39"/>
      <c r="S427" s="10">
        <f t="shared" si="116"/>
        <v>0</v>
      </c>
      <c r="T427" s="10">
        <v>100000</v>
      </c>
      <c r="U427" s="10">
        <f t="shared" si="117"/>
        <v>0</v>
      </c>
      <c r="V427" s="4"/>
      <c r="W427" s="4"/>
      <c r="X427" s="4"/>
      <c r="Y427" s="4"/>
    </row>
    <row r="428" spans="2:25" ht="18.75">
      <c r="B428" s="58"/>
      <c r="C428" s="60"/>
      <c r="D428" s="52"/>
      <c r="E428" s="63"/>
      <c r="F428" s="8">
        <v>0.66666666666666663</v>
      </c>
      <c r="G428" s="67"/>
      <c r="H428" s="68"/>
      <c r="I428" s="35"/>
      <c r="J428" s="9" t="str">
        <f t="shared" si="115"/>
        <v/>
      </c>
      <c r="K428" s="39"/>
      <c r="L428" s="39"/>
      <c r="M428" s="39"/>
      <c r="N428" s="39"/>
      <c r="O428" s="39"/>
      <c r="P428" s="39"/>
      <c r="Q428" s="39"/>
      <c r="R428" s="39"/>
      <c r="S428" s="10">
        <f t="shared" si="116"/>
        <v>0</v>
      </c>
      <c r="T428" s="10">
        <v>100000</v>
      </c>
      <c r="U428" s="10">
        <f>T428*S428</f>
        <v>0</v>
      </c>
      <c r="V428" s="4"/>
      <c r="W428" s="4"/>
      <c r="X428" s="4"/>
      <c r="Y428" s="4"/>
    </row>
    <row r="429" spans="2:25" ht="18.75">
      <c r="B429" s="58"/>
      <c r="C429" s="60"/>
      <c r="D429" s="52"/>
      <c r="E429" s="63"/>
      <c r="F429" s="8">
        <v>0.75</v>
      </c>
      <c r="G429" s="67"/>
      <c r="H429" s="68"/>
      <c r="I429" s="35"/>
      <c r="J429" s="9" t="str">
        <f t="shared" si="115"/>
        <v/>
      </c>
      <c r="K429" s="39"/>
      <c r="L429" s="39"/>
      <c r="M429" s="39"/>
      <c r="N429" s="39"/>
      <c r="O429" s="39"/>
      <c r="P429" s="39"/>
      <c r="Q429" s="39"/>
      <c r="R429" s="39"/>
      <c r="S429" s="10">
        <f t="shared" si="116"/>
        <v>0</v>
      </c>
      <c r="T429" s="10">
        <v>100000</v>
      </c>
      <c r="U429" s="10">
        <f t="shared" ref="U429:U436" si="118">T429*S429</f>
        <v>0</v>
      </c>
      <c r="V429" s="4"/>
      <c r="W429" s="4"/>
      <c r="X429" s="11"/>
      <c r="Y429" s="4"/>
    </row>
    <row r="430" spans="2:25" ht="18.75">
      <c r="B430" s="58"/>
      <c r="C430" s="60"/>
      <c r="D430" s="53"/>
      <c r="E430" s="64"/>
      <c r="F430" s="12">
        <v>0.83333333333333337</v>
      </c>
      <c r="G430" s="67"/>
      <c r="H430" s="68"/>
      <c r="I430" s="36"/>
      <c r="J430" s="9" t="str">
        <f t="shared" si="115"/>
        <v/>
      </c>
      <c r="K430" s="41"/>
      <c r="L430" s="41"/>
      <c r="M430" s="39"/>
      <c r="N430" s="41"/>
      <c r="O430" s="41"/>
      <c r="P430" s="41"/>
      <c r="Q430" s="41"/>
      <c r="R430" s="41"/>
      <c r="S430" s="13">
        <f t="shared" si="116"/>
        <v>0</v>
      </c>
      <c r="T430" s="13">
        <v>100000</v>
      </c>
      <c r="U430" s="13">
        <f t="shared" si="118"/>
        <v>0</v>
      </c>
      <c r="V430" s="4"/>
      <c r="Y430" s="4"/>
    </row>
    <row r="431" spans="2:25" ht="18.75">
      <c r="B431" s="58"/>
      <c r="C431" s="60"/>
      <c r="D431" s="51"/>
      <c r="E431" s="62" t="s">
        <v>102</v>
      </c>
      <c r="F431" s="5">
        <v>0.91666666666666663</v>
      </c>
      <c r="G431" s="65"/>
      <c r="H431" s="66"/>
      <c r="I431" s="34"/>
      <c r="J431" s="6" t="str">
        <f t="shared" si="115"/>
        <v/>
      </c>
      <c r="K431" s="38"/>
      <c r="L431" s="38"/>
      <c r="M431" s="38"/>
      <c r="N431" s="38"/>
      <c r="O431" s="38"/>
      <c r="P431" s="38"/>
      <c r="Q431" s="38"/>
      <c r="R431" s="38"/>
      <c r="S431" s="7">
        <f t="shared" si="116"/>
        <v>0</v>
      </c>
      <c r="T431" s="7">
        <v>100000</v>
      </c>
      <c r="U431" s="7">
        <f t="shared" si="118"/>
        <v>0</v>
      </c>
      <c r="V431" s="4"/>
      <c r="Y431" s="4"/>
    </row>
    <row r="432" spans="2:25" ht="18.75">
      <c r="B432" s="58"/>
      <c r="C432" s="60"/>
      <c r="D432" s="52"/>
      <c r="E432" s="63"/>
      <c r="F432" s="8">
        <v>1</v>
      </c>
      <c r="G432" s="67"/>
      <c r="H432" s="68"/>
      <c r="I432" s="35"/>
      <c r="J432" s="9" t="str">
        <f t="shared" si="115"/>
        <v/>
      </c>
      <c r="K432" s="39"/>
      <c r="L432" s="39"/>
      <c r="M432" s="39"/>
      <c r="N432" s="39"/>
      <c r="O432" s="39"/>
      <c r="P432" s="39"/>
      <c r="Q432" s="39"/>
      <c r="R432" s="39"/>
      <c r="S432" s="10">
        <f t="shared" si="116"/>
        <v>0</v>
      </c>
      <c r="T432" s="10">
        <v>100000</v>
      </c>
      <c r="U432" s="10">
        <f t="shared" si="118"/>
        <v>0</v>
      </c>
      <c r="V432" s="4"/>
      <c r="Y432" s="4"/>
    </row>
    <row r="433" spans="2:25" ht="18.75">
      <c r="B433" s="58"/>
      <c r="C433" s="60"/>
      <c r="D433" s="52"/>
      <c r="E433" s="63"/>
      <c r="F433" s="8">
        <v>8.3333333333333329E-2</v>
      </c>
      <c r="G433" s="67"/>
      <c r="H433" s="68"/>
      <c r="I433" s="35"/>
      <c r="J433" s="9" t="str">
        <f t="shared" si="115"/>
        <v/>
      </c>
      <c r="K433" s="39"/>
      <c r="L433" s="39"/>
      <c r="M433" s="39"/>
      <c r="N433" s="39"/>
      <c r="O433" s="39"/>
      <c r="P433" s="39"/>
      <c r="Q433" s="39"/>
      <c r="R433" s="39"/>
      <c r="S433" s="10">
        <f t="shared" si="116"/>
        <v>0</v>
      </c>
      <c r="T433" s="10">
        <v>100000</v>
      </c>
      <c r="U433" s="10">
        <f t="shared" si="118"/>
        <v>0</v>
      </c>
      <c r="V433" s="4"/>
      <c r="Y433" s="4"/>
    </row>
    <row r="434" spans="2:25" ht="18.75">
      <c r="B434" s="58"/>
      <c r="C434" s="60"/>
      <c r="D434" s="52"/>
      <c r="E434" s="63"/>
      <c r="F434" s="8">
        <v>0.16666666666666666</v>
      </c>
      <c r="G434" s="67"/>
      <c r="H434" s="68"/>
      <c r="I434" s="35"/>
      <c r="J434" s="9" t="str">
        <f t="shared" si="115"/>
        <v/>
      </c>
      <c r="K434" s="39"/>
      <c r="L434" s="39"/>
      <c r="M434" s="39"/>
      <c r="N434" s="39"/>
      <c r="O434" s="39"/>
      <c r="P434" s="39"/>
      <c r="Q434" s="39"/>
      <c r="R434" s="39"/>
      <c r="S434" s="10">
        <f t="shared" si="116"/>
        <v>0</v>
      </c>
      <c r="T434" s="10">
        <v>100000</v>
      </c>
      <c r="U434" s="10">
        <f t="shared" si="118"/>
        <v>0</v>
      </c>
      <c r="V434" s="4"/>
      <c r="W434" s="4"/>
      <c r="X434" s="4"/>
      <c r="Y434" s="4"/>
    </row>
    <row r="435" spans="2:25" ht="18.75">
      <c r="B435" s="58"/>
      <c r="C435" s="60"/>
      <c r="D435" s="52"/>
      <c r="E435" s="63"/>
      <c r="F435" s="8">
        <v>0.25</v>
      </c>
      <c r="G435" s="67"/>
      <c r="H435" s="68"/>
      <c r="I435" s="35"/>
      <c r="J435" s="9" t="str">
        <f t="shared" si="115"/>
        <v/>
      </c>
      <c r="K435" s="39"/>
      <c r="L435" s="39"/>
      <c r="M435" s="39"/>
      <c r="N435" s="39"/>
      <c r="O435" s="39"/>
      <c r="P435" s="39"/>
      <c r="Q435" s="39"/>
      <c r="R435" s="39"/>
      <c r="S435" s="10">
        <f t="shared" si="116"/>
        <v>0</v>
      </c>
      <c r="T435" s="10">
        <v>100000</v>
      </c>
      <c r="U435" s="10">
        <f t="shared" si="118"/>
        <v>0</v>
      </c>
      <c r="V435" s="4"/>
      <c r="Y435" s="4"/>
    </row>
    <row r="436" spans="2:25" ht="18.75">
      <c r="B436" s="58"/>
      <c r="C436" s="61"/>
      <c r="D436" s="53"/>
      <c r="E436" s="69"/>
      <c r="F436" s="14">
        <v>0.33333333333333331</v>
      </c>
      <c r="G436" s="67"/>
      <c r="H436" s="68"/>
      <c r="I436" s="37"/>
      <c r="J436" s="15" t="str">
        <f t="shared" si="115"/>
        <v/>
      </c>
      <c r="K436" s="40"/>
      <c r="L436" s="40"/>
      <c r="M436" s="40"/>
      <c r="N436" s="40"/>
      <c r="O436" s="40"/>
      <c r="P436" s="40"/>
      <c r="Q436" s="40"/>
      <c r="R436" s="40"/>
      <c r="S436" s="16">
        <f t="shared" si="116"/>
        <v>0</v>
      </c>
      <c r="T436" s="16">
        <v>100000</v>
      </c>
      <c r="U436" s="16">
        <f t="shared" si="118"/>
        <v>0</v>
      </c>
      <c r="V436" s="4"/>
      <c r="W436" s="4"/>
      <c r="X436" s="4"/>
      <c r="Y436" s="4"/>
    </row>
    <row r="437" spans="2:25" ht="35.25" customHeight="1">
      <c r="B437" s="58">
        <v>46117</v>
      </c>
      <c r="C437" s="59" t="s">
        <v>16</v>
      </c>
      <c r="D437" s="51"/>
      <c r="E437" s="62" t="s">
        <v>101</v>
      </c>
      <c r="F437" s="5">
        <v>0.41666666666666669</v>
      </c>
      <c r="G437" s="65"/>
      <c r="H437" s="66"/>
      <c r="I437" s="34"/>
      <c r="J437" s="6" t="str">
        <f t="shared" si="115"/>
        <v/>
      </c>
      <c r="K437" s="38"/>
      <c r="L437" s="38"/>
      <c r="M437" s="38"/>
      <c r="N437" s="38"/>
      <c r="O437" s="38"/>
      <c r="P437" s="38"/>
      <c r="Q437" s="38"/>
      <c r="R437" s="38"/>
      <c r="S437" s="7">
        <f>SUM(K437:R437)</f>
        <v>0</v>
      </c>
      <c r="T437" s="7">
        <v>100000</v>
      </c>
      <c r="U437" s="7">
        <f>T437*S437</f>
        <v>0</v>
      </c>
      <c r="V437" s="4"/>
      <c r="W437" s="4"/>
      <c r="X437" s="4"/>
      <c r="Y437" s="4"/>
    </row>
    <row r="438" spans="2:25" ht="18.75">
      <c r="B438" s="58"/>
      <c r="C438" s="60"/>
      <c r="D438" s="52"/>
      <c r="E438" s="63"/>
      <c r="F438" s="8">
        <v>0.5</v>
      </c>
      <c r="G438" s="67"/>
      <c r="H438" s="68"/>
      <c r="I438" s="35"/>
      <c r="J438" s="9" t="str">
        <f t="shared" si="115"/>
        <v/>
      </c>
      <c r="K438" s="39"/>
      <c r="L438" s="39"/>
      <c r="M438" s="39"/>
      <c r="N438" s="39"/>
      <c r="O438" s="39"/>
      <c r="P438" s="39"/>
      <c r="Q438" s="39"/>
      <c r="R438" s="39"/>
      <c r="S438" s="10">
        <f t="shared" ref="S438:S448" si="119">SUM(K438:R438)</f>
        <v>0</v>
      </c>
      <c r="T438" s="10">
        <v>100000</v>
      </c>
      <c r="U438" s="10">
        <f t="shared" ref="U438:U439" si="120">T438*S438</f>
        <v>0</v>
      </c>
      <c r="V438" s="4"/>
      <c r="W438" s="4"/>
      <c r="X438" s="4"/>
      <c r="Y438" s="4"/>
    </row>
    <row r="439" spans="2:25" ht="18.75">
      <c r="B439" s="58"/>
      <c r="C439" s="60"/>
      <c r="D439" s="52"/>
      <c r="E439" s="63"/>
      <c r="F439" s="8">
        <v>0.58333333333333337</v>
      </c>
      <c r="G439" s="67"/>
      <c r="H439" s="68"/>
      <c r="I439" s="35"/>
      <c r="J439" s="9" t="str">
        <f t="shared" si="115"/>
        <v/>
      </c>
      <c r="K439" s="39"/>
      <c r="L439" s="39"/>
      <c r="M439" s="39"/>
      <c r="N439" s="39"/>
      <c r="O439" s="39"/>
      <c r="P439" s="39"/>
      <c r="Q439" s="39"/>
      <c r="R439" s="39"/>
      <c r="S439" s="10">
        <f t="shared" si="119"/>
        <v>0</v>
      </c>
      <c r="T439" s="10">
        <v>100000</v>
      </c>
      <c r="U439" s="10">
        <f t="shared" si="120"/>
        <v>0</v>
      </c>
      <c r="V439" s="4"/>
      <c r="W439" s="4"/>
      <c r="X439" s="4"/>
      <c r="Y439" s="4"/>
    </row>
    <row r="440" spans="2:25" ht="18.75">
      <c r="B440" s="58"/>
      <c r="C440" s="60"/>
      <c r="D440" s="52"/>
      <c r="E440" s="63"/>
      <c r="F440" s="8">
        <v>0.66666666666666663</v>
      </c>
      <c r="G440" s="67"/>
      <c r="H440" s="68"/>
      <c r="I440" s="35"/>
      <c r="J440" s="9" t="str">
        <f t="shared" si="115"/>
        <v/>
      </c>
      <c r="K440" s="39"/>
      <c r="L440" s="39"/>
      <c r="M440" s="39"/>
      <c r="N440" s="39"/>
      <c r="O440" s="39"/>
      <c r="P440" s="39"/>
      <c r="Q440" s="39"/>
      <c r="R440" s="39"/>
      <c r="S440" s="10">
        <f t="shared" si="119"/>
        <v>0</v>
      </c>
      <c r="T440" s="10">
        <v>100000</v>
      </c>
      <c r="U440" s="10">
        <f>T440*S440</f>
        <v>0</v>
      </c>
      <c r="V440" s="4"/>
      <c r="W440" s="4"/>
      <c r="X440" s="4"/>
      <c r="Y440" s="4"/>
    </row>
    <row r="441" spans="2:25" ht="18.75">
      <c r="B441" s="58"/>
      <c r="C441" s="60"/>
      <c r="D441" s="52"/>
      <c r="E441" s="63"/>
      <c r="F441" s="8">
        <v>0.75</v>
      </c>
      <c r="G441" s="67"/>
      <c r="H441" s="68"/>
      <c r="I441" s="35"/>
      <c r="J441" s="9" t="str">
        <f t="shared" si="115"/>
        <v/>
      </c>
      <c r="K441" s="39"/>
      <c r="L441" s="39"/>
      <c r="M441" s="39"/>
      <c r="N441" s="39"/>
      <c r="O441" s="39"/>
      <c r="P441" s="39"/>
      <c r="Q441" s="39"/>
      <c r="R441" s="39"/>
      <c r="S441" s="10">
        <f t="shared" si="119"/>
        <v>0</v>
      </c>
      <c r="T441" s="10">
        <v>100000</v>
      </c>
      <c r="U441" s="10">
        <f t="shared" ref="U441:U448" si="121">T441*S441</f>
        <v>0</v>
      </c>
      <c r="V441" s="4"/>
      <c r="W441" s="4"/>
      <c r="X441" s="11"/>
      <c r="Y441" s="4"/>
    </row>
    <row r="442" spans="2:25" ht="18.75">
      <c r="B442" s="58"/>
      <c r="C442" s="60"/>
      <c r="D442" s="53"/>
      <c r="E442" s="64"/>
      <c r="F442" s="12">
        <v>0.83333333333333337</v>
      </c>
      <c r="G442" s="67"/>
      <c r="H442" s="68"/>
      <c r="I442" s="36"/>
      <c r="J442" s="9" t="str">
        <f t="shared" si="115"/>
        <v/>
      </c>
      <c r="K442" s="41"/>
      <c r="L442" s="41"/>
      <c r="M442" s="39"/>
      <c r="N442" s="41"/>
      <c r="O442" s="41"/>
      <c r="P442" s="41"/>
      <c r="Q442" s="41"/>
      <c r="R442" s="41"/>
      <c r="S442" s="13">
        <f t="shared" si="119"/>
        <v>0</v>
      </c>
      <c r="T442" s="13">
        <v>100000</v>
      </c>
      <c r="U442" s="13">
        <f t="shared" si="121"/>
        <v>0</v>
      </c>
      <c r="V442" s="4"/>
      <c r="Y442" s="4"/>
    </row>
    <row r="443" spans="2:25" ht="18.75">
      <c r="B443" s="58"/>
      <c r="C443" s="60"/>
      <c r="D443" s="51"/>
      <c r="E443" s="62" t="s">
        <v>102</v>
      </c>
      <c r="F443" s="5">
        <v>0.91666666666666663</v>
      </c>
      <c r="G443" s="65"/>
      <c r="H443" s="66"/>
      <c r="I443" s="34"/>
      <c r="J443" s="6" t="str">
        <f t="shared" si="115"/>
        <v/>
      </c>
      <c r="K443" s="38"/>
      <c r="L443" s="38"/>
      <c r="M443" s="38"/>
      <c r="N443" s="38"/>
      <c r="O443" s="38"/>
      <c r="P443" s="38"/>
      <c r="Q443" s="38"/>
      <c r="R443" s="38"/>
      <c r="S443" s="7">
        <f t="shared" si="119"/>
        <v>0</v>
      </c>
      <c r="T443" s="7">
        <v>100000</v>
      </c>
      <c r="U443" s="7">
        <f t="shared" si="121"/>
        <v>0</v>
      </c>
      <c r="V443" s="4"/>
      <c r="Y443" s="4"/>
    </row>
    <row r="444" spans="2:25" ht="18.75">
      <c r="B444" s="58"/>
      <c r="C444" s="60"/>
      <c r="D444" s="52"/>
      <c r="E444" s="63"/>
      <c r="F444" s="8">
        <v>1</v>
      </c>
      <c r="G444" s="67"/>
      <c r="H444" s="68"/>
      <c r="I444" s="35"/>
      <c r="J444" s="9" t="str">
        <f t="shared" si="115"/>
        <v/>
      </c>
      <c r="K444" s="39"/>
      <c r="L444" s="39"/>
      <c r="M444" s="39"/>
      <c r="N444" s="39"/>
      <c r="O444" s="39"/>
      <c r="P444" s="39"/>
      <c r="Q444" s="39"/>
      <c r="R444" s="39"/>
      <c r="S444" s="10">
        <f t="shared" si="119"/>
        <v>0</v>
      </c>
      <c r="T444" s="10">
        <v>100000</v>
      </c>
      <c r="U444" s="10">
        <f t="shared" si="121"/>
        <v>0</v>
      </c>
      <c r="V444" s="4"/>
      <c r="Y444" s="4"/>
    </row>
    <row r="445" spans="2:25" ht="18.75">
      <c r="B445" s="58"/>
      <c r="C445" s="60"/>
      <c r="D445" s="52"/>
      <c r="E445" s="63"/>
      <c r="F445" s="8">
        <v>8.3333333333333329E-2</v>
      </c>
      <c r="G445" s="67"/>
      <c r="H445" s="68"/>
      <c r="I445" s="35"/>
      <c r="J445" s="9" t="str">
        <f t="shared" si="115"/>
        <v/>
      </c>
      <c r="K445" s="39"/>
      <c r="L445" s="39"/>
      <c r="M445" s="39"/>
      <c r="N445" s="39"/>
      <c r="O445" s="39"/>
      <c r="P445" s="39"/>
      <c r="Q445" s="39"/>
      <c r="R445" s="39"/>
      <c r="S445" s="10">
        <f t="shared" si="119"/>
        <v>0</v>
      </c>
      <c r="T445" s="10">
        <v>100000</v>
      </c>
      <c r="U445" s="10">
        <f t="shared" si="121"/>
        <v>0</v>
      </c>
      <c r="V445" s="4"/>
      <c r="Y445" s="4"/>
    </row>
    <row r="446" spans="2:25" ht="18.75">
      <c r="B446" s="58"/>
      <c r="C446" s="60"/>
      <c r="D446" s="52"/>
      <c r="E446" s="63"/>
      <c r="F446" s="8">
        <v>0.16666666666666666</v>
      </c>
      <c r="G446" s="67"/>
      <c r="H446" s="68"/>
      <c r="I446" s="35"/>
      <c r="J446" s="9" t="str">
        <f t="shared" si="115"/>
        <v/>
      </c>
      <c r="K446" s="39"/>
      <c r="L446" s="39"/>
      <c r="M446" s="39"/>
      <c r="N446" s="39"/>
      <c r="O446" s="39"/>
      <c r="P446" s="39"/>
      <c r="Q446" s="39"/>
      <c r="R446" s="39"/>
      <c r="S446" s="10">
        <f t="shared" si="119"/>
        <v>0</v>
      </c>
      <c r="T446" s="10">
        <v>100000</v>
      </c>
      <c r="U446" s="10">
        <f t="shared" si="121"/>
        <v>0</v>
      </c>
      <c r="V446" s="4"/>
      <c r="W446" s="4"/>
      <c r="X446" s="4"/>
      <c r="Y446" s="4"/>
    </row>
    <row r="447" spans="2:25" ht="18.75">
      <c r="B447" s="58"/>
      <c r="C447" s="60"/>
      <c r="D447" s="52"/>
      <c r="E447" s="63"/>
      <c r="F447" s="8">
        <v>0.25</v>
      </c>
      <c r="G447" s="67"/>
      <c r="H447" s="68"/>
      <c r="I447" s="35"/>
      <c r="J447" s="9" t="str">
        <f t="shared" si="115"/>
        <v/>
      </c>
      <c r="K447" s="39"/>
      <c r="L447" s="39"/>
      <c r="M447" s="39"/>
      <c r="N447" s="39"/>
      <c r="O447" s="39"/>
      <c r="P447" s="39"/>
      <c r="Q447" s="39"/>
      <c r="R447" s="39"/>
      <c r="S447" s="10">
        <f t="shared" si="119"/>
        <v>0</v>
      </c>
      <c r="T447" s="10">
        <v>100000</v>
      </c>
      <c r="U447" s="10">
        <f t="shared" si="121"/>
        <v>0</v>
      </c>
      <c r="V447" s="4"/>
      <c r="Y447" s="4"/>
    </row>
    <row r="448" spans="2:25" ht="18.75">
      <c r="B448" s="58"/>
      <c r="C448" s="61"/>
      <c r="D448" s="53"/>
      <c r="E448" s="69"/>
      <c r="F448" s="14">
        <v>0.33333333333333331</v>
      </c>
      <c r="G448" s="67"/>
      <c r="H448" s="68"/>
      <c r="I448" s="37"/>
      <c r="J448" s="15" t="str">
        <f t="shared" si="115"/>
        <v/>
      </c>
      <c r="K448" s="40"/>
      <c r="L448" s="40"/>
      <c r="M448" s="40"/>
      <c r="N448" s="40"/>
      <c r="O448" s="40"/>
      <c r="P448" s="40"/>
      <c r="Q448" s="40"/>
      <c r="R448" s="40"/>
      <c r="S448" s="16">
        <f t="shared" si="119"/>
        <v>0</v>
      </c>
      <c r="T448" s="16">
        <v>100000</v>
      </c>
      <c r="U448" s="16">
        <f t="shared" si="121"/>
        <v>0</v>
      </c>
      <c r="V448" s="4"/>
      <c r="W448" s="4"/>
      <c r="X448" s="4"/>
      <c r="Y448" s="4"/>
    </row>
    <row r="449" spans="2:25" ht="35.25" customHeight="1">
      <c r="B449" s="58">
        <v>46118</v>
      </c>
      <c r="C449" s="59" t="s">
        <v>16</v>
      </c>
      <c r="D449" s="51"/>
      <c r="E449" s="62" t="s">
        <v>101</v>
      </c>
      <c r="F449" s="5">
        <v>0.41666666666666669</v>
      </c>
      <c r="G449" s="65"/>
      <c r="H449" s="66"/>
      <c r="I449" s="34"/>
      <c r="J449" s="6" t="str">
        <f t="shared" ref="J449:J460" si="122">IFERROR(S449/I449,"")</f>
        <v/>
      </c>
      <c r="K449" s="38"/>
      <c r="L449" s="38"/>
      <c r="M449" s="38"/>
      <c r="N449" s="38"/>
      <c r="O449" s="38"/>
      <c r="P449" s="38"/>
      <c r="Q449" s="38"/>
      <c r="R449" s="38"/>
      <c r="S449" s="7">
        <f>SUM(K449:R449)</f>
        <v>0</v>
      </c>
      <c r="T449" s="7">
        <v>100000</v>
      </c>
      <c r="U449" s="7">
        <f>T449*S449</f>
        <v>0</v>
      </c>
      <c r="V449" s="4"/>
      <c r="W449" s="4"/>
      <c r="X449" s="4"/>
      <c r="Y449" s="4"/>
    </row>
    <row r="450" spans="2:25" ht="18.75">
      <c r="B450" s="58"/>
      <c r="C450" s="60"/>
      <c r="D450" s="52"/>
      <c r="E450" s="63"/>
      <c r="F450" s="8">
        <v>0.5</v>
      </c>
      <c r="G450" s="67"/>
      <c r="H450" s="68"/>
      <c r="I450" s="35"/>
      <c r="J450" s="9" t="str">
        <f t="shared" si="122"/>
        <v/>
      </c>
      <c r="K450" s="39"/>
      <c r="L450" s="39"/>
      <c r="M450" s="39"/>
      <c r="N450" s="39"/>
      <c r="O450" s="39"/>
      <c r="P450" s="39"/>
      <c r="Q450" s="39"/>
      <c r="R450" s="39"/>
      <c r="S450" s="10">
        <f t="shared" ref="S450:S460" si="123">SUM(K450:R450)</f>
        <v>0</v>
      </c>
      <c r="T450" s="10">
        <v>100000</v>
      </c>
      <c r="U450" s="10">
        <f t="shared" ref="U450:U451" si="124">T450*S450</f>
        <v>0</v>
      </c>
      <c r="V450" s="4"/>
      <c r="W450" s="4"/>
      <c r="X450" s="4"/>
      <c r="Y450" s="4"/>
    </row>
    <row r="451" spans="2:25" ht="18.75">
      <c r="B451" s="58"/>
      <c r="C451" s="60"/>
      <c r="D451" s="52"/>
      <c r="E451" s="63"/>
      <c r="F451" s="8">
        <v>0.58333333333333337</v>
      </c>
      <c r="G451" s="67"/>
      <c r="H451" s="68"/>
      <c r="I451" s="35"/>
      <c r="J451" s="9" t="str">
        <f t="shared" si="122"/>
        <v/>
      </c>
      <c r="K451" s="39"/>
      <c r="L451" s="39"/>
      <c r="M451" s="39"/>
      <c r="N451" s="39"/>
      <c r="O451" s="39"/>
      <c r="P451" s="39"/>
      <c r="Q451" s="39"/>
      <c r="R451" s="39"/>
      <c r="S451" s="10">
        <f t="shared" si="123"/>
        <v>0</v>
      </c>
      <c r="T451" s="10">
        <v>100000</v>
      </c>
      <c r="U451" s="10">
        <f t="shared" si="124"/>
        <v>0</v>
      </c>
      <c r="V451" s="4"/>
      <c r="W451" s="4"/>
      <c r="X451" s="4"/>
      <c r="Y451" s="4"/>
    </row>
    <row r="452" spans="2:25" ht="18.75">
      <c r="B452" s="58"/>
      <c r="C452" s="60"/>
      <c r="D452" s="52"/>
      <c r="E452" s="63"/>
      <c r="F452" s="8">
        <v>0.66666666666666663</v>
      </c>
      <c r="G452" s="67"/>
      <c r="H452" s="68"/>
      <c r="I452" s="35"/>
      <c r="J452" s="9" t="str">
        <f t="shared" si="122"/>
        <v/>
      </c>
      <c r="K452" s="39"/>
      <c r="L452" s="39"/>
      <c r="M452" s="39"/>
      <c r="N452" s="39"/>
      <c r="O452" s="39"/>
      <c r="P452" s="39"/>
      <c r="Q452" s="39"/>
      <c r="R452" s="39"/>
      <c r="S452" s="10">
        <f t="shared" si="123"/>
        <v>0</v>
      </c>
      <c r="T452" s="10">
        <v>100000</v>
      </c>
      <c r="U452" s="10">
        <f>T452*S452</f>
        <v>0</v>
      </c>
      <c r="V452" s="4"/>
      <c r="W452" s="4"/>
      <c r="X452" s="4"/>
      <c r="Y452" s="4"/>
    </row>
    <row r="453" spans="2:25" ht="18.75">
      <c r="B453" s="58"/>
      <c r="C453" s="60"/>
      <c r="D453" s="52"/>
      <c r="E453" s="63"/>
      <c r="F453" s="8">
        <v>0.75</v>
      </c>
      <c r="G453" s="67"/>
      <c r="H453" s="68"/>
      <c r="I453" s="35"/>
      <c r="J453" s="9" t="str">
        <f t="shared" si="122"/>
        <v/>
      </c>
      <c r="K453" s="39"/>
      <c r="L453" s="39"/>
      <c r="M453" s="39"/>
      <c r="N453" s="39"/>
      <c r="O453" s="39"/>
      <c r="P453" s="39"/>
      <c r="Q453" s="39"/>
      <c r="R453" s="39"/>
      <c r="S453" s="10">
        <f t="shared" si="123"/>
        <v>0</v>
      </c>
      <c r="T453" s="10">
        <v>100000</v>
      </c>
      <c r="U453" s="10">
        <f t="shared" ref="U453:U460" si="125">T453*S453</f>
        <v>0</v>
      </c>
      <c r="V453" s="4"/>
      <c r="W453" s="4"/>
      <c r="X453" s="11"/>
      <c r="Y453" s="4"/>
    </row>
    <row r="454" spans="2:25" ht="18.75">
      <c r="B454" s="58"/>
      <c r="C454" s="60"/>
      <c r="D454" s="53"/>
      <c r="E454" s="64"/>
      <c r="F454" s="12">
        <v>0.83333333333333337</v>
      </c>
      <c r="G454" s="67"/>
      <c r="H454" s="68"/>
      <c r="I454" s="36"/>
      <c r="J454" s="9" t="str">
        <f t="shared" si="122"/>
        <v/>
      </c>
      <c r="K454" s="41"/>
      <c r="L454" s="41"/>
      <c r="M454" s="39"/>
      <c r="N454" s="41"/>
      <c r="O454" s="41"/>
      <c r="P454" s="41"/>
      <c r="Q454" s="41"/>
      <c r="R454" s="41"/>
      <c r="S454" s="13">
        <f t="shared" si="123"/>
        <v>0</v>
      </c>
      <c r="T454" s="13">
        <v>100000</v>
      </c>
      <c r="U454" s="13">
        <f t="shared" si="125"/>
        <v>0</v>
      </c>
      <c r="V454" s="4"/>
      <c r="Y454" s="4"/>
    </row>
    <row r="455" spans="2:25" ht="37.5">
      <c r="B455" s="58"/>
      <c r="C455" s="60"/>
      <c r="D455" s="51" t="s">
        <v>48</v>
      </c>
      <c r="E455" s="62" t="s">
        <v>102</v>
      </c>
      <c r="F455" s="5">
        <v>0.91666666666666663</v>
      </c>
      <c r="G455" s="65" t="s">
        <v>87</v>
      </c>
      <c r="H455" s="66"/>
      <c r="I455" s="34">
        <v>63</v>
      </c>
      <c r="J455" s="6">
        <f t="shared" si="122"/>
        <v>9.5238095238095233E-2</v>
      </c>
      <c r="K455" s="38"/>
      <c r="L455" s="38"/>
      <c r="M455" s="38"/>
      <c r="N455" s="38"/>
      <c r="O455" s="38"/>
      <c r="P455" s="38"/>
      <c r="Q455" s="38">
        <v>6</v>
      </c>
      <c r="R455" s="38"/>
      <c r="S455" s="7">
        <f t="shared" si="123"/>
        <v>6</v>
      </c>
      <c r="T455" s="7">
        <v>100000</v>
      </c>
      <c r="U455" s="7">
        <f t="shared" si="125"/>
        <v>600000</v>
      </c>
      <c r="V455" s="4"/>
      <c r="Y455" s="4"/>
    </row>
    <row r="456" spans="2:25" ht="37.5">
      <c r="B456" s="58"/>
      <c r="C456" s="60"/>
      <c r="D456" s="52" t="s">
        <v>48</v>
      </c>
      <c r="E456" s="63"/>
      <c r="F456" s="8">
        <v>1</v>
      </c>
      <c r="G456" s="67" t="s">
        <v>87</v>
      </c>
      <c r="H456" s="68"/>
      <c r="I456" s="35">
        <v>63</v>
      </c>
      <c r="J456" s="9">
        <f t="shared" si="122"/>
        <v>0</v>
      </c>
      <c r="K456" s="39"/>
      <c r="L456" s="39"/>
      <c r="M456" s="39"/>
      <c r="N456" s="39"/>
      <c r="O456" s="39"/>
      <c r="P456" s="39"/>
      <c r="Q456" s="39"/>
      <c r="R456" s="39"/>
      <c r="S456" s="10">
        <f t="shared" si="123"/>
        <v>0</v>
      </c>
      <c r="T456" s="10">
        <v>100000</v>
      </c>
      <c r="U456" s="10">
        <f t="shared" si="125"/>
        <v>0</v>
      </c>
      <c r="V456" s="4"/>
      <c r="Y456" s="4"/>
    </row>
    <row r="457" spans="2:25" ht="37.5">
      <c r="B457" s="58"/>
      <c r="C457" s="60"/>
      <c r="D457" s="52" t="s">
        <v>48</v>
      </c>
      <c r="E457" s="63"/>
      <c r="F457" s="8">
        <v>8.3333333333333329E-2</v>
      </c>
      <c r="G457" s="67" t="s">
        <v>87</v>
      </c>
      <c r="H457" s="68"/>
      <c r="I457" s="35">
        <v>63</v>
      </c>
      <c r="J457" s="9">
        <f t="shared" si="122"/>
        <v>0</v>
      </c>
      <c r="K457" s="39"/>
      <c r="L457" s="39"/>
      <c r="M457" s="39"/>
      <c r="N457" s="39"/>
      <c r="O457" s="39"/>
      <c r="P457" s="39"/>
      <c r="Q457" s="39"/>
      <c r="R457" s="39"/>
      <c r="S457" s="10">
        <f t="shared" si="123"/>
        <v>0</v>
      </c>
      <c r="T457" s="10">
        <v>100000</v>
      </c>
      <c r="U457" s="10">
        <f t="shared" si="125"/>
        <v>0</v>
      </c>
      <c r="V457" s="4"/>
      <c r="Y457" s="4"/>
    </row>
    <row r="458" spans="2:25" ht="37.5">
      <c r="B458" s="58"/>
      <c r="C458" s="60"/>
      <c r="D458" s="52" t="s">
        <v>48</v>
      </c>
      <c r="E458" s="63"/>
      <c r="F458" s="8">
        <v>0.16666666666666666</v>
      </c>
      <c r="G458" s="67" t="s">
        <v>87</v>
      </c>
      <c r="H458" s="68"/>
      <c r="I458" s="35">
        <v>63</v>
      </c>
      <c r="J458" s="9">
        <f t="shared" si="122"/>
        <v>0</v>
      </c>
      <c r="K458" s="39"/>
      <c r="L458" s="39"/>
      <c r="M458" s="39"/>
      <c r="N458" s="39"/>
      <c r="O458" s="39"/>
      <c r="P458" s="39"/>
      <c r="Q458" s="39"/>
      <c r="R458" s="39"/>
      <c r="S458" s="10">
        <f t="shared" si="123"/>
        <v>0</v>
      </c>
      <c r="T458" s="10">
        <v>100000</v>
      </c>
      <c r="U458" s="10">
        <f t="shared" si="125"/>
        <v>0</v>
      </c>
      <c r="V458" s="4"/>
      <c r="W458" s="4"/>
      <c r="X458" s="4"/>
      <c r="Y458" s="4"/>
    </row>
    <row r="459" spans="2:25" ht="37.5">
      <c r="B459" s="58"/>
      <c r="C459" s="60"/>
      <c r="D459" s="52" t="s">
        <v>48</v>
      </c>
      <c r="E459" s="63"/>
      <c r="F459" s="8">
        <v>0.25</v>
      </c>
      <c r="G459" s="67" t="s">
        <v>87</v>
      </c>
      <c r="H459" s="68"/>
      <c r="I459" s="35">
        <v>50</v>
      </c>
      <c r="J459" s="9">
        <f t="shared" si="122"/>
        <v>0.08</v>
      </c>
      <c r="K459" s="39"/>
      <c r="L459" s="39"/>
      <c r="M459" s="39">
        <v>4</v>
      </c>
      <c r="N459" s="39"/>
      <c r="O459" s="39"/>
      <c r="P459" s="39"/>
      <c r="Q459" s="39"/>
      <c r="R459" s="39"/>
      <c r="S459" s="10">
        <f t="shared" si="123"/>
        <v>4</v>
      </c>
      <c r="T459" s="10">
        <v>100000</v>
      </c>
      <c r="U459" s="10">
        <f t="shared" si="125"/>
        <v>400000</v>
      </c>
      <c r="V459" s="4"/>
      <c r="Y459" s="4"/>
    </row>
    <row r="460" spans="2:25" ht="37.5">
      <c r="B460" s="58"/>
      <c r="C460" s="61"/>
      <c r="D460" s="53" t="s">
        <v>48</v>
      </c>
      <c r="E460" s="69"/>
      <c r="F460" s="14">
        <v>0.33333333333333331</v>
      </c>
      <c r="G460" s="67" t="s">
        <v>87</v>
      </c>
      <c r="H460" s="68"/>
      <c r="I460" s="37">
        <v>58</v>
      </c>
      <c r="J460" s="15">
        <f t="shared" si="122"/>
        <v>0</v>
      </c>
      <c r="K460" s="40"/>
      <c r="L460" s="40"/>
      <c r="M460" s="40"/>
      <c r="N460" s="40"/>
      <c r="O460" s="40"/>
      <c r="P460" s="40"/>
      <c r="Q460" s="40"/>
      <c r="R460" s="40"/>
      <c r="S460" s="16">
        <f t="shared" si="123"/>
        <v>0</v>
      </c>
      <c r="T460" s="16">
        <v>100000</v>
      </c>
      <c r="U460" s="16">
        <f t="shared" si="125"/>
        <v>0</v>
      </c>
      <c r="V460" s="4"/>
      <c r="W460" s="4"/>
      <c r="X460" s="4"/>
      <c r="Y460" s="4"/>
    </row>
    <row r="461" spans="2:25" ht="35.25" customHeight="1">
      <c r="B461" s="58">
        <v>46119</v>
      </c>
      <c r="C461" s="59" t="s">
        <v>16</v>
      </c>
      <c r="D461" s="51" t="s">
        <v>48</v>
      </c>
      <c r="E461" s="62" t="s">
        <v>101</v>
      </c>
      <c r="F461" s="5">
        <v>0.41666666666666669</v>
      </c>
      <c r="G461" s="65" t="s">
        <v>104</v>
      </c>
      <c r="H461" s="66"/>
      <c r="I461" s="34">
        <v>80</v>
      </c>
      <c r="J461" s="6">
        <f t="shared" ref="J461:J472" si="126">IFERROR(S461/I461,"")</f>
        <v>0.1875</v>
      </c>
      <c r="K461" s="38"/>
      <c r="L461" s="38"/>
      <c r="M461" s="38">
        <v>5</v>
      </c>
      <c r="N461" s="38"/>
      <c r="O461" s="38"/>
      <c r="P461" s="38"/>
      <c r="Q461" s="38">
        <v>10</v>
      </c>
      <c r="R461" s="38"/>
      <c r="S461" s="7">
        <f>SUM(K461:R461)</f>
        <v>15</v>
      </c>
      <c r="T461" s="7">
        <v>100000</v>
      </c>
      <c r="U461" s="7">
        <f>T461*S461</f>
        <v>1500000</v>
      </c>
      <c r="V461" s="4"/>
      <c r="W461" s="4"/>
      <c r="X461" s="4"/>
      <c r="Y461" s="4"/>
    </row>
    <row r="462" spans="2:25" ht="37.5">
      <c r="B462" s="58"/>
      <c r="C462" s="60"/>
      <c r="D462" s="52" t="s">
        <v>48</v>
      </c>
      <c r="E462" s="63"/>
      <c r="F462" s="8">
        <v>0.5</v>
      </c>
      <c r="G462" s="67" t="s">
        <v>104</v>
      </c>
      <c r="H462" s="68"/>
      <c r="I462" s="35">
        <v>85</v>
      </c>
      <c r="J462" s="9">
        <f t="shared" si="126"/>
        <v>0</v>
      </c>
      <c r="K462" s="39"/>
      <c r="L462" s="39"/>
      <c r="M462" s="39"/>
      <c r="N462" s="39"/>
      <c r="O462" s="39"/>
      <c r="P462" s="39"/>
      <c r="Q462" s="39"/>
      <c r="R462" s="39"/>
      <c r="S462" s="10">
        <f t="shared" ref="S462:S472" si="127">SUM(K462:R462)</f>
        <v>0</v>
      </c>
      <c r="T462" s="10">
        <v>100000</v>
      </c>
      <c r="U462" s="10">
        <f t="shared" ref="U462:U463" si="128">T462*S462</f>
        <v>0</v>
      </c>
      <c r="V462" s="4"/>
      <c r="W462" s="4"/>
      <c r="X462" s="4"/>
      <c r="Y462" s="4"/>
    </row>
    <row r="463" spans="2:25" ht="37.5">
      <c r="B463" s="58"/>
      <c r="C463" s="60"/>
      <c r="D463" s="52" t="s">
        <v>48</v>
      </c>
      <c r="E463" s="63"/>
      <c r="F463" s="8">
        <v>0.58333333333333337</v>
      </c>
      <c r="G463" s="67" t="s">
        <v>104</v>
      </c>
      <c r="H463" s="68"/>
      <c r="I463" s="35">
        <v>85</v>
      </c>
      <c r="J463" s="9">
        <f t="shared" si="126"/>
        <v>0</v>
      </c>
      <c r="K463" s="39"/>
      <c r="L463" s="39"/>
      <c r="M463" s="39"/>
      <c r="N463" s="39"/>
      <c r="O463" s="39"/>
      <c r="P463" s="39"/>
      <c r="Q463" s="39"/>
      <c r="R463" s="39"/>
      <c r="S463" s="10">
        <f t="shared" si="127"/>
        <v>0</v>
      </c>
      <c r="T463" s="10">
        <v>100000</v>
      </c>
      <c r="U463" s="10">
        <f t="shared" si="128"/>
        <v>0</v>
      </c>
      <c r="V463" s="4"/>
      <c r="W463" s="4"/>
      <c r="X463" s="4"/>
      <c r="Y463" s="4"/>
    </row>
    <row r="464" spans="2:25" ht="37.5">
      <c r="B464" s="58"/>
      <c r="C464" s="60"/>
      <c r="D464" s="52" t="s">
        <v>48</v>
      </c>
      <c r="E464" s="63"/>
      <c r="F464" s="8">
        <v>0.66666666666666663</v>
      </c>
      <c r="G464" s="67" t="s">
        <v>104</v>
      </c>
      <c r="H464" s="68"/>
      <c r="I464" s="35">
        <v>85</v>
      </c>
      <c r="J464" s="9">
        <f t="shared" si="126"/>
        <v>0</v>
      </c>
      <c r="K464" s="39"/>
      <c r="L464" s="39"/>
      <c r="M464" s="39"/>
      <c r="N464" s="39"/>
      <c r="O464" s="39"/>
      <c r="P464" s="39"/>
      <c r="Q464" s="39"/>
      <c r="R464" s="39"/>
      <c r="S464" s="10">
        <f t="shared" si="127"/>
        <v>0</v>
      </c>
      <c r="T464" s="10">
        <v>100000</v>
      </c>
      <c r="U464" s="10">
        <f>T464*S464</f>
        <v>0</v>
      </c>
      <c r="V464" s="4"/>
      <c r="W464" s="4"/>
      <c r="X464" s="4"/>
      <c r="Y464" s="4"/>
    </row>
    <row r="465" spans="2:25" ht="37.5">
      <c r="B465" s="58"/>
      <c r="C465" s="60"/>
      <c r="D465" s="52" t="s">
        <v>48</v>
      </c>
      <c r="E465" s="63"/>
      <c r="F465" s="8">
        <v>0.75</v>
      </c>
      <c r="G465" s="67" t="s">
        <v>104</v>
      </c>
      <c r="H465" s="68"/>
      <c r="I465" s="35">
        <v>60</v>
      </c>
      <c r="J465" s="9">
        <f t="shared" si="126"/>
        <v>0</v>
      </c>
      <c r="K465" s="39"/>
      <c r="L465" s="39"/>
      <c r="M465" s="39"/>
      <c r="N465" s="39"/>
      <c r="O465" s="39"/>
      <c r="P465" s="39"/>
      <c r="Q465" s="39"/>
      <c r="R465" s="39"/>
      <c r="S465" s="10">
        <f t="shared" si="127"/>
        <v>0</v>
      </c>
      <c r="T465" s="10">
        <v>100000</v>
      </c>
      <c r="U465" s="10">
        <f t="shared" ref="U465:U472" si="129">T465*S465</f>
        <v>0</v>
      </c>
      <c r="V465" s="4"/>
      <c r="W465" s="4"/>
      <c r="X465" s="11"/>
      <c r="Y465" s="4"/>
    </row>
    <row r="466" spans="2:25" ht="37.5">
      <c r="B466" s="58"/>
      <c r="C466" s="60"/>
      <c r="D466" s="53" t="s">
        <v>48</v>
      </c>
      <c r="E466" s="64"/>
      <c r="F466" s="12">
        <v>0.83333333333333337</v>
      </c>
      <c r="G466" s="67" t="s">
        <v>104</v>
      </c>
      <c r="H466" s="68"/>
      <c r="I466" s="36">
        <v>45</v>
      </c>
      <c r="J466" s="9">
        <f t="shared" si="126"/>
        <v>0</v>
      </c>
      <c r="K466" s="41"/>
      <c r="L466" s="41"/>
      <c r="M466" s="39"/>
      <c r="N466" s="41"/>
      <c r="O466" s="41"/>
      <c r="P466" s="41"/>
      <c r="Q466" s="41"/>
      <c r="R466" s="41"/>
      <c r="S466" s="13">
        <f t="shared" si="127"/>
        <v>0</v>
      </c>
      <c r="T466" s="13">
        <v>100000</v>
      </c>
      <c r="U466" s="13">
        <f t="shared" si="129"/>
        <v>0</v>
      </c>
      <c r="V466" s="4"/>
      <c r="Y466" s="4"/>
    </row>
    <row r="467" spans="2:25" ht="18.75">
      <c r="B467" s="58"/>
      <c r="C467" s="60"/>
      <c r="D467" s="51"/>
      <c r="E467" s="62" t="s">
        <v>102</v>
      </c>
      <c r="F467" s="5">
        <v>0.91666666666666663</v>
      </c>
      <c r="G467" s="65"/>
      <c r="H467" s="66"/>
      <c r="I467" s="34"/>
      <c r="J467" s="6" t="str">
        <f t="shared" si="126"/>
        <v/>
      </c>
      <c r="K467" s="38"/>
      <c r="L467" s="38"/>
      <c r="M467" s="38"/>
      <c r="N467" s="38"/>
      <c r="O467" s="38"/>
      <c r="P467" s="38"/>
      <c r="Q467" s="38"/>
      <c r="R467" s="38"/>
      <c r="S467" s="7">
        <f t="shared" si="127"/>
        <v>0</v>
      </c>
      <c r="T467" s="7">
        <v>100000</v>
      </c>
      <c r="U467" s="7">
        <f t="shared" si="129"/>
        <v>0</v>
      </c>
      <c r="V467" s="4"/>
      <c r="Y467" s="4"/>
    </row>
    <row r="468" spans="2:25" ht="18.75">
      <c r="B468" s="58"/>
      <c r="C468" s="60"/>
      <c r="D468" s="52"/>
      <c r="E468" s="63"/>
      <c r="F468" s="8">
        <v>1</v>
      </c>
      <c r="G468" s="67"/>
      <c r="H468" s="68"/>
      <c r="I468" s="35"/>
      <c r="J468" s="9" t="str">
        <f t="shared" si="126"/>
        <v/>
      </c>
      <c r="K468" s="39"/>
      <c r="L468" s="39"/>
      <c r="M468" s="39"/>
      <c r="N468" s="39"/>
      <c r="O468" s="39"/>
      <c r="P468" s="39"/>
      <c r="Q468" s="39"/>
      <c r="R468" s="39"/>
      <c r="S468" s="10">
        <f t="shared" si="127"/>
        <v>0</v>
      </c>
      <c r="T468" s="10">
        <v>100000</v>
      </c>
      <c r="U468" s="10">
        <f t="shared" si="129"/>
        <v>0</v>
      </c>
      <c r="V468" s="4"/>
      <c r="Y468" s="4"/>
    </row>
    <row r="469" spans="2:25" ht="18.75">
      <c r="B469" s="58"/>
      <c r="C469" s="60"/>
      <c r="D469" s="52"/>
      <c r="E469" s="63"/>
      <c r="F469" s="8">
        <v>8.3333333333333329E-2</v>
      </c>
      <c r="G469" s="67"/>
      <c r="H469" s="68"/>
      <c r="I469" s="35"/>
      <c r="J469" s="9" t="str">
        <f t="shared" si="126"/>
        <v/>
      </c>
      <c r="K469" s="39"/>
      <c r="L469" s="39"/>
      <c r="M469" s="39"/>
      <c r="N469" s="39"/>
      <c r="O469" s="39"/>
      <c r="P469" s="39"/>
      <c r="Q469" s="39"/>
      <c r="R469" s="39"/>
      <c r="S469" s="10">
        <f t="shared" si="127"/>
        <v>0</v>
      </c>
      <c r="T469" s="10">
        <v>100000</v>
      </c>
      <c r="U469" s="10">
        <f t="shared" si="129"/>
        <v>0</v>
      </c>
      <c r="V469" s="4"/>
      <c r="Y469" s="4"/>
    </row>
    <row r="470" spans="2:25" ht="18.75">
      <c r="B470" s="58"/>
      <c r="C470" s="60"/>
      <c r="D470" s="52"/>
      <c r="E470" s="63"/>
      <c r="F470" s="8">
        <v>0.16666666666666666</v>
      </c>
      <c r="G470" s="67"/>
      <c r="H470" s="68"/>
      <c r="I470" s="35"/>
      <c r="J470" s="9" t="str">
        <f t="shared" si="126"/>
        <v/>
      </c>
      <c r="K470" s="39"/>
      <c r="L470" s="39"/>
      <c r="M470" s="39"/>
      <c r="N470" s="39"/>
      <c r="O470" s="39"/>
      <c r="P470" s="39"/>
      <c r="Q470" s="39"/>
      <c r="R470" s="39"/>
      <c r="S470" s="10">
        <f t="shared" si="127"/>
        <v>0</v>
      </c>
      <c r="T470" s="10">
        <v>100000</v>
      </c>
      <c r="U470" s="10">
        <f t="shared" si="129"/>
        <v>0</v>
      </c>
      <c r="V470" s="4"/>
      <c r="W470" s="4"/>
      <c r="X470" s="4"/>
      <c r="Y470" s="4"/>
    </row>
    <row r="471" spans="2:25" ht="18.75">
      <c r="B471" s="58"/>
      <c r="C471" s="60"/>
      <c r="D471" s="52"/>
      <c r="E471" s="63"/>
      <c r="F471" s="8">
        <v>0.25</v>
      </c>
      <c r="G471" s="67"/>
      <c r="H471" s="68"/>
      <c r="I471" s="35"/>
      <c r="J471" s="9" t="str">
        <f t="shared" si="126"/>
        <v/>
      </c>
      <c r="K471" s="39"/>
      <c r="L471" s="39"/>
      <c r="M471" s="39"/>
      <c r="N471" s="39"/>
      <c r="O471" s="39"/>
      <c r="P471" s="39"/>
      <c r="Q471" s="39"/>
      <c r="R471" s="39"/>
      <c r="S471" s="10">
        <f t="shared" si="127"/>
        <v>0</v>
      </c>
      <c r="T471" s="10">
        <v>100000</v>
      </c>
      <c r="U471" s="10">
        <f t="shared" si="129"/>
        <v>0</v>
      </c>
      <c r="V471" s="4"/>
      <c r="Y471" s="4"/>
    </row>
    <row r="472" spans="2:25" ht="18.75">
      <c r="B472" s="58"/>
      <c r="C472" s="61"/>
      <c r="D472" s="53"/>
      <c r="E472" s="69"/>
      <c r="F472" s="14">
        <v>0.33333333333333331</v>
      </c>
      <c r="G472" s="67"/>
      <c r="H472" s="68"/>
      <c r="I472" s="37"/>
      <c r="J472" s="15" t="str">
        <f t="shared" si="126"/>
        <v/>
      </c>
      <c r="K472" s="40"/>
      <c r="L472" s="40"/>
      <c r="M472" s="40"/>
      <c r="N472" s="40"/>
      <c r="O472" s="40"/>
      <c r="P472" s="40"/>
      <c r="Q472" s="40"/>
      <c r="R472" s="40"/>
      <c r="S472" s="16">
        <f t="shared" si="127"/>
        <v>0</v>
      </c>
      <c r="T472" s="16">
        <v>100000</v>
      </c>
      <c r="U472" s="16">
        <f t="shared" si="129"/>
        <v>0</v>
      </c>
      <c r="V472" s="4"/>
      <c r="W472" s="4"/>
      <c r="X472" s="4"/>
      <c r="Y472" s="4"/>
    </row>
    <row r="473" spans="2:25" ht="35.25" customHeight="1">
      <c r="B473" s="58">
        <v>46120</v>
      </c>
      <c r="C473" s="59" t="s">
        <v>16</v>
      </c>
      <c r="D473" s="51"/>
      <c r="E473" s="62" t="s">
        <v>101</v>
      </c>
      <c r="F473" s="5">
        <v>0.41666666666666669</v>
      </c>
      <c r="G473" s="65"/>
      <c r="H473" s="66"/>
      <c r="I473" s="34"/>
      <c r="J473" s="6" t="str">
        <f t="shared" ref="J473:J484" si="130">IFERROR(S473/I473,"")</f>
        <v/>
      </c>
      <c r="K473" s="38"/>
      <c r="L473" s="38"/>
      <c r="M473" s="38"/>
      <c r="N473" s="38"/>
      <c r="O473" s="38"/>
      <c r="P473" s="38"/>
      <c r="Q473" s="38"/>
      <c r="R473" s="38"/>
      <c r="S473" s="7">
        <f>SUM(K473:R473)</f>
        <v>0</v>
      </c>
      <c r="T473" s="7">
        <v>100000</v>
      </c>
      <c r="U473" s="7">
        <f>T473*S473</f>
        <v>0</v>
      </c>
      <c r="V473" s="4"/>
      <c r="W473" s="4"/>
      <c r="X473" s="4"/>
      <c r="Y473" s="4"/>
    </row>
    <row r="474" spans="2:25" ht="18.75">
      <c r="B474" s="58"/>
      <c r="C474" s="60"/>
      <c r="D474" s="52"/>
      <c r="E474" s="63"/>
      <c r="F474" s="8">
        <v>0.5</v>
      </c>
      <c r="G474" s="67"/>
      <c r="H474" s="68"/>
      <c r="I474" s="35"/>
      <c r="J474" s="9" t="str">
        <f t="shared" si="130"/>
        <v/>
      </c>
      <c r="K474" s="39"/>
      <c r="L474" s="39"/>
      <c r="M474" s="39"/>
      <c r="N474" s="39"/>
      <c r="O474" s="39"/>
      <c r="P474" s="39"/>
      <c r="Q474" s="39"/>
      <c r="R474" s="39"/>
      <c r="S474" s="10">
        <f t="shared" ref="S474:S484" si="131">SUM(K474:R474)</f>
        <v>0</v>
      </c>
      <c r="T474" s="10">
        <v>100000</v>
      </c>
      <c r="U474" s="10">
        <f t="shared" ref="U474:U475" si="132">T474*S474</f>
        <v>0</v>
      </c>
      <c r="V474" s="4"/>
      <c r="W474" s="4"/>
      <c r="X474" s="4"/>
      <c r="Y474" s="4"/>
    </row>
    <row r="475" spans="2:25" ht="18.75">
      <c r="B475" s="58"/>
      <c r="C475" s="60"/>
      <c r="D475" s="52"/>
      <c r="E475" s="63"/>
      <c r="F475" s="8">
        <v>0.58333333333333337</v>
      </c>
      <c r="G475" s="67"/>
      <c r="H475" s="68"/>
      <c r="I475" s="35"/>
      <c r="J475" s="9" t="str">
        <f t="shared" si="130"/>
        <v/>
      </c>
      <c r="K475" s="39"/>
      <c r="L475" s="39"/>
      <c r="M475" s="39"/>
      <c r="N475" s="39"/>
      <c r="O475" s="39"/>
      <c r="P475" s="39"/>
      <c r="Q475" s="39"/>
      <c r="R475" s="39"/>
      <c r="S475" s="10">
        <f t="shared" si="131"/>
        <v>0</v>
      </c>
      <c r="T475" s="10">
        <v>100000</v>
      </c>
      <c r="U475" s="10">
        <f t="shared" si="132"/>
        <v>0</v>
      </c>
      <c r="V475" s="4"/>
      <c r="W475" s="4"/>
      <c r="X475" s="4"/>
      <c r="Y475" s="4"/>
    </row>
    <row r="476" spans="2:25" ht="18.75">
      <c r="B476" s="58"/>
      <c r="C476" s="60"/>
      <c r="D476" s="52"/>
      <c r="E476" s="63"/>
      <c r="F476" s="8">
        <v>0.66666666666666663</v>
      </c>
      <c r="G476" s="67"/>
      <c r="H476" s="68"/>
      <c r="I476" s="35"/>
      <c r="J476" s="9" t="str">
        <f t="shared" si="130"/>
        <v/>
      </c>
      <c r="K476" s="39"/>
      <c r="L476" s="39"/>
      <c r="M476" s="39"/>
      <c r="N476" s="39"/>
      <c r="O476" s="39"/>
      <c r="P476" s="39"/>
      <c r="Q476" s="39"/>
      <c r="R476" s="39"/>
      <c r="S476" s="10">
        <f t="shared" si="131"/>
        <v>0</v>
      </c>
      <c r="T476" s="10">
        <v>100000</v>
      </c>
      <c r="U476" s="10">
        <f>T476*S476</f>
        <v>0</v>
      </c>
      <c r="V476" s="4"/>
      <c r="W476" s="4"/>
      <c r="X476" s="4"/>
      <c r="Y476" s="4"/>
    </row>
    <row r="477" spans="2:25" ht="18.75">
      <c r="B477" s="58"/>
      <c r="C477" s="60"/>
      <c r="D477" s="52"/>
      <c r="E477" s="63"/>
      <c r="F477" s="8">
        <v>0.75</v>
      </c>
      <c r="G477" s="67"/>
      <c r="H477" s="68"/>
      <c r="I477" s="35"/>
      <c r="J477" s="9" t="str">
        <f t="shared" si="130"/>
        <v/>
      </c>
      <c r="K477" s="39"/>
      <c r="L477" s="39"/>
      <c r="M477" s="39"/>
      <c r="N477" s="39"/>
      <c r="O477" s="39"/>
      <c r="P477" s="39"/>
      <c r="Q477" s="39"/>
      <c r="R477" s="39"/>
      <c r="S477" s="10">
        <f t="shared" si="131"/>
        <v>0</v>
      </c>
      <c r="T477" s="10">
        <v>100000</v>
      </c>
      <c r="U477" s="10">
        <f t="shared" ref="U477:U484" si="133">T477*S477</f>
        <v>0</v>
      </c>
      <c r="V477" s="4"/>
      <c r="W477" s="4"/>
      <c r="X477" s="11"/>
      <c r="Y477" s="4"/>
    </row>
    <row r="478" spans="2:25" ht="18.75">
      <c r="B478" s="58"/>
      <c r="C478" s="60"/>
      <c r="D478" s="53"/>
      <c r="E478" s="64"/>
      <c r="F478" s="12">
        <v>0.83333333333333337</v>
      </c>
      <c r="G478" s="67"/>
      <c r="H478" s="68"/>
      <c r="I478" s="36"/>
      <c r="J478" s="9" t="str">
        <f t="shared" si="130"/>
        <v/>
      </c>
      <c r="K478" s="41"/>
      <c r="L478" s="41"/>
      <c r="M478" s="39"/>
      <c r="N478" s="41"/>
      <c r="O478" s="41"/>
      <c r="P478" s="41"/>
      <c r="Q478" s="41"/>
      <c r="R478" s="41"/>
      <c r="S478" s="13">
        <f t="shared" si="131"/>
        <v>0</v>
      </c>
      <c r="T478" s="13">
        <v>100000</v>
      </c>
      <c r="U478" s="13">
        <f t="shared" si="133"/>
        <v>0</v>
      </c>
      <c r="V478" s="4"/>
      <c r="Y478" s="4"/>
    </row>
    <row r="479" spans="2:25" ht="18.75">
      <c r="B479" s="58"/>
      <c r="C479" s="60"/>
      <c r="D479" s="51"/>
      <c r="E479" s="62" t="s">
        <v>102</v>
      </c>
      <c r="F479" s="5">
        <v>0.91666666666666663</v>
      </c>
      <c r="G479" s="65"/>
      <c r="H479" s="66"/>
      <c r="I479" s="34"/>
      <c r="J479" s="6" t="str">
        <f t="shared" si="130"/>
        <v/>
      </c>
      <c r="K479" s="38"/>
      <c r="L479" s="38"/>
      <c r="M479" s="38"/>
      <c r="N479" s="38"/>
      <c r="O479" s="38"/>
      <c r="P479" s="38"/>
      <c r="Q479" s="38"/>
      <c r="R479" s="38"/>
      <c r="S479" s="7">
        <f t="shared" si="131"/>
        <v>0</v>
      </c>
      <c r="T479" s="7">
        <v>100000</v>
      </c>
      <c r="U479" s="7">
        <f t="shared" si="133"/>
        <v>0</v>
      </c>
      <c r="V479" s="4"/>
      <c r="Y479" s="4"/>
    </row>
    <row r="480" spans="2:25" ht="18.75">
      <c r="B480" s="58"/>
      <c r="C480" s="60"/>
      <c r="D480" s="52"/>
      <c r="E480" s="63"/>
      <c r="F480" s="8">
        <v>1</v>
      </c>
      <c r="G480" s="67"/>
      <c r="H480" s="68"/>
      <c r="I480" s="35"/>
      <c r="J480" s="9" t="str">
        <f t="shared" si="130"/>
        <v/>
      </c>
      <c r="K480" s="39"/>
      <c r="L480" s="39"/>
      <c r="M480" s="39"/>
      <c r="N480" s="39"/>
      <c r="O480" s="39"/>
      <c r="P480" s="39"/>
      <c r="Q480" s="39"/>
      <c r="R480" s="39"/>
      <c r="S480" s="10">
        <f t="shared" si="131"/>
        <v>0</v>
      </c>
      <c r="T480" s="10">
        <v>100000</v>
      </c>
      <c r="U480" s="10">
        <f t="shared" si="133"/>
        <v>0</v>
      </c>
      <c r="V480" s="4"/>
      <c r="Y480" s="4"/>
    </row>
    <row r="481" spans="2:25" ht="18.75">
      <c r="B481" s="58"/>
      <c r="C481" s="60"/>
      <c r="D481" s="52"/>
      <c r="E481" s="63"/>
      <c r="F481" s="8">
        <v>8.3333333333333329E-2</v>
      </c>
      <c r="G481" s="67"/>
      <c r="H481" s="68"/>
      <c r="I481" s="35"/>
      <c r="J481" s="9" t="str">
        <f t="shared" si="130"/>
        <v/>
      </c>
      <c r="K481" s="39"/>
      <c r="L481" s="39"/>
      <c r="M481" s="39"/>
      <c r="N481" s="39"/>
      <c r="O481" s="39"/>
      <c r="P481" s="39"/>
      <c r="Q481" s="39"/>
      <c r="R481" s="39"/>
      <c r="S481" s="10">
        <f t="shared" si="131"/>
        <v>0</v>
      </c>
      <c r="T481" s="10">
        <v>100000</v>
      </c>
      <c r="U481" s="10">
        <f t="shared" si="133"/>
        <v>0</v>
      </c>
      <c r="V481" s="4"/>
      <c r="Y481" s="4"/>
    </row>
    <row r="482" spans="2:25" ht="18.75">
      <c r="B482" s="58"/>
      <c r="C482" s="60"/>
      <c r="D482" s="52"/>
      <c r="E482" s="63"/>
      <c r="F482" s="8">
        <v>0.16666666666666666</v>
      </c>
      <c r="G482" s="67"/>
      <c r="H482" s="68"/>
      <c r="I482" s="35"/>
      <c r="J482" s="9" t="str">
        <f t="shared" si="130"/>
        <v/>
      </c>
      <c r="K482" s="39"/>
      <c r="L482" s="39"/>
      <c r="M482" s="39"/>
      <c r="N482" s="39"/>
      <c r="O482" s="39"/>
      <c r="P482" s="39"/>
      <c r="Q482" s="39"/>
      <c r="R482" s="39"/>
      <c r="S482" s="10">
        <f t="shared" si="131"/>
        <v>0</v>
      </c>
      <c r="T482" s="10">
        <v>100000</v>
      </c>
      <c r="U482" s="10">
        <f t="shared" si="133"/>
        <v>0</v>
      </c>
      <c r="V482" s="4"/>
      <c r="W482" s="4"/>
      <c r="X482" s="4"/>
      <c r="Y482" s="4"/>
    </row>
    <row r="483" spans="2:25" ht="18.75">
      <c r="B483" s="58"/>
      <c r="C483" s="60"/>
      <c r="D483" s="52"/>
      <c r="E483" s="63"/>
      <c r="F483" s="8">
        <v>0.25</v>
      </c>
      <c r="G483" s="67"/>
      <c r="H483" s="68"/>
      <c r="I483" s="35"/>
      <c r="J483" s="9" t="str">
        <f t="shared" si="130"/>
        <v/>
      </c>
      <c r="K483" s="39"/>
      <c r="L483" s="39"/>
      <c r="M483" s="39"/>
      <c r="N483" s="39"/>
      <c r="O483" s="39"/>
      <c r="P483" s="39"/>
      <c r="Q483" s="39"/>
      <c r="R483" s="39"/>
      <c r="S483" s="10">
        <f t="shared" si="131"/>
        <v>0</v>
      </c>
      <c r="T483" s="10">
        <v>100000</v>
      </c>
      <c r="U483" s="10">
        <f t="shared" si="133"/>
        <v>0</v>
      </c>
      <c r="V483" s="4"/>
      <c r="Y483" s="4"/>
    </row>
    <row r="484" spans="2:25" ht="18.75">
      <c r="B484" s="58"/>
      <c r="C484" s="61"/>
      <c r="D484" s="53"/>
      <c r="E484" s="69"/>
      <c r="F484" s="14">
        <v>0.33333333333333331</v>
      </c>
      <c r="G484" s="67"/>
      <c r="H484" s="68"/>
      <c r="I484" s="37"/>
      <c r="J484" s="15" t="str">
        <f t="shared" si="130"/>
        <v/>
      </c>
      <c r="K484" s="40"/>
      <c r="L484" s="40"/>
      <c r="M484" s="40"/>
      <c r="N484" s="40"/>
      <c r="O484" s="40"/>
      <c r="P484" s="40"/>
      <c r="Q484" s="40"/>
      <c r="R484" s="40"/>
      <c r="S484" s="16">
        <f t="shared" si="131"/>
        <v>0</v>
      </c>
      <c r="T484" s="16">
        <v>100000</v>
      </c>
      <c r="U484" s="16">
        <f t="shared" si="133"/>
        <v>0</v>
      </c>
      <c r="V484" s="4"/>
      <c r="W484" s="4"/>
      <c r="X484" s="4"/>
      <c r="Y484" s="4"/>
    </row>
    <row r="485" spans="2:25" ht="35.25" customHeight="1">
      <c r="B485" s="58">
        <v>46121</v>
      </c>
      <c r="C485" s="59" t="s">
        <v>16</v>
      </c>
      <c r="D485" s="51"/>
      <c r="E485" s="62" t="s">
        <v>101</v>
      </c>
      <c r="F485" s="5">
        <v>0.41666666666666669</v>
      </c>
      <c r="G485" s="65"/>
      <c r="H485" s="66"/>
      <c r="I485" s="34"/>
      <c r="J485" s="6" t="str">
        <f t="shared" ref="J485:J496" si="134">IFERROR(S485/I485,"")</f>
        <v/>
      </c>
      <c r="K485" s="38"/>
      <c r="L485" s="38"/>
      <c r="M485" s="38"/>
      <c r="N485" s="38"/>
      <c r="O485" s="38"/>
      <c r="P485" s="38"/>
      <c r="Q485" s="38"/>
      <c r="R485" s="38"/>
      <c r="S485" s="7">
        <f>SUM(K485:R485)</f>
        <v>0</v>
      </c>
      <c r="T485" s="7">
        <v>100000</v>
      </c>
      <c r="U485" s="7">
        <f>T485*S485</f>
        <v>0</v>
      </c>
      <c r="V485" s="4"/>
      <c r="W485" s="4"/>
      <c r="X485" s="4"/>
      <c r="Y485" s="4"/>
    </row>
    <row r="486" spans="2:25" ht="18.75">
      <c r="B486" s="58"/>
      <c r="C486" s="60"/>
      <c r="D486" s="52"/>
      <c r="E486" s="63"/>
      <c r="F486" s="8">
        <v>0.5</v>
      </c>
      <c r="G486" s="67"/>
      <c r="H486" s="68"/>
      <c r="I486" s="35"/>
      <c r="J486" s="9" t="str">
        <f t="shared" si="134"/>
        <v/>
      </c>
      <c r="K486" s="39"/>
      <c r="L486" s="39"/>
      <c r="M486" s="39"/>
      <c r="N486" s="39"/>
      <c r="O486" s="39"/>
      <c r="P486" s="39"/>
      <c r="Q486" s="39"/>
      <c r="R486" s="39"/>
      <c r="S486" s="10">
        <f t="shared" ref="S486:S496" si="135">SUM(K486:R486)</f>
        <v>0</v>
      </c>
      <c r="T486" s="10">
        <v>100000</v>
      </c>
      <c r="U486" s="10">
        <f t="shared" ref="U486:U487" si="136">T486*S486</f>
        <v>0</v>
      </c>
      <c r="V486" s="4"/>
      <c r="W486" s="4"/>
      <c r="X486" s="4"/>
      <c r="Y486" s="4"/>
    </row>
    <row r="487" spans="2:25" ht="18.75">
      <c r="B487" s="58"/>
      <c r="C487" s="60"/>
      <c r="D487" s="52"/>
      <c r="E487" s="63"/>
      <c r="F487" s="8">
        <v>0.58333333333333337</v>
      </c>
      <c r="G487" s="67"/>
      <c r="H487" s="68"/>
      <c r="I487" s="35"/>
      <c r="J487" s="9" t="str">
        <f t="shared" si="134"/>
        <v/>
      </c>
      <c r="K487" s="39"/>
      <c r="L487" s="39"/>
      <c r="M487" s="39"/>
      <c r="N487" s="39"/>
      <c r="O487" s="39"/>
      <c r="P487" s="39"/>
      <c r="Q487" s="39"/>
      <c r="R487" s="39"/>
      <c r="S487" s="10">
        <f t="shared" si="135"/>
        <v>0</v>
      </c>
      <c r="T487" s="10">
        <v>100000</v>
      </c>
      <c r="U487" s="10">
        <f t="shared" si="136"/>
        <v>0</v>
      </c>
      <c r="V487" s="4"/>
      <c r="W487" s="4"/>
      <c r="X487" s="4"/>
      <c r="Y487" s="4"/>
    </row>
    <row r="488" spans="2:25" ht="18.75">
      <c r="B488" s="58"/>
      <c r="C488" s="60"/>
      <c r="D488" s="52"/>
      <c r="E488" s="63"/>
      <c r="F488" s="8">
        <v>0.66666666666666663</v>
      </c>
      <c r="G488" s="67"/>
      <c r="H488" s="68"/>
      <c r="I488" s="35"/>
      <c r="J488" s="9" t="str">
        <f t="shared" si="134"/>
        <v/>
      </c>
      <c r="K488" s="39"/>
      <c r="L488" s="39"/>
      <c r="M488" s="39"/>
      <c r="N488" s="39"/>
      <c r="O488" s="39"/>
      <c r="P488" s="39"/>
      <c r="Q488" s="39"/>
      <c r="R488" s="39"/>
      <c r="S488" s="10">
        <f t="shared" si="135"/>
        <v>0</v>
      </c>
      <c r="T488" s="10">
        <v>100000</v>
      </c>
      <c r="U488" s="10">
        <f>T488*S488</f>
        <v>0</v>
      </c>
      <c r="V488" s="4"/>
      <c r="W488" s="4"/>
      <c r="X488" s="4"/>
      <c r="Y488" s="4"/>
    </row>
    <row r="489" spans="2:25" ht="18.75">
      <c r="B489" s="58"/>
      <c r="C489" s="60"/>
      <c r="D489" s="52"/>
      <c r="E489" s="63"/>
      <c r="F489" s="8">
        <v>0.75</v>
      </c>
      <c r="G489" s="67"/>
      <c r="H489" s="68"/>
      <c r="I489" s="35"/>
      <c r="J489" s="9" t="str">
        <f t="shared" si="134"/>
        <v/>
      </c>
      <c r="K489" s="39"/>
      <c r="L489" s="39"/>
      <c r="M489" s="39"/>
      <c r="N489" s="39"/>
      <c r="O489" s="39"/>
      <c r="P489" s="39"/>
      <c r="Q489" s="39"/>
      <c r="R489" s="39"/>
      <c r="S489" s="10">
        <f t="shared" si="135"/>
        <v>0</v>
      </c>
      <c r="T489" s="10">
        <v>100000</v>
      </c>
      <c r="U489" s="10">
        <f t="shared" ref="U489:U496" si="137">T489*S489</f>
        <v>0</v>
      </c>
      <c r="V489" s="4"/>
      <c r="W489" s="4"/>
      <c r="X489" s="11"/>
      <c r="Y489" s="4"/>
    </row>
    <row r="490" spans="2:25" ht="18.75">
      <c r="B490" s="58"/>
      <c r="C490" s="60"/>
      <c r="D490" s="53"/>
      <c r="E490" s="64"/>
      <c r="F490" s="12">
        <v>0.83333333333333337</v>
      </c>
      <c r="G490" s="67"/>
      <c r="H490" s="68"/>
      <c r="I490" s="36"/>
      <c r="J490" s="9" t="str">
        <f t="shared" si="134"/>
        <v/>
      </c>
      <c r="K490" s="41"/>
      <c r="L490" s="41"/>
      <c r="M490" s="39"/>
      <c r="N490" s="41"/>
      <c r="O490" s="41"/>
      <c r="P490" s="41"/>
      <c r="Q490" s="41"/>
      <c r="R490" s="41"/>
      <c r="S490" s="13">
        <f t="shared" si="135"/>
        <v>0</v>
      </c>
      <c r="T490" s="13">
        <v>100000</v>
      </c>
      <c r="U490" s="13">
        <f t="shared" si="137"/>
        <v>0</v>
      </c>
      <c r="V490" s="4"/>
      <c r="Y490" s="4"/>
    </row>
    <row r="491" spans="2:25" ht="18.75">
      <c r="B491" s="58"/>
      <c r="C491" s="60"/>
      <c r="D491" s="51"/>
      <c r="E491" s="62" t="s">
        <v>102</v>
      </c>
      <c r="F491" s="5">
        <v>0.91666666666666663</v>
      </c>
      <c r="G491" s="65"/>
      <c r="H491" s="66"/>
      <c r="I491" s="34"/>
      <c r="J491" s="6" t="str">
        <f t="shared" si="134"/>
        <v/>
      </c>
      <c r="K491" s="38"/>
      <c r="L491" s="38"/>
      <c r="M491" s="38"/>
      <c r="N491" s="38"/>
      <c r="O491" s="38"/>
      <c r="P491" s="38"/>
      <c r="Q491" s="38"/>
      <c r="R491" s="38"/>
      <c r="S491" s="7">
        <f t="shared" si="135"/>
        <v>0</v>
      </c>
      <c r="T491" s="7">
        <v>100000</v>
      </c>
      <c r="U491" s="7">
        <f t="shared" si="137"/>
        <v>0</v>
      </c>
      <c r="V491" s="4"/>
      <c r="Y491" s="4"/>
    </row>
    <row r="492" spans="2:25" ht="18.75">
      <c r="B492" s="58"/>
      <c r="C492" s="60"/>
      <c r="D492" s="52"/>
      <c r="E492" s="63"/>
      <c r="F492" s="8">
        <v>1</v>
      </c>
      <c r="G492" s="67"/>
      <c r="H492" s="68"/>
      <c r="I492" s="35"/>
      <c r="J492" s="9" t="str">
        <f t="shared" si="134"/>
        <v/>
      </c>
      <c r="K492" s="39"/>
      <c r="L492" s="39"/>
      <c r="M492" s="39"/>
      <c r="N492" s="39"/>
      <c r="O492" s="39"/>
      <c r="P492" s="39"/>
      <c r="Q492" s="39"/>
      <c r="R492" s="39"/>
      <c r="S492" s="10">
        <f t="shared" si="135"/>
        <v>0</v>
      </c>
      <c r="T492" s="10">
        <v>100000</v>
      </c>
      <c r="U492" s="10">
        <f t="shared" si="137"/>
        <v>0</v>
      </c>
      <c r="V492" s="4"/>
      <c r="Y492" s="4"/>
    </row>
    <row r="493" spans="2:25" ht="18.75">
      <c r="B493" s="58"/>
      <c r="C493" s="60"/>
      <c r="D493" s="52"/>
      <c r="E493" s="63"/>
      <c r="F493" s="8">
        <v>8.3333333333333329E-2</v>
      </c>
      <c r="G493" s="67"/>
      <c r="H493" s="68"/>
      <c r="I493" s="35"/>
      <c r="J493" s="9" t="str">
        <f t="shared" si="134"/>
        <v/>
      </c>
      <c r="K493" s="39"/>
      <c r="L493" s="39"/>
      <c r="M493" s="39"/>
      <c r="N493" s="39"/>
      <c r="O493" s="39"/>
      <c r="P493" s="39"/>
      <c r="Q493" s="39"/>
      <c r="R493" s="39"/>
      <c r="S493" s="10">
        <f t="shared" si="135"/>
        <v>0</v>
      </c>
      <c r="T493" s="10">
        <v>100000</v>
      </c>
      <c r="U493" s="10">
        <f t="shared" si="137"/>
        <v>0</v>
      </c>
      <c r="V493" s="4"/>
      <c r="Y493" s="4"/>
    </row>
    <row r="494" spans="2:25" ht="18.75">
      <c r="B494" s="58"/>
      <c r="C494" s="60"/>
      <c r="D494" s="52"/>
      <c r="E494" s="63"/>
      <c r="F494" s="8">
        <v>0.16666666666666666</v>
      </c>
      <c r="G494" s="67"/>
      <c r="H494" s="68"/>
      <c r="I494" s="35"/>
      <c r="J494" s="9" t="str">
        <f t="shared" si="134"/>
        <v/>
      </c>
      <c r="K494" s="39"/>
      <c r="L494" s="39"/>
      <c r="M494" s="39"/>
      <c r="N494" s="39"/>
      <c r="O494" s="39"/>
      <c r="P494" s="39"/>
      <c r="Q494" s="39"/>
      <c r="R494" s="39"/>
      <c r="S494" s="10">
        <f t="shared" si="135"/>
        <v>0</v>
      </c>
      <c r="T494" s="10">
        <v>100000</v>
      </c>
      <c r="U494" s="10">
        <f t="shared" si="137"/>
        <v>0</v>
      </c>
      <c r="V494" s="4"/>
      <c r="W494" s="4"/>
      <c r="X494" s="4"/>
      <c r="Y494" s="4"/>
    </row>
    <row r="495" spans="2:25" ht="18.75">
      <c r="B495" s="58"/>
      <c r="C495" s="60"/>
      <c r="D495" s="52"/>
      <c r="E495" s="63"/>
      <c r="F495" s="8">
        <v>0.25</v>
      </c>
      <c r="G495" s="67"/>
      <c r="H495" s="68"/>
      <c r="I495" s="35"/>
      <c r="J495" s="9" t="str">
        <f t="shared" si="134"/>
        <v/>
      </c>
      <c r="K495" s="39"/>
      <c r="L495" s="39"/>
      <c r="M495" s="39"/>
      <c r="N495" s="39"/>
      <c r="O495" s="39"/>
      <c r="P495" s="39"/>
      <c r="Q495" s="39"/>
      <c r="R495" s="39"/>
      <c r="S495" s="10">
        <f t="shared" si="135"/>
        <v>0</v>
      </c>
      <c r="T495" s="10">
        <v>100000</v>
      </c>
      <c r="U495" s="10">
        <f t="shared" si="137"/>
        <v>0</v>
      </c>
      <c r="V495" s="4"/>
      <c r="Y495" s="4"/>
    </row>
    <row r="496" spans="2:25" ht="18.75">
      <c r="B496" s="58"/>
      <c r="C496" s="61"/>
      <c r="D496" s="53"/>
      <c r="E496" s="69"/>
      <c r="F496" s="14">
        <v>0.33333333333333331</v>
      </c>
      <c r="G496" s="67"/>
      <c r="H496" s="68"/>
      <c r="I496" s="37"/>
      <c r="J496" s="15" t="str">
        <f t="shared" si="134"/>
        <v/>
      </c>
      <c r="K496" s="40"/>
      <c r="L496" s="40"/>
      <c r="M496" s="40"/>
      <c r="N496" s="40"/>
      <c r="O496" s="40"/>
      <c r="P496" s="40"/>
      <c r="Q496" s="40"/>
      <c r="R496" s="40"/>
      <c r="S496" s="16">
        <f t="shared" si="135"/>
        <v>0</v>
      </c>
      <c r="T496" s="16">
        <v>100000</v>
      </c>
      <c r="U496" s="16">
        <f t="shared" si="137"/>
        <v>0</v>
      </c>
      <c r="V496" s="4"/>
      <c r="W496" s="4"/>
      <c r="X496" s="4"/>
      <c r="Y496" s="4"/>
    </row>
    <row r="497" spans="2:25" ht="35.25" customHeight="1">
      <c r="B497" s="58">
        <v>46122</v>
      </c>
      <c r="C497" s="59" t="s">
        <v>16</v>
      </c>
      <c r="D497" s="51"/>
      <c r="E497" s="62" t="s">
        <v>101</v>
      </c>
      <c r="F497" s="5">
        <v>0.41666666666666669</v>
      </c>
      <c r="G497" s="65"/>
      <c r="H497" s="66"/>
      <c r="I497" s="34"/>
      <c r="J497" s="6" t="str">
        <f t="shared" ref="J497:J508" si="138">IFERROR(S497/I497,"")</f>
        <v/>
      </c>
      <c r="K497" s="38"/>
      <c r="L497" s="38"/>
      <c r="M497" s="38"/>
      <c r="N497" s="38"/>
      <c r="O497" s="38"/>
      <c r="P497" s="38"/>
      <c r="Q497" s="38"/>
      <c r="R497" s="38"/>
      <c r="S497" s="7">
        <f>SUM(K497:R497)</f>
        <v>0</v>
      </c>
      <c r="T497" s="7">
        <v>100000</v>
      </c>
      <c r="U497" s="7">
        <f>T497*S497</f>
        <v>0</v>
      </c>
      <c r="V497" s="4"/>
      <c r="W497" s="4"/>
      <c r="X497" s="4"/>
      <c r="Y497" s="4"/>
    </row>
    <row r="498" spans="2:25" ht="18.75">
      <c r="B498" s="58"/>
      <c r="C498" s="60"/>
      <c r="D498" s="52"/>
      <c r="E498" s="63"/>
      <c r="F498" s="8">
        <v>0.5</v>
      </c>
      <c r="G498" s="67"/>
      <c r="H498" s="68"/>
      <c r="I498" s="35"/>
      <c r="J498" s="9" t="str">
        <f t="shared" si="138"/>
        <v/>
      </c>
      <c r="K498" s="39"/>
      <c r="L498" s="39"/>
      <c r="M498" s="39"/>
      <c r="N498" s="39"/>
      <c r="O498" s="39"/>
      <c r="P498" s="39"/>
      <c r="Q498" s="39"/>
      <c r="R498" s="39"/>
      <c r="S498" s="10">
        <f t="shared" ref="S498:S508" si="139">SUM(K498:R498)</f>
        <v>0</v>
      </c>
      <c r="T498" s="10">
        <v>100000</v>
      </c>
      <c r="U498" s="10">
        <f t="shared" ref="U498:U499" si="140">T498*S498</f>
        <v>0</v>
      </c>
      <c r="V498" s="4"/>
      <c r="W498" s="4"/>
      <c r="X498" s="4"/>
      <c r="Y498" s="4"/>
    </row>
    <row r="499" spans="2:25" ht="18.75">
      <c r="B499" s="58"/>
      <c r="C499" s="60"/>
      <c r="D499" s="52"/>
      <c r="E499" s="63"/>
      <c r="F499" s="8">
        <v>0.58333333333333337</v>
      </c>
      <c r="G499" s="67"/>
      <c r="H499" s="68"/>
      <c r="I499" s="35"/>
      <c r="J499" s="9" t="str">
        <f t="shared" si="138"/>
        <v/>
      </c>
      <c r="K499" s="39"/>
      <c r="L499" s="39"/>
      <c r="M499" s="39"/>
      <c r="N499" s="39"/>
      <c r="O499" s="39"/>
      <c r="P499" s="39"/>
      <c r="Q499" s="39"/>
      <c r="R499" s="39"/>
      <c r="S499" s="10">
        <f t="shared" si="139"/>
        <v>0</v>
      </c>
      <c r="T499" s="10">
        <v>100000</v>
      </c>
      <c r="U499" s="10">
        <f t="shared" si="140"/>
        <v>0</v>
      </c>
      <c r="V499" s="4"/>
      <c r="W499" s="4"/>
      <c r="X499" s="4"/>
      <c r="Y499" s="4"/>
    </row>
    <row r="500" spans="2:25" ht="18.75">
      <c r="B500" s="58"/>
      <c r="C500" s="60"/>
      <c r="D500" s="52"/>
      <c r="E500" s="63"/>
      <c r="F500" s="8">
        <v>0.66666666666666663</v>
      </c>
      <c r="G500" s="67"/>
      <c r="H500" s="68"/>
      <c r="I500" s="35"/>
      <c r="J500" s="9" t="str">
        <f t="shared" si="138"/>
        <v/>
      </c>
      <c r="K500" s="39"/>
      <c r="L500" s="39"/>
      <c r="M500" s="39"/>
      <c r="N500" s="39"/>
      <c r="O500" s="39"/>
      <c r="P500" s="39"/>
      <c r="Q500" s="39"/>
      <c r="R500" s="39"/>
      <c r="S500" s="10">
        <f t="shared" si="139"/>
        <v>0</v>
      </c>
      <c r="T500" s="10">
        <v>100000</v>
      </c>
      <c r="U500" s="10">
        <f>T500*S500</f>
        <v>0</v>
      </c>
      <c r="V500" s="4"/>
      <c r="W500" s="4"/>
      <c r="X500" s="4"/>
      <c r="Y500" s="4"/>
    </row>
    <row r="501" spans="2:25" ht="18.75">
      <c r="B501" s="58"/>
      <c r="C501" s="60"/>
      <c r="D501" s="52"/>
      <c r="E501" s="63"/>
      <c r="F501" s="8">
        <v>0.75</v>
      </c>
      <c r="G501" s="67"/>
      <c r="H501" s="68"/>
      <c r="I501" s="35"/>
      <c r="J501" s="9" t="str">
        <f t="shared" si="138"/>
        <v/>
      </c>
      <c r="K501" s="39"/>
      <c r="L501" s="39"/>
      <c r="M501" s="39"/>
      <c r="N501" s="39"/>
      <c r="O501" s="39"/>
      <c r="P501" s="39"/>
      <c r="Q501" s="39"/>
      <c r="R501" s="39"/>
      <c r="S501" s="10">
        <f t="shared" si="139"/>
        <v>0</v>
      </c>
      <c r="T501" s="10">
        <v>100000</v>
      </c>
      <c r="U501" s="10">
        <f t="shared" ref="U501:U508" si="141">T501*S501</f>
        <v>0</v>
      </c>
      <c r="V501" s="4"/>
      <c r="W501" s="4"/>
      <c r="X501" s="11"/>
      <c r="Y501" s="4"/>
    </row>
    <row r="502" spans="2:25" ht="18.75">
      <c r="B502" s="58"/>
      <c r="C502" s="60"/>
      <c r="D502" s="53"/>
      <c r="E502" s="64"/>
      <c r="F502" s="12">
        <v>0.83333333333333337</v>
      </c>
      <c r="G502" s="67"/>
      <c r="H502" s="68"/>
      <c r="I502" s="36"/>
      <c r="J502" s="9" t="str">
        <f t="shared" si="138"/>
        <v/>
      </c>
      <c r="K502" s="41"/>
      <c r="L502" s="41"/>
      <c r="M502" s="39"/>
      <c r="N502" s="41"/>
      <c r="O502" s="41"/>
      <c r="P502" s="41"/>
      <c r="Q502" s="41"/>
      <c r="R502" s="41"/>
      <c r="S502" s="13">
        <f t="shared" si="139"/>
        <v>0</v>
      </c>
      <c r="T502" s="13">
        <v>100000</v>
      </c>
      <c r="U502" s="13">
        <f t="shared" si="141"/>
        <v>0</v>
      </c>
      <c r="V502" s="4"/>
      <c r="Y502" s="4"/>
    </row>
    <row r="503" spans="2:25" ht="18.75">
      <c r="B503" s="58"/>
      <c r="C503" s="60"/>
      <c r="D503" s="51"/>
      <c r="E503" s="62" t="s">
        <v>102</v>
      </c>
      <c r="F503" s="5">
        <v>0.91666666666666663</v>
      </c>
      <c r="G503" s="65"/>
      <c r="H503" s="66"/>
      <c r="I503" s="34"/>
      <c r="J503" s="6" t="str">
        <f t="shared" si="138"/>
        <v/>
      </c>
      <c r="K503" s="38"/>
      <c r="L503" s="38"/>
      <c r="M503" s="38"/>
      <c r="N503" s="38"/>
      <c r="O503" s="38"/>
      <c r="P503" s="38"/>
      <c r="Q503" s="38"/>
      <c r="R503" s="38"/>
      <c r="S503" s="7">
        <f t="shared" si="139"/>
        <v>0</v>
      </c>
      <c r="T503" s="7">
        <v>100000</v>
      </c>
      <c r="U503" s="7">
        <f t="shared" si="141"/>
        <v>0</v>
      </c>
      <c r="V503" s="4"/>
      <c r="Y503" s="4"/>
    </row>
    <row r="504" spans="2:25" ht="18.75">
      <c r="B504" s="58"/>
      <c r="C504" s="60"/>
      <c r="D504" s="52"/>
      <c r="E504" s="63"/>
      <c r="F504" s="8">
        <v>1</v>
      </c>
      <c r="G504" s="67"/>
      <c r="H504" s="68"/>
      <c r="I504" s="35"/>
      <c r="J504" s="9" t="str">
        <f t="shared" si="138"/>
        <v/>
      </c>
      <c r="K504" s="39"/>
      <c r="L504" s="39"/>
      <c r="M504" s="39"/>
      <c r="N504" s="39"/>
      <c r="O504" s="39"/>
      <c r="P504" s="39"/>
      <c r="Q504" s="39"/>
      <c r="R504" s="39"/>
      <c r="S504" s="10">
        <f t="shared" si="139"/>
        <v>0</v>
      </c>
      <c r="T504" s="10">
        <v>100000</v>
      </c>
      <c r="U504" s="10">
        <f t="shared" si="141"/>
        <v>0</v>
      </c>
      <c r="V504" s="4"/>
      <c r="Y504" s="4"/>
    </row>
    <row r="505" spans="2:25" ht="18.75">
      <c r="B505" s="58"/>
      <c r="C505" s="60"/>
      <c r="D505" s="52"/>
      <c r="E505" s="63"/>
      <c r="F505" s="8">
        <v>8.3333333333333329E-2</v>
      </c>
      <c r="G505" s="67"/>
      <c r="H505" s="68"/>
      <c r="I505" s="35"/>
      <c r="J505" s="9" t="str">
        <f t="shared" si="138"/>
        <v/>
      </c>
      <c r="K505" s="39"/>
      <c r="L505" s="39"/>
      <c r="M505" s="39"/>
      <c r="N505" s="39"/>
      <c r="O505" s="39"/>
      <c r="P505" s="39"/>
      <c r="Q505" s="39"/>
      <c r="R505" s="39"/>
      <c r="S505" s="10">
        <f t="shared" si="139"/>
        <v>0</v>
      </c>
      <c r="T505" s="10">
        <v>100000</v>
      </c>
      <c r="U505" s="10">
        <f t="shared" si="141"/>
        <v>0</v>
      </c>
      <c r="V505" s="4"/>
      <c r="Y505" s="4"/>
    </row>
    <row r="506" spans="2:25" ht="18.75">
      <c r="B506" s="58"/>
      <c r="C506" s="60"/>
      <c r="D506" s="52"/>
      <c r="E506" s="63"/>
      <c r="F506" s="8">
        <v>0.16666666666666666</v>
      </c>
      <c r="G506" s="67"/>
      <c r="H506" s="68"/>
      <c r="I506" s="35"/>
      <c r="J506" s="9" t="str">
        <f t="shared" si="138"/>
        <v/>
      </c>
      <c r="K506" s="39"/>
      <c r="L506" s="39"/>
      <c r="M506" s="39"/>
      <c r="N506" s="39"/>
      <c r="O506" s="39"/>
      <c r="P506" s="39"/>
      <c r="Q506" s="39"/>
      <c r="R506" s="39"/>
      <c r="S506" s="10">
        <f t="shared" si="139"/>
        <v>0</v>
      </c>
      <c r="T506" s="10">
        <v>100000</v>
      </c>
      <c r="U506" s="10">
        <f t="shared" si="141"/>
        <v>0</v>
      </c>
      <c r="V506" s="4"/>
      <c r="W506" s="4"/>
      <c r="X506" s="4"/>
      <c r="Y506" s="4"/>
    </row>
    <row r="507" spans="2:25" ht="18.75">
      <c r="B507" s="58"/>
      <c r="C507" s="60"/>
      <c r="D507" s="52"/>
      <c r="E507" s="63"/>
      <c r="F507" s="8">
        <v>0.25</v>
      </c>
      <c r="G507" s="67"/>
      <c r="H507" s="68"/>
      <c r="I507" s="35"/>
      <c r="J507" s="9" t="str">
        <f t="shared" si="138"/>
        <v/>
      </c>
      <c r="K507" s="39"/>
      <c r="L507" s="39"/>
      <c r="M507" s="39"/>
      <c r="N507" s="39"/>
      <c r="O507" s="39"/>
      <c r="P507" s="39"/>
      <c r="Q507" s="39"/>
      <c r="R507" s="39"/>
      <c r="S507" s="10">
        <f t="shared" si="139"/>
        <v>0</v>
      </c>
      <c r="T507" s="10">
        <v>100000</v>
      </c>
      <c r="U507" s="10">
        <f t="shared" si="141"/>
        <v>0</v>
      </c>
      <c r="V507" s="4"/>
      <c r="Y507" s="4"/>
    </row>
    <row r="508" spans="2:25" ht="18.75">
      <c r="B508" s="58"/>
      <c r="C508" s="61"/>
      <c r="D508" s="53"/>
      <c r="E508" s="69"/>
      <c r="F508" s="14">
        <v>0.33333333333333331</v>
      </c>
      <c r="G508" s="67"/>
      <c r="H508" s="68"/>
      <c r="I508" s="37"/>
      <c r="J508" s="15" t="str">
        <f t="shared" si="138"/>
        <v/>
      </c>
      <c r="K508" s="40"/>
      <c r="L508" s="40"/>
      <c r="M508" s="40"/>
      <c r="N508" s="40"/>
      <c r="O508" s="40"/>
      <c r="P508" s="40"/>
      <c r="Q508" s="40"/>
      <c r="R508" s="40"/>
      <c r="S508" s="16">
        <f t="shared" si="139"/>
        <v>0</v>
      </c>
      <c r="T508" s="16">
        <v>100000</v>
      </c>
      <c r="U508" s="16">
        <f t="shared" si="141"/>
        <v>0</v>
      </c>
      <c r="V508" s="4"/>
      <c r="W508" s="4"/>
      <c r="X508" s="4"/>
      <c r="Y508" s="4"/>
    </row>
  </sheetData>
  <mergeCells count="674">
    <mergeCell ref="B497:B508"/>
    <mergeCell ref="C497:C508"/>
    <mergeCell ref="E497:E502"/>
    <mergeCell ref="G497:H497"/>
    <mergeCell ref="G498:H498"/>
    <mergeCell ref="G499:H499"/>
    <mergeCell ref="G500:H500"/>
    <mergeCell ref="G501:H501"/>
    <mergeCell ref="G502:H502"/>
    <mergeCell ref="E503:E508"/>
    <mergeCell ref="G503:H503"/>
    <mergeCell ref="G504:H504"/>
    <mergeCell ref="G505:H505"/>
    <mergeCell ref="G506:H506"/>
    <mergeCell ref="G507:H507"/>
    <mergeCell ref="G508:H508"/>
    <mergeCell ref="B485:B496"/>
    <mergeCell ref="C485:C496"/>
    <mergeCell ref="E485:E490"/>
    <mergeCell ref="G485:H485"/>
    <mergeCell ref="G486:H486"/>
    <mergeCell ref="G487:H487"/>
    <mergeCell ref="G488:H488"/>
    <mergeCell ref="G489:H489"/>
    <mergeCell ref="G490:H490"/>
    <mergeCell ref="E491:E496"/>
    <mergeCell ref="G491:H491"/>
    <mergeCell ref="G492:H492"/>
    <mergeCell ref="G493:H493"/>
    <mergeCell ref="G494:H494"/>
    <mergeCell ref="G495:H495"/>
    <mergeCell ref="G496:H496"/>
    <mergeCell ref="B473:B484"/>
    <mergeCell ref="C473:C484"/>
    <mergeCell ref="E473:E478"/>
    <mergeCell ref="G473:H473"/>
    <mergeCell ref="G474:H474"/>
    <mergeCell ref="G475:H475"/>
    <mergeCell ref="G476:H476"/>
    <mergeCell ref="G477:H477"/>
    <mergeCell ref="G478:H478"/>
    <mergeCell ref="E479:E484"/>
    <mergeCell ref="G479:H479"/>
    <mergeCell ref="G480:H480"/>
    <mergeCell ref="G481:H481"/>
    <mergeCell ref="G482:H482"/>
    <mergeCell ref="G483:H483"/>
    <mergeCell ref="G484:H484"/>
    <mergeCell ref="B461:B472"/>
    <mergeCell ref="C461:C472"/>
    <mergeCell ref="E461:E466"/>
    <mergeCell ref="G461:H461"/>
    <mergeCell ref="G462:H462"/>
    <mergeCell ref="G463:H463"/>
    <mergeCell ref="G464:H464"/>
    <mergeCell ref="G465:H465"/>
    <mergeCell ref="G466:H466"/>
    <mergeCell ref="E467:E472"/>
    <mergeCell ref="G467:H467"/>
    <mergeCell ref="G468:H468"/>
    <mergeCell ref="G469:H469"/>
    <mergeCell ref="G470:H470"/>
    <mergeCell ref="G471:H471"/>
    <mergeCell ref="G472:H472"/>
    <mergeCell ref="B413:B424"/>
    <mergeCell ref="C413:C424"/>
    <mergeCell ref="E413:E418"/>
    <mergeCell ref="G413:H413"/>
    <mergeCell ref="G414:H414"/>
    <mergeCell ref="G415:H415"/>
    <mergeCell ref="G416:H416"/>
    <mergeCell ref="G417:H417"/>
    <mergeCell ref="G418:H418"/>
    <mergeCell ref="E419:E424"/>
    <mergeCell ref="G419:H419"/>
    <mergeCell ref="G420:H420"/>
    <mergeCell ref="G421:H421"/>
    <mergeCell ref="G422:H422"/>
    <mergeCell ref="G423:H423"/>
    <mergeCell ref="G424:H424"/>
    <mergeCell ref="B353:B364"/>
    <mergeCell ref="C353:C364"/>
    <mergeCell ref="E353:E358"/>
    <mergeCell ref="G353:H353"/>
    <mergeCell ref="G354:H354"/>
    <mergeCell ref="G355:H355"/>
    <mergeCell ref="G356:H356"/>
    <mergeCell ref="G357:H357"/>
    <mergeCell ref="G358:H358"/>
    <mergeCell ref="E359:E364"/>
    <mergeCell ref="G359:H359"/>
    <mergeCell ref="G360:H360"/>
    <mergeCell ref="G361:H361"/>
    <mergeCell ref="G362:H362"/>
    <mergeCell ref="G363:H363"/>
    <mergeCell ref="G364:H364"/>
    <mergeCell ref="B341:B352"/>
    <mergeCell ref="C341:C352"/>
    <mergeCell ref="E341:E346"/>
    <mergeCell ref="G341:H341"/>
    <mergeCell ref="G342:H342"/>
    <mergeCell ref="G343:H343"/>
    <mergeCell ref="G344:H344"/>
    <mergeCell ref="G345:H345"/>
    <mergeCell ref="G346:H346"/>
    <mergeCell ref="E347:E352"/>
    <mergeCell ref="G347:H347"/>
    <mergeCell ref="G348:H348"/>
    <mergeCell ref="G349:H349"/>
    <mergeCell ref="G350:H350"/>
    <mergeCell ref="G351:H351"/>
    <mergeCell ref="G352:H352"/>
    <mergeCell ref="B329:B340"/>
    <mergeCell ref="C329:C340"/>
    <mergeCell ref="E329:E334"/>
    <mergeCell ref="G329:H329"/>
    <mergeCell ref="G330:H330"/>
    <mergeCell ref="G331:H331"/>
    <mergeCell ref="G332:H332"/>
    <mergeCell ref="G333:H333"/>
    <mergeCell ref="G334:H334"/>
    <mergeCell ref="E335:E340"/>
    <mergeCell ref="G335:H335"/>
    <mergeCell ref="G336:H336"/>
    <mergeCell ref="G337:H337"/>
    <mergeCell ref="G338:H338"/>
    <mergeCell ref="G339:H339"/>
    <mergeCell ref="G340:H340"/>
    <mergeCell ref="B317:B328"/>
    <mergeCell ref="C317:C328"/>
    <mergeCell ref="E317:E322"/>
    <mergeCell ref="G317:H317"/>
    <mergeCell ref="G318:H318"/>
    <mergeCell ref="G319:H319"/>
    <mergeCell ref="G320:H320"/>
    <mergeCell ref="G321:H321"/>
    <mergeCell ref="G322:H322"/>
    <mergeCell ref="E323:E328"/>
    <mergeCell ref="G323:H323"/>
    <mergeCell ref="G324:H324"/>
    <mergeCell ref="G325:H325"/>
    <mergeCell ref="G326:H326"/>
    <mergeCell ref="G327:H327"/>
    <mergeCell ref="G328:H328"/>
    <mergeCell ref="B305:B316"/>
    <mergeCell ref="C305:C316"/>
    <mergeCell ref="E305:E310"/>
    <mergeCell ref="G305:H305"/>
    <mergeCell ref="G306:H306"/>
    <mergeCell ref="G307:H307"/>
    <mergeCell ref="G308:H308"/>
    <mergeCell ref="G309:H309"/>
    <mergeCell ref="G310:H310"/>
    <mergeCell ref="E311:E316"/>
    <mergeCell ref="G311:H311"/>
    <mergeCell ref="G312:H312"/>
    <mergeCell ref="G313:H313"/>
    <mergeCell ref="G314:H314"/>
    <mergeCell ref="G315:H315"/>
    <mergeCell ref="G316:H316"/>
    <mergeCell ref="B293:B304"/>
    <mergeCell ref="C293:C304"/>
    <mergeCell ref="E293:E298"/>
    <mergeCell ref="G293:H293"/>
    <mergeCell ref="G294:H294"/>
    <mergeCell ref="G295:H295"/>
    <mergeCell ref="G296:H296"/>
    <mergeCell ref="G297:H297"/>
    <mergeCell ref="G298:H298"/>
    <mergeCell ref="E299:E304"/>
    <mergeCell ref="G299:H299"/>
    <mergeCell ref="G300:H300"/>
    <mergeCell ref="G301:H301"/>
    <mergeCell ref="G302:H302"/>
    <mergeCell ref="G303:H303"/>
    <mergeCell ref="G304:H304"/>
    <mergeCell ref="B281:B292"/>
    <mergeCell ref="C281:C292"/>
    <mergeCell ref="E281:E286"/>
    <mergeCell ref="G281:H281"/>
    <mergeCell ref="G282:H282"/>
    <mergeCell ref="G283:H283"/>
    <mergeCell ref="G284:H284"/>
    <mergeCell ref="G285:H285"/>
    <mergeCell ref="G286:H286"/>
    <mergeCell ref="E287:E292"/>
    <mergeCell ref="G287:H287"/>
    <mergeCell ref="G288:H288"/>
    <mergeCell ref="G289:H289"/>
    <mergeCell ref="G290:H290"/>
    <mergeCell ref="G291:H291"/>
    <mergeCell ref="G292:H292"/>
    <mergeCell ref="B269:B280"/>
    <mergeCell ref="C269:C280"/>
    <mergeCell ref="E269:E274"/>
    <mergeCell ref="G269:H269"/>
    <mergeCell ref="G270:H270"/>
    <mergeCell ref="G271:H271"/>
    <mergeCell ref="G272:H272"/>
    <mergeCell ref="G273:H273"/>
    <mergeCell ref="G274:H274"/>
    <mergeCell ref="E275:E280"/>
    <mergeCell ref="G275:H275"/>
    <mergeCell ref="G276:H276"/>
    <mergeCell ref="G277:H277"/>
    <mergeCell ref="G278:H278"/>
    <mergeCell ref="G279:H279"/>
    <mergeCell ref="G280:H280"/>
    <mergeCell ref="B257:B268"/>
    <mergeCell ref="C257:C268"/>
    <mergeCell ref="E257:E262"/>
    <mergeCell ref="G257:H257"/>
    <mergeCell ref="G258:H258"/>
    <mergeCell ref="G259:H259"/>
    <mergeCell ref="G260:H260"/>
    <mergeCell ref="G261:H261"/>
    <mergeCell ref="G262:H262"/>
    <mergeCell ref="E263:E268"/>
    <mergeCell ref="G263:H263"/>
    <mergeCell ref="G264:H264"/>
    <mergeCell ref="G265:H265"/>
    <mergeCell ref="G266:H266"/>
    <mergeCell ref="G267:H267"/>
    <mergeCell ref="G268:H268"/>
    <mergeCell ref="B245:B256"/>
    <mergeCell ref="C245:C256"/>
    <mergeCell ref="E245:E250"/>
    <mergeCell ref="G245:H245"/>
    <mergeCell ref="G246:H246"/>
    <mergeCell ref="G247:H247"/>
    <mergeCell ref="G248:H248"/>
    <mergeCell ref="G249:H249"/>
    <mergeCell ref="G250:H250"/>
    <mergeCell ref="E251:E256"/>
    <mergeCell ref="G251:H251"/>
    <mergeCell ref="G252:H252"/>
    <mergeCell ref="G253:H253"/>
    <mergeCell ref="G254:H254"/>
    <mergeCell ref="G255:H255"/>
    <mergeCell ref="G256:H256"/>
    <mergeCell ref="B233:B244"/>
    <mergeCell ref="C233:C244"/>
    <mergeCell ref="E233:E238"/>
    <mergeCell ref="G233:H233"/>
    <mergeCell ref="G234:H234"/>
    <mergeCell ref="G235:H235"/>
    <mergeCell ref="G236:H236"/>
    <mergeCell ref="G237:H237"/>
    <mergeCell ref="G238:H238"/>
    <mergeCell ref="E239:E244"/>
    <mergeCell ref="G239:H239"/>
    <mergeCell ref="G240:H240"/>
    <mergeCell ref="G241:H241"/>
    <mergeCell ref="G242:H242"/>
    <mergeCell ref="G243:H243"/>
    <mergeCell ref="G244:H244"/>
    <mergeCell ref="B221:B232"/>
    <mergeCell ref="C221:C232"/>
    <mergeCell ref="E221:E226"/>
    <mergeCell ref="G221:H221"/>
    <mergeCell ref="G222:H222"/>
    <mergeCell ref="G223:H223"/>
    <mergeCell ref="G224:H224"/>
    <mergeCell ref="G225:H225"/>
    <mergeCell ref="G226:H226"/>
    <mergeCell ref="E227:E232"/>
    <mergeCell ref="G227:H227"/>
    <mergeCell ref="G228:H228"/>
    <mergeCell ref="G229:H229"/>
    <mergeCell ref="G230:H230"/>
    <mergeCell ref="G231:H231"/>
    <mergeCell ref="G232:H232"/>
    <mergeCell ref="B209:B220"/>
    <mergeCell ref="C209:C220"/>
    <mergeCell ref="E209:E214"/>
    <mergeCell ref="G209:H209"/>
    <mergeCell ref="G210:H210"/>
    <mergeCell ref="G211:H211"/>
    <mergeCell ref="G212:H212"/>
    <mergeCell ref="G213:H213"/>
    <mergeCell ref="G214:H214"/>
    <mergeCell ref="E215:E220"/>
    <mergeCell ref="G215:H215"/>
    <mergeCell ref="G216:H216"/>
    <mergeCell ref="G217:H217"/>
    <mergeCell ref="G218:H218"/>
    <mergeCell ref="G219:H219"/>
    <mergeCell ref="G220:H220"/>
    <mergeCell ref="B197:B208"/>
    <mergeCell ref="C197:C208"/>
    <mergeCell ref="E197:E202"/>
    <mergeCell ref="G197:H197"/>
    <mergeCell ref="G198:H198"/>
    <mergeCell ref="G199:H199"/>
    <mergeCell ref="G200:H200"/>
    <mergeCell ref="G201:H201"/>
    <mergeCell ref="G202:H202"/>
    <mergeCell ref="E203:E208"/>
    <mergeCell ref="G203:H203"/>
    <mergeCell ref="G204:H204"/>
    <mergeCell ref="G205:H205"/>
    <mergeCell ref="G206:H206"/>
    <mergeCell ref="G207:H207"/>
    <mergeCell ref="G208:H208"/>
    <mergeCell ref="B185:B196"/>
    <mergeCell ref="C185:C196"/>
    <mergeCell ref="E185:E190"/>
    <mergeCell ref="G185:H185"/>
    <mergeCell ref="G186:H186"/>
    <mergeCell ref="G187:H187"/>
    <mergeCell ref="G188:H188"/>
    <mergeCell ref="G189:H189"/>
    <mergeCell ref="G190:H190"/>
    <mergeCell ref="E191:E196"/>
    <mergeCell ref="G191:H191"/>
    <mergeCell ref="G192:H192"/>
    <mergeCell ref="G193:H193"/>
    <mergeCell ref="G194:H194"/>
    <mergeCell ref="G195:H195"/>
    <mergeCell ref="G196:H196"/>
    <mergeCell ref="B4:U4"/>
    <mergeCell ref="B8:U8"/>
    <mergeCell ref="B2:U2"/>
    <mergeCell ref="B17:B28"/>
    <mergeCell ref="C17:C28"/>
    <mergeCell ref="E17:E22"/>
    <mergeCell ref="E23:E28"/>
    <mergeCell ref="S14:U14"/>
    <mergeCell ref="B15:B16"/>
    <mergeCell ref="C15:C16"/>
    <mergeCell ref="E15:E16"/>
    <mergeCell ref="F15:F16"/>
    <mergeCell ref="I15:J15"/>
    <mergeCell ref="K15:S15"/>
    <mergeCell ref="T15:U15"/>
    <mergeCell ref="E59:E64"/>
    <mergeCell ref="B65:B76"/>
    <mergeCell ref="C65:C76"/>
    <mergeCell ref="E65:E70"/>
    <mergeCell ref="E71:E76"/>
    <mergeCell ref="B29:B40"/>
    <mergeCell ref="C29:C40"/>
    <mergeCell ref="E29:E34"/>
    <mergeCell ref="E35:E40"/>
    <mergeCell ref="B41:B52"/>
    <mergeCell ref="C41:C52"/>
    <mergeCell ref="E41:E46"/>
    <mergeCell ref="E47:E52"/>
    <mergeCell ref="B125:B136"/>
    <mergeCell ref="C125:C136"/>
    <mergeCell ref="E125:E130"/>
    <mergeCell ref="E131:E136"/>
    <mergeCell ref="D15:D16"/>
    <mergeCell ref="B101:B112"/>
    <mergeCell ref="C101:C112"/>
    <mergeCell ref="E101:E106"/>
    <mergeCell ref="E107:E112"/>
    <mergeCell ref="B113:B124"/>
    <mergeCell ref="C113:C124"/>
    <mergeCell ref="E113:E118"/>
    <mergeCell ref="E119:E124"/>
    <mergeCell ref="B77:B88"/>
    <mergeCell ref="C77:C88"/>
    <mergeCell ref="E77:E82"/>
    <mergeCell ref="E83:E88"/>
    <mergeCell ref="B89:B100"/>
    <mergeCell ref="C89:C100"/>
    <mergeCell ref="E89:E94"/>
    <mergeCell ref="E95:E100"/>
    <mergeCell ref="B53:B64"/>
    <mergeCell ref="C53:C64"/>
    <mergeCell ref="E53:E58"/>
    <mergeCell ref="G30:H30"/>
    <mergeCell ref="G31:H31"/>
    <mergeCell ref="G32:H32"/>
    <mergeCell ref="G33:H33"/>
    <mergeCell ref="G34:H34"/>
    <mergeCell ref="G15:H16"/>
    <mergeCell ref="G17:H17"/>
    <mergeCell ref="G18:H18"/>
    <mergeCell ref="G19:H19"/>
    <mergeCell ref="G20:H20"/>
    <mergeCell ref="G21:H21"/>
    <mergeCell ref="G22:H22"/>
    <mergeCell ref="G23:H23"/>
    <mergeCell ref="G24:H24"/>
    <mergeCell ref="G25:H25"/>
    <mergeCell ref="G26:H26"/>
    <mergeCell ref="G27:H27"/>
    <mergeCell ref="G28:H28"/>
    <mergeCell ref="G29:H29"/>
    <mergeCell ref="G40:H40"/>
    <mergeCell ref="G41:H41"/>
    <mergeCell ref="G42:H42"/>
    <mergeCell ref="G43:H43"/>
    <mergeCell ref="G44:H44"/>
    <mergeCell ref="G35:H35"/>
    <mergeCell ref="G36:H36"/>
    <mergeCell ref="G37:H37"/>
    <mergeCell ref="G38:H38"/>
    <mergeCell ref="G39:H39"/>
    <mergeCell ref="G50:H50"/>
    <mergeCell ref="G51:H51"/>
    <mergeCell ref="G52:H52"/>
    <mergeCell ref="G53:H53"/>
    <mergeCell ref="G54:H54"/>
    <mergeCell ref="G45:H45"/>
    <mergeCell ref="G46:H46"/>
    <mergeCell ref="G47:H47"/>
    <mergeCell ref="G48:H48"/>
    <mergeCell ref="G49:H49"/>
    <mergeCell ref="G60:H60"/>
    <mergeCell ref="G61:H61"/>
    <mergeCell ref="G62:H62"/>
    <mergeCell ref="G63:H63"/>
    <mergeCell ref="G64:H64"/>
    <mergeCell ref="G55:H55"/>
    <mergeCell ref="G56:H56"/>
    <mergeCell ref="G57:H57"/>
    <mergeCell ref="G58:H58"/>
    <mergeCell ref="G59:H59"/>
    <mergeCell ref="G70:H70"/>
    <mergeCell ref="G71:H71"/>
    <mergeCell ref="G72:H72"/>
    <mergeCell ref="G73:H73"/>
    <mergeCell ref="G74:H74"/>
    <mergeCell ref="G65:H65"/>
    <mergeCell ref="G66:H66"/>
    <mergeCell ref="G67:H67"/>
    <mergeCell ref="G68:H68"/>
    <mergeCell ref="G69:H69"/>
    <mergeCell ref="G80:H80"/>
    <mergeCell ref="G81:H81"/>
    <mergeCell ref="G82:H82"/>
    <mergeCell ref="G83:H83"/>
    <mergeCell ref="G84:H84"/>
    <mergeCell ref="G75:H75"/>
    <mergeCell ref="G76:H76"/>
    <mergeCell ref="G77:H77"/>
    <mergeCell ref="G78:H78"/>
    <mergeCell ref="G79:H79"/>
    <mergeCell ref="G90:H90"/>
    <mergeCell ref="G91:H91"/>
    <mergeCell ref="G92:H92"/>
    <mergeCell ref="G93:H93"/>
    <mergeCell ref="G94:H94"/>
    <mergeCell ref="G85:H85"/>
    <mergeCell ref="G86:H86"/>
    <mergeCell ref="G87:H87"/>
    <mergeCell ref="G88:H88"/>
    <mergeCell ref="G89:H89"/>
    <mergeCell ref="G100:H100"/>
    <mergeCell ref="G101:H101"/>
    <mergeCell ref="G102:H102"/>
    <mergeCell ref="G103:H103"/>
    <mergeCell ref="G104:H104"/>
    <mergeCell ref="G95:H95"/>
    <mergeCell ref="G96:H96"/>
    <mergeCell ref="G97:H97"/>
    <mergeCell ref="G98:H98"/>
    <mergeCell ref="G99:H99"/>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35:H135"/>
    <mergeCell ref="G136:H136"/>
    <mergeCell ref="D6:J6"/>
    <mergeCell ref="M6:U6"/>
    <mergeCell ref="D7:K7"/>
    <mergeCell ref="M7:U7"/>
    <mergeCell ref="B13:U13"/>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47:H147"/>
    <mergeCell ref="G148:H148"/>
    <mergeCell ref="B137:B148"/>
    <mergeCell ref="C137:C148"/>
    <mergeCell ref="E137:E142"/>
    <mergeCell ref="G137:H137"/>
    <mergeCell ref="G138:H138"/>
    <mergeCell ref="G139:H139"/>
    <mergeCell ref="G140:H140"/>
    <mergeCell ref="G141:H141"/>
    <mergeCell ref="G142:H142"/>
    <mergeCell ref="E143:E148"/>
    <mergeCell ref="G143:H143"/>
    <mergeCell ref="G144:H144"/>
    <mergeCell ref="G145:H145"/>
    <mergeCell ref="G146:H146"/>
    <mergeCell ref="B149:B160"/>
    <mergeCell ref="C149:C160"/>
    <mergeCell ref="E149:E154"/>
    <mergeCell ref="G149:H149"/>
    <mergeCell ref="G150:H150"/>
    <mergeCell ref="G151:H151"/>
    <mergeCell ref="G152:H152"/>
    <mergeCell ref="G153:H153"/>
    <mergeCell ref="G154:H154"/>
    <mergeCell ref="E155:E160"/>
    <mergeCell ref="G155:H155"/>
    <mergeCell ref="G156:H156"/>
    <mergeCell ref="G157:H157"/>
    <mergeCell ref="G158:H158"/>
    <mergeCell ref="G159:H159"/>
    <mergeCell ref="G160:H160"/>
    <mergeCell ref="B161:B172"/>
    <mergeCell ref="C161:C172"/>
    <mergeCell ref="E161:E166"/>
    <mergeCell ref="G161:H161"/>
    <mergeCell ref="G162:H162"/>
    <mergeCell ref="G163:H163"/>
    <mergeCell ref="G164:H164"/>
    <mergeCell ref="G165:H165"/>
    <mergeCell ref="G166:H166"/>
    <mergeCell ref="E167:E172"/>
    <mergeCell ref="G167:H167"/>
    <mergeCell ref="G168:H168"/>
    <mergeCell ref="G169:H169"/>
    <mergeCell ref="G170:H170"/>
    <mergeCell ref="G171:H171"/>
    <mergeCell ref="G172:H172"/>
    <mergeCell ref="B173:B184"/>
    <mergeCell ref="C173:C184"/>
    <mergeCell ref="E173:E178"/>
    <mergeCell ref="G173:H173"/>
    <mergeCell ref="G174:H174"/>
    <mergeCell ref="G175:H175"/>
    <mergeCell ref="G176:H176"/>
    <mergeCell ref="G177:H177"/>
    <mergeCell ref="G178:H178"/>
    <mergeCell ref="E179:E184"/>
    <mergeCell ref="G179:H179"/>
    <mergeCell ref="G180:H180"/>
    <mergeCell ref="G181:H181"/>
    <mergeCell ref="G182:H182"/>
    <mergeCell ref="G183:H183"/>
    <mergeCell ref="G184:H184"/>
    <mergeCell ref="B365:B376"/>
    <mergeCell ref="C365:C376"/>
    <mergeCell ref="E365:E370"/>
    <mergeCell ref="G365:H365"/>
    <mergeCell ref="G366:H366"/>
    <mergeCell ref="G367:H367"/>
    <mergeCell ref="G368:H368"/>
    <mergeCell ref="G369:H369"/>
    <mergeCell ref="G370:H370"/>
    <mergeCell ref="E371:E376"/>
    <mergeCell ref="G371:H371"/>
    <mergeCell ref="G372:H372"/>
    <mergeCell ref="G373:H373"/>
    <mergeCell ref="G374:H374"/>
    <mergeCell ref="G375:H375"/>
    <mergeCell ref="G376:H376"/>
    <mergeCell ref="B377:B388"/>
    <mergeCell ref="C377:C388"/>
    <mergeCell ref="E377:E382"/>
    <mergeCell ref="G377:H377"/>
    <mergeCell ref="G378:H378"/>
    <mergeCell ref="G379:H379"/>
    <mergeCell ref="G380:H380"/>
    <mergeCell ref="G381:H381"/>
    <mergeCell ref="G382:H382"/>
    <mergeCell ref="E383:E388"/>
    <mergeCell ref="G383:H383"/>
    <mergeCell ref="G384:H384"/>
    <mergeCell ref="G385:H385"/>
    <mergeCell ref="G386:H386"/>
    <mergeCell ref="G387:H387"/>
    <mergeCell ref="G388:H388"/>
    <mergeCell ref="B389:B400"/>
    <mergeCell ref="C389:C400"/>
    <mergeCell ref="E389:E394"/>
    <mergeCell ref="G389:H389"/>
    <mergeCell ref="G390:H390"/>
    <mergeCell ref="G391:H391"/>
    <mergeCell ref="G392:H392"/>
    <mergeCell ref="G393:H393"/>
    <mergeCell ref="G394:H394"/>
    <mergeCell ref="E395:E400"/>
    <mergeCell ref="G395:H395"/>
    <mergeCell ref="G396:H396"/>
    <mergeCell ref="G397:H397"/>
    <mergeCell ref="G398:H398"/>
    <mergeCell ref="G399:H399"/>
    <mergeCell ref="G400:H400"/>
    <mergeCell ref="B401:B412"/>
    <mergeCell ref="C401:C412"/>
    <mergeCell ref="E401:E406"/>
    <mergeCell ref="G401:H401"/>
    <mergeCell ref="G402:H402"/>
    <mergeCell ref="G403:H403"/>
    <mergeCell ref="G404:H404"/>
    <mergeCell ref="G405:H405"/>
    <mergeCell ref="G406:H406"/>
    <mergeCell ref="E407:E412"/>
    <mergeCell ref="G407:H407"/>
    <mergeCell ref="G408:H408"/>
    <mergeCell ref="G409:H409"/>
    <mergeCell ref="G410:H410"/>
    <mergeCell ref="G411:H411"/>
    <mergeCell ref="G412:H412"/>
    <mergeCell ref="B425:B436"/>
    <mergeCell ref="C425:C436"/>
    <mergeCell ref="E425:E430"/>
    <mergeCell ref="G425:H425"/>
    <mergeCell ref="G426:H426"/>
    <mergeCell ref="G427:H427"/>
    <mergeCell ref="G428:H428"/>
    <mergeCell ref="G429:H429"/>
    <mergeCell ref="G430:H430"/>
    <mergeCell ref="E431:E436"/>
    <mergeCell ref="G431:H431"/>
    <mergeCell ref="G432:H432"/>
    <mergeCell ref="G433:H433"/>
    <mergeCell ref="G434:H434"/>
    <mergeCell ref="G435:H435"/>
    <mergeCell ref="G436:H436"/>
    <mergeCell ref="B437:B448"/>
    <mergeCell ref="C437:C448"/>
    <mergeCell ref="E437:E442"/>
    <mergeCell ref="G437:H437"/>
    <mergeCell ref="G438:H438"/>
    <mergeCell ref="G439:H439"/>
    <mergeCell ref="G440:H440"/>
    <mergeCell ref="G441:H441"/>
    <mergeCell ref="G442:H442"/>
    <mergeCell ref="E443:E448"/>
    <mergeCell ref="G443:H443"/>
    <mergeCell ref="G444:H444"/>
    <mergeCell ref="G445:H445"/>
    <mergeCell ref="G446:H446"/>
    <mergeCell ref="G447:H447"/>
    <mergeCell ref="G448:H448"/>
    <mergeCell ref="B449:B460"/>
    <mergeCell ref="C449:C460"/>
    <mergeCell ref="E449:E454"/>
    <mergeCell ref="G449:H449"/>
    <mergeCell ref="G450:H450"/>
    <mergeCell ref="G451:H451"/>
    <mergeCell ref="G452:H452"/>
    <mergeCell ref="G453:H453"/>
    <mergeCell ref="G454:H454"/>
    <mergeCell ref="E455:E460"/>
    <mergeCell ref="G455:H455"/>
    <mergeCell ref="G456:H456"/>
    <mergeCell ref="G457:H457"/>
    <mergeCell ref="G458:H458"/>
    <mergeCell ref="G459:H459"/>
    <mergeCell ref="G460:H460"/>
  </mergeCells>
  <dataValidations count="6">
    <dataValidation type="list" allowBlank="1" showInputMessage="1" showErrorMessage="1" sqref="E17 E23 E29 E41 E53 E65 E77 E89 E101 E113 E125 E137 E35 E47 E59 E71 E83 E95 E107 E119 E131 E143 E149 E155 E161 E167 E173 E179 E185 E191 E197 E203 E209 E215 E221 E227 E233 E239 E245 E251 E257 E263 E269 E275 E281 E287 E293 E299 E305 E311 E317 E323 E329 E335 E341 E347 E353 E359 E365 E371 E377 E383 E389 E395 E401 E407 E413 E419 E425 E431 E437 E443 E449 E455 E461 E467 E473 E479 E485 E491 E497 E503" xr:uid="{3F97067F-1D22-46C9-8EB2-36D4E853411F}">
      <formula1>$X$22:$X$23</formula1>
    </dataValidation>
    <dataValidation type="list" allowBlank="1" showInputMessage="1" showErrorMessage="1" sqref="C125 C17 C29 C41 C53 C65 C77 C89 C101 C113 C137 C149 C161 C173 C185 C197 C209 C221 C233 C245 C257 C269 C281 C293 C305 C317 C329 C341 C353 C365 C377 C389 C401 C413 C425 C437 C449 C461 C473 C485 C497" xr:uid="{6FBB2D4D-D80C-4833-87A8-7A0E96CAD28D}">
      <formula1>$X$17:$X$21</formula1>
    </dataValidation>
    <dataValidation type="list" allowBlank="1" showInputMessage="1" showErrorMessage="1" sqref="C6" xr:uid="{3DB528DA-384D-4E01-A775-48E30DF63DB2}">
      <formula1>$X$2:$X$7</formula1>
    </dataValidation>
    <dataValidation type="list" allowBlank="1" showInputMessage="1" showErrorMessage="1" sqref="G17:G22 G29:G34 G41:G46 G53:G58 G65:G70 G137:G142 G77:G82 G101:G106 G113:G118 G89:G94 G125:G130 G173:G178 G161:G166 G149:G154 G209:G214 G185:G190 G197:G202 G221:G226 G233:G238 G245:G250 G257:G262 G269:G274 G281:G286 G293:G298 G305:G310 G317:G322 G329:G334 G341:G346 G353:G358 G389:G394 G377:G382 G365:G370 G401:G406 G413:G418 G425:G430 G437:G442 G449:G454 G461:G466 G473:G478 G485:G490 G497:G502" xr:uid="{F42A6AB3-C955-4CC2-BF5D-289F6217FA8D}">
      <formula1>$C$11:$S$11</formula1>
    </dataValidation>
    <dataValidation type="list" allowBlank="1" showInputMessage="1" showErrorMessage="1" sqref="D17:D508" xr:uid="{9AC609EF-5D24-477A-8FC3-B2A5F74CC194}">
      <formula1>$Z$21:$Z$61</formula1>
    </dataValidation>
    <dataValidation type="list" allowBlank="1" showInputMessage="1" showErrorMessage="1" sqref="G23:H28 G35:H40 G47:H52 G59:H64 G71:H76 G83:H88 G143:H148 G107:H112 G119:H124 G131:H136 G95:H100 G179:H184 G215:H220 G155:H160 G191:H196 G167:H172 G203:H208 G251:H256 G239:H244 G227:H232 G263:H268 G275:H280 G287:H292 G323:H328 G311:H316 G299:H304 G335:H340 G359:H364 G347:H352 G371:H376 G383:H388 G395:H400 G407:H412 G455:H460 G431:H436 G443:H448 G419:H424 G467:H472 G479:H484 G491:H496 G503:H508" xr:uid="{71EFA27C-F2C6-4CBC-A44C-3C0C036C5150}">
      <formula1>$C$12:$S$12</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B2732-F5DB-463E-9F77-BE278B732109}">
  <dimension ref="B1:AU484"/>
  <sheetViews>
    <sheetView zoomScale="70" zoomScaleNormal="70" workbookViewId="0">
      <pane ySplit="16" topLeftCell="A375" activePane="bottomLeft" state="frozenSplit"/>
      <selection pane="bottomLeft" activeCell="K397" sqref="K397"/>
    </sheetView>
  </sheetViews>
  <sheetFormatPr defaultColWidth="8.7109375" defaultRowHeight="13.5"/>
  <cols>
    <col min="1" max="1" width="4.140625" style="1" customWidth="1"/>
    <col min="2" max="2" width="16.42578125" style="1" bestFit="1" customWidth="1"/>
    <col min="3" max="3" width="17.42578125" style="1" bestFit="1" customWidth="1"/>
    <col min="4" max="4" width="17.42578125" style="1" customWidth="1"/>
    <col min="5" max="5" width="14.5703125" style="2" customWidth="1"/>
    <col min="6" max="19" width="14.5703125" style="1" customWidth="1"/>
    <col min="20" max="20" width="14.7109375" style="1" hidden="1" customWidth="1"/>
    <col min="21" max="21" width="23.5703125" style="1" customWidth="1"/>
    <col min="22" max="22" width="67.42578125" style="1" customWidth="1"/>
    <col min="23" max="23" width="8.7109375" style="1"/>
    <col min="24" max="24" width="17.42578125" style="1" customWidth="1"/>
    <col min="25" max="25" width="8.7109375" style="1" customWidth="1"/>
    <col min="26" max="26" width="21.85546875" style="1" bestFit="1" customWidth="1"/>
    <col min="27" max="47" width="14.5703125" style="1" customWidth="1"/>
    <col min="48" max="16384" width="8.7109375" style="1"/>
  </cols>
  <sheetData>
    <row r="1" spans="2:47" ht="6" customHeight="1"/>
    <row r="2" spans="2:47" ht="35.25">
      <c r="B2" s="91" t="s">
        <v>31</v>
      </c>
      <c r="C2" s="91"/>
      <c r="D2" s="91"/>
      <c r="E2" s="91"/>
      <c r="F2" s="91"/>
      <c r="G2" s="91"/>
      <c r="H2" s="91"/>
      <c r="I2" s="91"/>
      <c r="J2" s="91"/>
      <c r="K2" s="91"/>
      <c r="L2" s="91"/>
      <c r="M2" s="91"/>
      <c r="N2" s="91"/>
      <c r="O2" s="91"/>
      <c r="P2" s="91"/>
      <c r="Q2" s="91"/>
      <c r="R2" s="91"/>
      <c r="S2" s="91"/>
      <c r="T2" s="91"/>
      <c r="U2" s="91"/>
      <c r="V2" s="24"/>
      <c r="W2" s="24"/>
      <c r="X2" s="1" t="s">
        <v>13</v>
      </c>
    </row>
    <row r="3" spans="2:47" ht="15.95" customHeight="1">
      <c r="B3" s="18"/>
      <c r="C3" s="18"/>
      <c r="D3" s="18"/>
      <c r="E3" s="18"/>
      <c r="F3" s="18"/>
      <c r="G3" s="18"/>
      <c r="H3" s="18"/>
      <c r="I3" s="18"/>
      <c r="J3" s="18"/>
      <c r="K3" s="18"/>
      <c r="L3" s="18"/>
      <c r="M3" s="18"/>
      <c r="N3" s="18"/>
      <c r="O3" s="18"/>
      <c r="P3" s="18"/>
      <c r="Q3" s="18"/>
      <c r="R3" s="18"/>
      <c r="S3" s="18"/>
      <c r="T3" s="18"/>
      <c r="U3" s="18"/>
      <c r="V3" s="24"/>
      <c r="W3" s="24"/>
      <c r="X3" s="1" t="s">
        <v>36</v>
      </c>
      <c r="Y3" s="24"/>
      <c r="Z3" s="24"/>
      <c r="AA3" s="24"/>
      <c r="AB3" s="24"/>
      <c r="AC3" s="24"/>
      <c r="AD3" s="24"/>
      <c r="AE3" s="24"/>
      <c r="AF3" s="24"/>
      <c r="AG3" s="24"/>
      <c r="AH3" s="24"/>
      <c r="AI3" s="24"/>
      <c r="AJ3" s="24"/>
      <c r="AK3" s="24"/>
      <c r="AL3" s="24"/>
      <c r="AM3" s="24"/>
      <c r="AN3" s="24"/>
      <c r="AO3" s="24"/>
      <c r="AP3" s="24"/>
      <c r="AQ3" s="24"/>
      <c r="AR3" s="24"/>
      <c r="AS3" s="24"/>
      <c r="AT3" s="24"/>
      <c r="AU3" s="24"/>
    </row>
    <row r="4" spans="2:47" ht="22.5">
      <c r="B4" s="94" t="s">
        <v>92</v>
      </c>
      <c r="C4" s="94"/>
      <c r="D4" s="94"/>
      <c r="E4" s="94"/>
      <c r="F4" s="94"/>
      <c r="G4" s="94"/>
      <c r="H4" s="94"/>
      <c r="I4" s="94"/>
      <c r="J4" s="94"/>
      <c r="K4" s="94"/>
      <c r="L4" s="94"/>
      <c r="M4" s="94"/>
      <c r="N4" s="94"/>
      <c r="O4" s="94"/>
      <c r="P4" s="94"/>
      <c r="Q4" s="94"/>
      <c r="R4" s="94"/>
      <c r="S4" s="94"/>
      <c r="T4" s="94"/>
      <c r="U4" s="94"/>
      <c r="V4" s="24"/>
      <c r="W4" s="24"/>
      <c r="X4" s="1" t="s">
        <v>34</v>
      </c>
      <c r="Y4" s="24"/>
      <c r="Z4" s="24"/>
      <c r="AA4" s="24"/>
      <c r="AB4" s="24"/>
      <c r="AC4" s="24"/>
      <c r="AD4" s="24"/>
      <c r="AE4" s="24"/>
      <c r="AF4" s="24"/>
      <c r="AG4" s="24"/>
      <c r="AH4" s="24"/>
      <c r="AI4" s="24"/>
      <c r="AJ4" s="24"/>
      <c r="AK4" s="24"/>
      <c r="AL4" s="24"/>
      <c r="AM4" s="24"/>
      <c r="AN4" s="24"/>
      <c r="AO4" s="24"/>
      <c r="AP4" s="24"/>
      <c r="AQ4" s="24"/>
      <c r="AR4" s="24"/>
      <c r="AS4" s="24"/>
      <c r="AT4" s="24"/>
      <c r="AU4" s="24"/>
    </row>
    <row r="5" spans="2:47" ht="11.45" customHeight="1">
      <c r="G5" s="3"/>
      <c r="H5" s="3"/>
      <c r="I5" s="3"/>
      <c r="J5" s="3"/>
      <c r="K5" s="3"/>
      <c r="L5" s="3"/>
      <c r="M5" s="3"/>
      <c r="N5" s="3"/>
      <c r="O5" s="3"/>
      <c r="P5" s="3"/>
      <c r="Q5" s="3"/>
      <c r="R5" s="3"/>
      <c r="S5" s="3"/>
      <c r="T5" s="3"/>
      <c r="U5" s="3"/>
      <c r="V5" s="24"/>
      <c r="W5" s="24"/>
      <c r="X5" s="1" t="s">
        <v>35</v>
      </c>
      <c r="Y5" s="24"/>
      <c r="Z5" s="24"/>
      <c r="AA5" s="24"/>
      <c r="AB5" s="24"/>
      <c r="AC5" s="24"/>
      <c r="AD5" s="24"/>
      <c r="AE5" s="24"/>
      <c r="AF5" s="24"/>
      <c r="AG5" s="24"/>
      <c r="AH5" s="24"/>
      <c r="AI5" s="24"/>
      <c r="AJ5" s="24"/>
      <c r="AK5" s="24"/>
      <c r="AL5" s="24"/>
      <c r="AM5" s="24"/>
      <c r="AN5" s="24"/>
      <c r="AO5" s="24"/>
      <c r="AP5" s="24"/>
      <c r="AQ5" s="24"/>
      <c r="AR5" s="24"/>
      <c r="AS5" s="24"/>
      <c r="AT5" s="24"/>
      <c r="AU5" s="24"/>
    </row>
    <row r="6" spans="2:47" ht="24" customHeight="1">
      <c r="B6" s="17" t="s">
        <v>12</v>
      </c>
      <c r="C6" s="42" t="s">
        <v>34</v>
      </c>
      <c r="D6" s="73" t="s">
        <v>91</v>
      </c>
      <c r="E6" s="71"/>
      <c r="F6" s="71"/>
      <c r="G6" s="71"/>
      <c r="H6" s="71"/>
      <c r="I6" s="71"/>
      <c r="J6" s="71"/>
      <c r="K6" s="47"/>
      <c r="L6" s="48" t="s">
        <v>96</v>
      </c>
      <c r="M6" s="70" t="s">
        <v>89</v>
      </c>
      <c r="N6" s="71"/>
      <c r="O6" s="71"/>
      <c r="P6" s="71"/>
      <c r="Q6" s="71"/>
      <c r="R6" s="71"/>
      <c r="S6" s="71"/>
      <c r="T6" s="71"/>
      <c r="U6" s="71"/>
      <c r="V6" s="24"/>
      <c r="W6" s="24"/>
      <c r="X6" s="1" t="s">
        <v>20</v>
      </c>
      <c r="Y6" s="24"/>
      <c r="Z6" s="24"/>
      <c r="AA6" s="24"/>
      <c r="AB6" s="24"/>
      <c r="AC6" s="24"/>
      <c r="AD6" s="24"/>
      <c r="AE6" s="24"/>
      <c r="AF6" s="24"/>
      <c r="AG6" s="24"/>
      <c r="AH6" s="24"/>
      <c r="AI6" s="24"/>
      <c r="AJ6" s="24"/>
      <c r="AK6" s="24"/>
      <c r="AL6" s="24"/>
      <c r="AM6" s="24"/>
      <c r="AN6" s="24"/>
      <c r="AO6" s="24"/>
      <c r="AP6" s="24"/>
      <c r="AQ6" s="24"/>
      <c r="AR6" s="24"/>
      <c r="AS6" s="24"/>
      <c r="AT6" s="24"/>
      <c r="AU6" s="24"/>
    </row>
    <row r="7" spans="2:47" ht="24.95" customHeight="1">
      <c r="C7" s="3"/>
      <c r="D7" s="72" t="s">
        <v>94</v>
      </c>
      <c r="E7" s="72"/>
      <c r="F7" s="72"/>
      <c r="G7" s="72"/>
      <c r="H7" s="72"/>
      <c r="I7" s="72"/>
      <c r="J7" s="72"/>
      <c r="K7" s="72"/>
      <c r="L7" s="3"/>
      <c r="M7" s="72" t="s">
        <v>90</v>
      </c>
      <c r="N7" s="72"/>
      <c r="O7" s="72"/>
      <c r="P7" s="72"/>
      <c r="Q7" s="72"/>
      <c r="R7" s="72"/>
      <c r="S7" s="72"/>
      <c r="T7" s="72"/>
      <c r="U7" s="72"/>
      <c r="V7" s="24"/>
      <c r="W7" s="24"/>
      <c r="Y7" s="24"/>
      <c r="Z7" s="24"/>
      <c r="AA7" s="24"/>
      <c r="AB7" s="24"/>
      <c r="AC7" s="24"/>
      <c r="AD7" s="24"/>
      <c r="AE7" s="24"/>
      <c r="AF7" s="24"/>
      <c r="AG7" s="24"/>
      <c r="AH7" s="24"/>
      <c r="AI7" s="24"/>
      <c r="AJ7" s="24"/>
      <c r="AK7" s="24"/>
      <c r="AL7" s="24"/>
      <c r="AM7" s="24"/>
      <c r="AN7" s="24"/>
      <c r="AO7" s="24"/>
      <c r="AP7" s="24"/>
      <c r="AQ7" s="24"/>
      <c r="AR7" s="24"/>
      <c r="AS7" s="24"/>
      <c r="AT7" s="24"/>
      <c r="AU7" s="24"/>
    </row>
    <row r="8" spans="2:47" ht="22.5">
      <c r="B8" s="93" t="s">
        <v>93</v>
      </c>
      <c r="C8" s="94"/>
      <c r="D8" s="94"/>
      <c r="E8" s="94"/>
      <c r="F8" s="94"/>
      <c r="G8" s="94"/>
      <c r="H8" s="94"/>
      <c r="I8" s="94"/>
      <c r="J8" s="94"/>
      <c r="K8" s="94"/>
      <c r="L8" s="94"/>
      <c r="M8" s="94"/>
      <c r="N8" s="94"/>
      <c r="O8" s="94"/>
      <c r="P8" s="94"/>
      <c r="Q8" s="94"/>
      <c r="R8" s="94"/>
      <c r="S8" s="94"/>
      <c r="T8" s="94"/>
      <c r="U8" s="94"/>
      <c r="V8" s="24"/>
      <c r="W8" s="24"/>
      <c r="Y8" s="24"/>
      <c r="Z8" s="24"/>
      <c r="AA8" s="24"/>
      <c r="AB8" s="24"/>
      <c r="AC8" s="24"/>
      <c r="AD8" s="24"/>
      <c r="AE8" s="24"/>
      <c r="AF8" s="24"/>
      <c r="AG8" s="24"/>
      <c r="AH8" s="24"/>
      <c r="AI8" s="24"/>
      <c r="AJ8" s="24"/>
      <c r="AK8" s="24"/>
      <c r="AL8" s="24"/>
      <c r="AM8" s="24"/>
      <c r="AN8" s="24"/>
      <c r="AO8" s="24"/>
      <c r="AP8" s="24"/>
      <c r="AQ8" s="24"/>
      <c r="AR8" s="24"/>
      <c r="AS8" s="24"/>
      <c r="AT8" s="24"/>
      <c r="AU8" s="24"/>
    </row>
    <row r="9" spans="2:47" ht="8.1" customHeight="1">
      <c r="E9" s="1"/>
      <c r="V9" s="24"/>
      <c r="W9" s="24"/>
      <c r="Y9" s="24"/>
      <c r="Z9" s="24"/>
      <c r="AA9" s="24"/>
      <c r="AB9" s="24"/>
      <c r="AC9" s="24"/>
      <c r="AD9" s="24"/>
      <c r="AE9" s="24"/>
      <c r="AF9" s="24"/>
      <c r="AG9" s="24"/>
      <c r="AH9" s="24"/>
      <c r="AI9" s="24"/>
      <c r="AJ9" s="24"/>
      <c r="AK9" s="24"/>
      <c r="AL9" s="24"/>
      <c r="AM9" s="24"/>
      <c r="AN9" s="24"/>
      <c r="AO9" s="24"/>
      <c r="AP9" s="24"/>
      <c r="AQ9" s="24"/>
      <c r="AR9" s="24"/>
      <c r="AS9" s="24"/>
      <c r="AT9" s="24"/>
      <c r="AU9" s="24"/>
    </row>
    <row r="10" spans="2:47" ht="18.75">
      <c r="B10" s="19" t="s">
        <v>30</v>
      </c>
      <c r="C10" s="19">
        <v>1</v>
      </c>
      <c r="D10" s="20">
        <v>2</v>
      </c>
      <c r="E10" s="20">
        <v>3</v>
      </c>
      <c r="F10" s="19">
        <v>4</v>
      </c>
      <c r="G10" s="20">
        <v>5</v>
      </c>
      <c r="H10" s="20">
        <v>6</v>
      </c>
      <c r="I10" s="19">
        <v>7</v>
      </c>
      <c r="J10" s="20">
        <v>8</v>
      </c>
      <c r="K10" s="20">
        <v>9</v>
      </c>
      <c r="L10" s="19">
        <v>10</v>
      </c>
      <c r="M10" s="20">
        <v>11</v>
      </c>
      <c r="N10" s="20">
        <v>12</v>
      </c>
      <c r="O10" s="19">
        <v>13</v>
      </c>
      <c r="P10" s="20">
        <v>14</v>
      </c>
      <c r="Q10" s="20">
        <v>15</v>
      </c>
      <c r="R10" s="20">
        <v>16</v>
      </c>
      <c r="S10" s="20">
        <v>17</v>
      </c>
      <c r="T10" s="19">
        <v>16</v>
      </c>
      <c r="U10" s="20" t="s">
        <v>32</v>
      </c>
      <c r="V10" s="24"/>
      <c r="W10" s="24"/>
    </row>
    <row r="11" spans="2:47" ht="18.75">
      <c r="B11" s="29" t="s">
        <v>28</v>
      </c>
      <c r="C11" s="31" t="s">
        <v>74</v>
      </c>
      <c r="D11" s="32" t="s">
        <v>75</v>
      </c>
      <c r="E11" s="32" t="s">
        <v>76</v>
      </c>
      <c r="F11" s="32" t="s">
        <v>110</v>
      </c>
      <c r="G11" s="31" t="s">
        <v>79</v>
      </c>
      <c r="H11" s="31" t="s">
        <v>80</v>
      </c>
      <c r="I11" s="31" t="s">
        <v>103</v>
      </c>
      <c r="J11" s="31" t="s">
        <v>104</v>
      </c>
      <c r="K11" s="31" t="s">
        <v>78</v>
      </c>
      <c r="L11" s="31" t="s">
        <v>108</v>
      </c>
      <c r="M11" s="31" t="s">
        <v>109</v>
      </c>
      <c r="N11" s="31"/>
      <c r="O11" s="31"/>
      <c r="P11" s="31"/>
      <c r="Q11" s="31"/>
      <c r="R11" s="31"/>
      <c r="S11" s="31"/>
      <c r="T11" s="31"/>
      <c r="U11" s="29"/>
      <c r="V11" s="24"/>
      <c r="W11" s="24"/>
    </row>
    <row r="12" spans="2:47" ht="18.75">
      <c r="B12" s="30" t="s">
        <v>29</v>
      </c>
      <c r="C12" s="33" t="s">
        <v>84</v>
      </c>
      <c r="D12" s="33" t="s">
        <v>81</v>
      </c>
      <c r="E12" s="33" t="s">
        <v>87</v>
      </c>
      <c r="F12" s="33" t="s">
        <v>86</v>
      </c>
      <c r="G12" s="33" t="s">
        <v>85</v>
      </c>
      <c r="H12" s="33" t="s">
        <v>88</v>
      </c>
      <c r="I12" s="33" t="s">
        <v>82</v>
      </c>
      <c r="J12" s="33" t="s">
        <v>105</v>
      </c>
      <c r="K12" s="33" t="s">
        <v>106</v>
      </c>
      <c r="L12" s="33" t="s">
        <v>83</v>
      </c>
      <c r="M12" s="33"/>
      <c r="N12" s="33"/>
      <c r="O12" s="33"/>
      <c r="P12" s="33"/>
      <c r="Q12" s="33"/>
      <c r="R12" s="33"/>
      <c r="S12" s="33"/>
      <c r="T12" s="33"/>
      <c r="U12" s="30"/>
    </row>
    <row r="13" spans="2:47" ht="54.6" customHeight="1">
      <c r="B13" s="74" t="s">
        <v>95</v>
      </c>
      <c r="C13" s="74"/>
      <c r="D13" s="74"/>
      <c r="E13" s="74"/>
      <c r="F13" s="74"/>
      <c r="G13" s="74"/>
      <c r="H13" s="74"/>
      <c r="I13" s="74"/>
      <c r="J13" s="74"/>
      <c r="K13" s="74"/>
      <c r="L13" s="74"/>
      <c r="M13" s="74"/>
      <c r="N13" s="74"/>
      <c r="O13" s="74"/>
      <c r="P13" s="74"/>
      <c r="Q13" s="74"/>
      <c r="R13" s="74"/>
      <c r="S13" s="74"/>
      <c r="T13" s="74"/>
      <c r="U13" s="74"/>
    </row>
    <row r="14" spans="2:47" ht="37.5">
      <c r="B14" s="26" t="s">
        <v>33</v>
      </c>
      <c r="C14" s="25"/>
      <c r="D14" s="49" t="s">
        <v>62</v>
      </c>
      <c r="E14" s="49" t="s">
        <v>63</v>
      </c>
      <c r="F14" s="49"/>
      <c r="G14" s="49" t="s">
        <v>64</v>
      </c>
      <c r="H14" s="49"/>
      <c r="I14" s="50" t="s">
        <v>65</v>
      </c>
      <c r="J14" s="50"/>
      <c r="K14" s="50" t="s">
        <v>66</v>
      </c>
      <c r="L14" s="50" t="s">
        <v>67</v>
      </c>
      <c r="M14" s="50" t="s">
        <v>68</v>
      </c>
      <c r="N14" s="50" t="s">
        <v>69</v>
      </c>
      <c r="O14" s="50" t="s">
        <v>70</v>
      </c>
      <c r="P14" s="50" t="s">
        <v>71</v>
      </c>
      <c r="Q14" s="50" t="s">
        <v>72</v>
      </c>
      <c r="R14" s="50" t="s">
        <v>73</v>
      </c>
      <c r="S14" s="92" t="s">
        <v>97</v>
      </c>
      <c r="T14" s="92"/>
      <c r="U14" s="92"/>
    </row>
    <row r="15" spans="2:47" ht="18.75">
      <c r="B15" s="87" t="s">
        <v>6</v>
      </c>
      <c r="C15" s="87" t="s">
        <v>8</v>
      </c>
      <c r="D15" s="87" t="s">
        <v>37</v>
      </c>
      <c r="E15" s="87" t="s">
        <v>0</v>
      </c>
      <c r="F15" s="87" t="s">
        <v>7</v>
      </c>
      <c r="G15" s="76" t="s">
        <v>1</v>
      </c>
      <c r="H15" s="77"/>
      <c r="I15" s="85" t="s">
        <v>27</v>
      </c>
      <c r="J15" s="86"/>
      <c r="K15" s="82" t="s">
        <v>2</v>
      </c>
      <c r="L15" s="83"/>
      <c r="M15" s="83"/>
      <c r="N15" s="83"/>
      <c r="O15" s="83"/>
      <c r="P15" s="83"/>
      <c r="Q15" s="83"/>
      <c r="R15" s="83"/>
      <c r="S15" s="84"/>
      <c r="T15" s="82"/>
      <c r="U15" s="84"/>
    </row>
    <row r="16" spans="2:47" ht="17.45" customHeight="1">
      <c r="B16" s="88"/>
      <c r="C16" s="88"/>
      <c r="D16" s="88"/>
      <c r="E16" s="88"/>
      <c r="F16" s="88"/>
      <c r="G16" s="78"/>
      <c r="H16" s="79"/>
      <c r="I16" s="21" t="s">
        <v>26</v>
      </c>
      <c r="J16" s="21" t="s">
        <v>27</v>
      </c>
      <c r="K16" s="22" t="s">
        <v>4</v>
      </c>
      <c r="L16" s="22" t="s">
        <v>5</v>
      </c>
      <c r="M16" s="22" t="s">
        <v>19</v>
      </c>
      <c r="N16" s="22" t="s">
        <v>69</v>
      </c>
      <c r="O16" s="22" t="s">
        <v>21</v>
      </c>
      <c r="P16" s="22" t="s">
        <v>22</v>
      </c>
      <c r="Q16" s="22" t="s">
        <v>23</v>
      </c>
      <c r="R16" s="22" t="s">
        <v>20</v>
      </c>
      <c r="S16" s="22" t="s">
        <v>24</v>
      </c>
      <c r="T16" s="22" t="s">
        <v>25</v>
      </c>
      <c r="U16" s="23" t="s">
        <v>3</v>
      </c>
      <c r="W16" s="4"/>
      <c r="X16" s="4"/>
      <c r="Y16" s="4"/>
    </row>
    <row r="17" spans="2:27" ht="16.5" hidden="1" customHeight="1">
      <c r="B17" s="89">
        <v>46082</v>
      </c>
      <c r="C17" s="59" t="s">
        <v>17</v>
      </c>
      <c r="D17" s="51"/>
      <c r="E17" s="62" t="s">
        <v>101</v>
      </c>
      <c r="F17" s="5">
        <v>0.41666666666666669</v>
      </c>
      <c r="G17" s="65"/>
      <c r="H17" s="66"/>
      <c r="I17" s="34"/>
      <c r="J17" s="6" t="str">
        <f>IFERROR(S17/I17,"")</f>
        <v/>
      </c>
      <c r="K17" s="38"/>
      <c r="L17" s="38"/>
      <c r="M17" s="38"/>
      <c r="N17" s="38"/>
      <c r="O17" s="38"/>
      <c r="P17" s="38"/>
      <c r="Q17" s="38"/>
      <c r="R17" s="38"/>
      <c r="S17" s="7">
        <f>SUM(K17:R17)</f>
        <v>0</v>
      </c>
      <c r="T17" s="7">
        <v>100000</v>
      </c>
      <c r="U17" s="7">
        <f>T17*S17</f>
        <v>0</v>
      </c>
      <c r="V17" s="4"/>
      <c r="W17" s="4"/>
      <c r="X17" s="4" t="s">
        <v>14</v>
      </c>
      <c r="Y17" s="4"/>
    </row>
    <row r="18" spans="2:27" ht="18.75" hidden="1">
      <c r="B18" s="75"/>
      <c r="C18" s="60"/>
      <c r="D18" s="52"/>
      <c r="E18" s="63"/>
      <c r="F18" s="8">
        <v>0.5</v>
      </c>
      <c r="G18" s="67"/>
      <c r="H18" s="68"/>
      <c r="I18" s="35"/>
      <c r="J18" s="9" t="str">
        <f>IFERROR(S18/I18,"")</f>
        <v/>
      </c>
      <c r="K18" s="39"/>
      <c r="L18" s="39"/>
      <c r="M18" s="39"/>
      <c r="N18" s="39"/>
      <c r="O18" s="39"/>
      <c r="P18" s="39"/>
      <c r="Q18" s="39"/>
      <c r="R18" s="39"/>
      <c r="S18" s="10">
        <f t="shared" ref="S18:S28" si="0">SUM(K18:R18)</f>
        <v>0</v>
      </c>
      <c r="T18" s="10">
        <v>100000</v>
      </c>
      <c r="U18" s="10">
        <f t="shared" ref="U18:U28" si="1">T18*S18</f>
        <v>0</v>
      </c>
      <c r="V18" s="4"/>
      <c r="W18" s="4"/>
      <c r="X18" s="4" t="s">
        <v>15</v>
      </c>
      <c r="Y18" s="4"/>
    </row>
    <row r="19" spans="2:27" ht="18.75" hidden="1">
      <c r="B19" s="75"/>
      <c r="C19" s="60"/>
      <c r="D19" s="52"/>
      <c r="E19" s="63"/>
      <c r="F19" s="8">
        <v>0.58333333333333337</v>
      </c>
      <c r="G19" s="67"/>
      <c r="H19" s="68"/>
      <c r="I19" s="35"/>
      <c r="J19" s="9" t="str">
        <f t="shared" ref="J19:J82" si="2">IFERROR(S19/I19,"")</f>
        <v/>
      </c>
      <c r="K19" s="39"/>
      <c r="L19" s="39"/>
      <c r="M19" s="39"/>
      <c r="N19" s="39"/>
      <c r="O19" s="39"/>
      <c r="P19" s="39"/>
      <c r="Q19" s="39"/>
      <c r="R19" s="39"/>
      <c r="S19" s="10">
        <f t="shared" si="0"/>
        <v>0</v>
      </c>
      <c r="T19" s="10">
        <v>100000</v>
      </c>
      <c r="U19" s="10">
        <f t="shared" si="1"/>
        <v>0</v>
      </c>
      <c r="V19" s="4"/>
      <c r="W19" s="4"/>
      <c r="X19" s="4" t="s">
        <v>16</v>
      </c>
      <c r="Y19" s="4"/>
    </row>
    <row r="20" spans="2:27" ht="18.75" hidden="1">
      <c r="B20" s="75"/>
      <c r="C20" s="60"/>
      <c r="D20" s="52"/>
      <c r="E20" s="63"/>
      <c r="F20" s="8">
        <v>0.66666666666666663</v>
      </c>
      <c r="G20" s="67"/>
      <c r="H20" s="68"/>
      <c r="I20" s="35"/>
      <c r="J20" s="9" t="str">
        <f t="shared" si="2"/>
        <v/>
      </c>
      <c r="K20" s="39"/>
      <c r="L20" s="39"/>
      <c r="M20" s="39"/>
      <c r="N20" s="39"/>
      <c r="O20" s="39"/>
      <c r="P20" s="39"/>
      <c r="Q20" s="39"/>
      <c r="R20" s="39"/>
      <c r="S20" s="10">
        <f t="shared" si="0"/>
        <v>0</v>
      </c>
      <c r="T20" s="10">
        <v>100000</v>
      </c>
      <c r="U20" s="10">
        <f>T20*S20</f>
        <v>0</v>
      </c>
      <c r="V20" s="4"/>
      <c r="W20" s="4"/>
      <c r="X20" s="4" t="s">
        <v>17</v>
      </c>
      <c r="Y20" s="4"/>
      <c r="Z20" s="28" t="s">
        <v>61</v>
      </c>
    </row>
    <row r="21" spans="2:27" ht="18.75" hidden="1">
      <c r="B21" s="75"/>
      <c r="C21" s="60"/>
      <c r="D21" s="52"/>
      <c r="E21" s="63"/>
      <c r="F21" s="8">
        <v>0.75</v>
      </c>
      <c r="G21" s="67"/>
      <c r="H21" s="68"/>
      <c r="I21" s="35"/>
      <c r="J21" s="9" t="str">
        <f t="shared" si="2"/>
        <v/>
      </c>
      <c r="K21" s="39"/>
      <c r="L21" s="39"/>
      <c r="M21" s="39"/>
      <c r="N21" s="39"/>
      <c r="O21" s="39"/>
      <c r="P21" s="39"/>
      <c r="Q21" s="39"/>
      <c r="R21" s="39"/>
      <c r="S21" s="10">
        <f t="shared" si="0"/>
        <v>0</v>
      </c>
      <c r="T21" s="10">
        <v>100000</v>
      </c>
      <c r="U21" s="10">
        <f t="shared" si="1"/>
        <v>0</v>
      </c>
      <c r="V21" s="4"/>
      <c r="W21" s="4"/>
      <c r="X21" s="11" t="s">
        <v>18</v>
      </c>
      <c r="Y21" s="4"/>
      <c r="Z21" s="43"/>
    </row>
    <row r="22" spans="2:27" ht="27" hidden="1">
      <c r="B22" s="75"/>
      <c r="C22" s="60"/>
      <c r="D22" s="53"/>
      <c r="E22" s="64"/>
      <c r="F22" s="12">
        <v>0.83333333333333337</v>
      </c>
      <c r="G22" s="67"/>
      <c r="H22" s="68"/>
      <c r="I22" s="35"/>
      <c r="J22" s="9" t="str">
        <f t="shared" si="2"/>
        <v/>
      </c>
      <c r="K22" s="40"/>
      <c r="L22" s="40"/>
      <c r="M22" s="40"/>
      <c r="N22" s="40"/>
      <c r="O22" s="40"/>
      <c r="P22" s="40"/>
      <c r="Q22" s="40"/>
      <c r="R22" s="40"/>
      <c r="S22" s="16">
        <f t="shared" si="0"/>
        <v>0</v>
      </c>
      <c r="T22" s="16">
        <v>100000</v>
      </c>
      <c r="U22" s="16">
        <f t="shared" si="1"/>
        <v>0</v>
      </c>
      <c r="V22" s="4"/>
      <c r="X22" s="54" t="s">
        <v>101</v>
      </c>
      <c r="Z22" s="44" t="s">
        <v>46</v>
      </c>
    </row>
    <row r="23" spans="2:27" ht="27" hidden="1">
      <c r="B23" s="75"/>
      <c r="C23" s="60"/>
      <c r="D23" s="51"/>
      <c r="E23" s="62" t="s">
        <v>102</v>
      </c>
      <c r="F23" s="5">
        <v>0.91666666666666663</v>
      </c>
      <c r="G23" s="65"/>
      <c r="H23" s="66"/>
      <c r="I23" s="34"/>
      <c r="J23" s="6" t="str">
        <f t="shared" si="2"/>
        <v/>
      </c>
      <c r="K23" s="38"/>
      <c r="L23" s="38"/>
      <c r="M23" s="38"/>
      <c r="N23" s="38"/>
      <c r="O23" s="38"/>
      <c r="P23" s="38"/>
      <c r="Q23" s="38"/>
      <c r="R23" s="38"/>
      <c r="S23" s="7">
        <f t="shared" si="0"/>
        <v>0</v>
      </c>
      <c r="T23" s="7">
        <v>100000</v>
      </c>
      <c r="U23" s="7">
        <f t="shared" si="1"/>
        <v>0</v>
      </c>
      <c r="V23" s="4"/>
      <c r="X23" s="54" t="s">
        <v>102</v>
      </c>
      <c r="Z23" s="44" t="s">
        <v>45</v>
      </c>
    </row>
    <row r="24" spans="2:27" ht="18.75" hidden="1">
      <c r="B24" s="75"/>
      <c r="C24" s="60"/>
      <c r="D24" s="52"/>
      <c r="E24" s="63"/>
      <c r="F24" s="8">
        <v>1</v>
      </c>
      <c r="G24" s="67"/>
      <c r="H24" s="68"/>
      <c r="I24" s="35"/>
      <c r="J24" s="9" t="str">
        <f t="shared" si="2"/>
        <v/>
      </c>
      <c r="K24" s="39"/>
      <c r="L24" s="39"/>
      <c r="M24" s="39"/>
      <c r="N24" s="39"/>
      <c r="O24" s="39"/>
      <c r="P24" s="39"/>
      <c r="Q24" s="39"/>
      <c r="R24" s="39"/>
      <c r="S24" s="10">
        <f t="shared" si="0"/>
        <v>0</v>
      </c>
      <c r="T24" s="10">
        <v>100000</v>
      </c>
      <c r="U24" s="10">
        <f t="shared" si="1"/>
        <v>0</v>
      </c>
      <c r="V24" s="4"/>
      <c r="Y24" s="4"/>
      <c r="Z24" s="44" t="s">
        <v>44</v>
      </c>
      <c r="AA24" s="27"/>
    </row>
    <row r="25" spans="2:27" ht="18.75" hidden="1">
      <c r="B25" s="75"/>
      <c r="C25" s="60"/>
      <c r="D25" s="52"/>
      <c r="E25" s="63"/>
      <c r="F25" s="8">
        <v>8.3333333333333329E-2</v>
      </c>
      <c r="G25" s="67"/>
      <c r="H25" s="68"/>
      <c r="I25" s="35"/>
      <c r="J25" s="9" t="str">
        <f t="shared" si="2"/>
        <v/>
      </c>
      <c r="K25" s="39"/>
      <c r="L25" s="39"/>
      <c r="M25" s="39"/>
      <c r="N25" s="39"/>
      <c r="O25" s="39"/>
      <c r="P25" s="39"/>
      <c r="Q25" s="39"/>
      <c r="R25" s="39"/>
      <c r="S25" s="10">
        <f t="shared" si="0"/>
        <v>0</v>
      </c>
      <c r="T25" s="10">
        <v>100000</v>
      </c>
      <c r="U25" s="10">
        <f t="shared" si="1"/>
        <v>0</v>
      </c>
      <c r="Y25" s="4"/>
      <c r="Z25" s="44" t="s">
        <v>47</v>
      </c>
    </row>
    <row r="26" spans="2:27" ht="18.75" hidden="1">
      <c r="B26" s="75"/>
      <c r="C26" s="60"/>
      <c r="D26" s="52"/>
      <c r="E26" s="63"/>
      <c r="F26" s="8">
        <v>0.16666666666666666</v>
      </c>
      <c r="G26" s="67"/>
      <c r="H26" s="68"/>
      <c r="I26" s="35"/>
      <c r="J26" s="9" t="str">
        <f t="shared" si="2"/>
        <v/>
      </c>
      <c r="K26" s="39"/>
      <c r="L26" s="39"/>
      <c r="M26" s="39"/>
      <c r="N26" s="39"/>
      <c r="O26" s="39"/>
      <c r="P26" s="39"/>
      <c r="Q26" s="39"/>
      <c r="R26" s="39"/>
      <c r="S26" s="10">
        <f t="shared" si="0"/>
        <v>0</v>
      </c>
      <c r="T26" s="10">
        <v>100000</v>
      </c>
      <c r="U26" s="10">
        <f t="shared" si="1"/>
        <v>0</v>
      </c>
      <c r="V26" s="4"/>
      <c r="X26" s="4"/>
      <c r="Y26" s="4"/>
      <c r="Z26" s="44" t="s">
        <v>48</v>
      </c>
    </row>
    <row r="27" spans="2:27" ht="18.75" hidden="1">
      <c r="B27" s="75"/>
      <c r="C27" s="60"/>
      <c r="D27" s="52"/>
      <c r="E27" s="63"/>
      <c r="F27" s="8">
        <v>0.25</v>
      </c>
      <c r="G27" s="67"/>
      <c r="H27" s="68"/>
      <c r="I27" s="35"/>
      <c r="J27" s="9" t="str">
        <f t="shared" si="2"/>
        <v/>
      </c>
      <c r="K27" s="39"/>
      <c r="L27" s="39"/>
      <c r="M27" s="39"/>
      <c r="N27" s="39"/>
      <c r="O27" s="39"/>
      <c r="P27" s="39"/>
      <c r="Q27" s="39"/>
      <c r="R27" s="39"/>
      <c r="S27" s="10">
        <f t="shared" si="0"/>
        <v>0</v>
      </c>
      <c r="T27" s="10">
        <v>100000</v>
      </c>
      <c r="U27" s="10">
        <f t="shared" si="1"/>
        <v>0</v>
      </c>
      <c r="V27" s="4"/>
      <c r="Y27" s="4"/>
      <c r="Z27" s="44" t="s">
        <v>49</v>
      </c>
    </row>
    <row r="28" spans="2:27" ht="18.75" hidden="1">
      <c r="B28" s="75"/>
      <c r="C28" s="60"/>
      <c r="D28" s="53"/>
      <c r="E28" s="64"/>
      <c r="F28" s="12">
        <v>0.33333333333333331</v>
      </c>
      <c r="G28" s="67"/>
      <c r="H28" s="68"/>
      <c r="I28" s="36"/>
      <c r="J28" s="9" t="str">
        <f t="shared" si="2"/>
        <v/>
      </c>
      <c r="K28" s="41"/>
      <c r="L28" s="41"/>
      <c r="M28" s="41"/>
      <c r="N28" s="41"/>
      <c r="O28" s="41"/>
      <c r="P28" s="41"/>
      <c r="Q28" s="41"/>
      <c r="R28" s="41"/>
      <c r="S28" s="13">
        <f t="shared" si="0"/>
        <v>0</v>
      </c>
      <c r="T28" s="13">
        <v>100000</v>
      </c>
      <c r="U28" s="13">
        <f t="shared" si="1"/>
        <v>0</v>
      </c>
      <c r="V28" s="4"/>
      <c r="W28" s="4"/>
      <c r="X28" s="4"/>
      <c r="Y28" s="4"/>
      <c r="Z28" s="44" t="s">
        <v>50</v>
      </c>
    </row>
    <row r="29" spans="2:27" ht="18.600000000000001" hidden="1" customHeight="1">
      <c r="B29" s="89">
        <v>46083</v>
      </c>
      <c r="C29" s="59" t="s">
        <v>17</v>
      </c>
      <c r="D29" s="51"/>
      <c r="E29" s="62" t="s">
        <v>101</v>
      </c>
      <c r="F29" s="5">
        <v>0.41666666666666669</v>
      </c>
      <c r="G29" s="65"/>
      <c r="H29" s="66"/>
      <c r="I29" s="34"/>
      <c r="J29" s="6" t="str">
        <f t="shared" si="2"/>
        <v/>
      </c>
      <c r="K29" s="38"/>
      <c r="L29" s="38"/>
      <c r="M29" s="38"/>
      <c r="N29" s="38"/>
      <c r="O29" s="38"/>
      <c r="P29" s="38"/>
      <c r="Q29" s="38"/>
      <c r="R29" s="38"/>
      <c r="S29" s="7">
        <f>SUM(K29:R29)</f>
        <v>0</v>
      </c>
      <c r="T29" s="7">
        <v>100000</v>
      </c>
      <c r="U29" s="7">
        <f>T29*S29</f>
        <v>0</v>
      </c>
      <c r="V29" s="4"/>
      <c r="W29" s="4"/>
      <c r="X29" s="4"/>
      <c r="Y29" s="4"/>
      <c r="Z29" s="44" t="s">
        <v>51</v>
      </c>
    </row>
    <row r="30" spans="2:27" ht="18.75" hidden="1">
      <c r="B30" s="75"/>
      <c r="C30" s="60"/>
      <c r="D30" s="52"/>
      <c r="E30" s="63"/>
      <c r="F30" s="8">
        <v>0.5</v>
      </c>
      <c r="G30" s="67"/>
      <c r="H30" s="68"/>
      <c r="I30" s="35"/>
      <c r="J30" s="9" t="str">
        <f t="shared" si="2"/>
        <v/>
      </c>
      <c r="K30" s="39"/>
      <c r="L30" s="39"/>
      <c r="M30" s="39"/>
      <c r="N30" s="39"/>
      <c r="O30" s="39"/>
      <c r="P30" s="39"/>
      <c r="Q30" s="39"/>
      <c r="R30" s="39"/>
      <c r="S30" s="10">
        <f t="shared" ref="S30:S40" si="3">SUM(K30:R30)</f>
        <v>0</v>
      </c>
      <c r="T30" s="10">
        <v>100000</v>
      </c>
      <c r="U30" s="10">
        <f t="shared" ref="U30:U31" si="4">T30*S30</f>
        <v>0</v>
      </c>
      <c r="V30" s="4"/>
      <c r="W30" s="4"/>
      <c r="X30" s="4"/>
      <c r="Y30" s="4"/>
      <c r="Z30" s="44" t="s">
        <v>52</v>
      </c>
    </row>
    <row r="31" spans="2:27" ht="18.75" hidden="1">
      <c r="B31" s="75"/>
      <c r="C31" s="60"/>
      <c r="D31" s="52"/>
      <c r="E31" s="63"/>
      <c r="F31" s="8">
        <v>0.58333333333333337</v>
      </c>
      <c r="G31" s="67"/>
      <c r="H31" s="68"/>
      <c r="I31" s="35"/>
      <c r="J31" s="9" t="str">
        <f t="shared" si="2"/>
        <v/>
      </c>
      <c r="K31" s="39"/>
      <c r="L31" s="39"/>
      <c r="M31" s="39"/>
      <c r="N31" s="39"/>
      <c r="O31" s="39"/>
      <c r="P31" s="39"/>
      <c r="Q31" s="39"/>
      <c r="R31" s="39"/>
      <c r="S31" s="10">
        <f t="shared" si="3"/>
        <v>0</v>
      </c>
      <c r="T31" s="10">
        <v>100000</v>
      </c>
      <c r="U31" s="10">
        <f t="shared" si="4"/>
        <v>0</v>
      </c>
      <c r="V31" s="4"/>
      <c r="W31" s="4"/>
      <c r="X31" s="4"/>
      <c r="Y31" s="4"/>
      <c r="Z31" s="44" t="s">
        <v>53</v>
      </c>
    </row>
    <row r="32" spans="2:27" ht="18.75" hidden="1">
      <c r="B32" s="75"/>
      <c r="C32" s="60"/>
      <c r="D32" s="52"/>
      <c r="E32" s="63"/>
      <c r="F32" s="8">
        <v>0.66666666666666663</v>
      </c>
      <c r="G32" s="67"/>
      <c r="H32" s="68"/>
      <c r="I32" s="35"/>
      <c r="J32" s="9" t="str">
        <f t="shared" si="2"/>
        <v/>
      </c>
      <c r="K32" s="39"/>
      <c r="L32" s="39"/>
      <c r="M32" s="39"/>
      <c r="N32" s="39"/>
      <c r="O32" s="39"/>
      <c r="P32" s="39"/>
      <c r="Q32" s="39"/>
      <c r="R32" s="39"/>
      <c r="S32" s="10">
        <f t="shared" si="3"/>
        <v>0</v>
      </c>
      <c r="T32" s="10">
        <v>100000</v>
      </c>
      <c r="U32" s="10">
        <f>T32*S32</f>
        <v>0</v>
      </c>
      <c r="V32" s="4"/>
      <c r="W32" s="4"/>
      <c r="X32" s="4"/>
      <c r="Y32" s="4"/>
      <c r="Z32" s="44" t="s">
        <v>54</v>
      </c>
    </row>
    <row r="33" spans="2:26" ht="18.75" hidden="1">
      <c r="B33" s="75"/>
      <c r="C33" s="60"/>
      <c r="D33" s="52"/>
      <c r="E33" s="63"/>
      <c r="F33" s="8">
        <v>0.75</v>
      </c>
      <c r="G33" s="67"/>
      <c r="H33" s="68"/>
      <c r="I33" s="35"/>
      <c r="J33" s="9" t="str">
        <f t="shared" si="2"/>
        <v/>
      </c>
      <c r="K33" s="39"/>
      <c r="L33" s="39"/>
      <c r="M33" s="39"/>
      <c r="N33" s="39"/>
      <c r="O33" s="39"/>
      <c r="P33" s="39"/>
      <c r="Q33" s="39"/>
      <c r="R33" s="39"/>
      <c r="S33" s="10">
        <f t="shared" si="3"/>
        <v>0</v>
      </c>
      <c r="T33" s="10">
        <v>100000</v>
      </c>
      <c r="U33" s="10">
        <f t="shared" ref="U33:U40" si="5">T33*S33</f>
        <v>0</v>
      </c>
      <c r="V33" s="4"/>
      <c r="W33" s="4"/>
      <c r="X33" s="11"/>
      <c r="Y33" s="4"/>
      <c r="Z33" s="44" t="s">
        <v>40</v>
      </c>
    </row>
    <row r="34" spans="2:26" ht="18.75" hidden="1">
      <c r="B34" s="75"/>
      <c r="C34" s="60"/>
      <c r="D34" s="53"/>
      <c r="E34" s="64"/>
      <c r="F34" s="12">
        <v>0.83333333333333337</v>
      </c>
      <c r="G34" s="67"/>
      <c r="H34" s="68"/>
      <c r="I34" s="36"/>
      <c r="J34" s="9" t="str">
        <f t="shared" si="2"/>
        <v/>
      </c>
      <c r="K34" s="41"/>
      <c r="L34" s="41"/>
      <c r="M34" s="41"/>
      <c r="N34" s="41"/>
      <c r="O34" s="41"/>
      <c r="P34" s="41"/>
      <c r="Q34" s="41"/>
      <c r="R34" s="41"/>
      <c r="S34" s="13">
        <f t="shared" si="3"/>
        <v>0</v>
      </c>
      <c r="T34" s="13">
        <v>100000</v>
      </c>
      <c r="U34" s="13">
        <f t="shared" si="5"/>
        <v>0</v>
      </c>
      <c r="V34" s="4"/>
      <c r="Y34" s="4"/>
      <c r="Z34" s="44" t="s">
        <v>41</v>
      </c>
    </row>
    <row r="35" spans="2:26" ht="18.75" hidden="1">
      <c r="B35" s="75"/>
      <c r="C35" s="60"/>
      <c r="D35" s="51"/>
      <c r="E35" s="62" t="s">
        <v>102</v>
      </c>
      <c r="F35" s="5">
        <v>0.91666666666666663</v>
      </c>
      <c r="G35" s="65"/>
      <c r="H35" s="66"/>
      <c r="I35" s="34"/>
      <c r="J35" s="6" t="str">
        <f t="shared" si="2"/>
        <v/>
      </c>
      <c r="K35" s="38"/>
      <c r="L35" s="38"/>
      <c r="M35" s="38"/>
      <c r="N35" s="38"/>
      <c r="O35" s="38"/>
      <c r="P35" s="38"/>
      <c r="Q35" s="38"/>
      <c r="R35" s="38"/>
      <c r="S35" s="7">
        <f t="shared" si="3"/>
        <v>0</v>
      </c>
      <c r="T35" s="7">
        <v>100000</v>
      </c>
      <c r="U35" s="7">
        <f t="shared" si="5"/>
        <v>0</v>
      </c>
      <c r="V35" s="4"/>
      <c r="Y35" s="4"/>
      <c r="Z35" s="44" t="s">
        <v>55</v>
      </c>
    </row>
    <row r="36" spans="2:26" ht="18.75" hidden="1">
      <c r="B36" s="75"/>
      <c r="C36" s="60"/>
      <c r="D36" s="52"/>
      <c r="E36" s="63"/>
      <c r="F36" s="8">
        <v>1</v>
      </c>
      <c r="G36" s="67"/>
      <c r="H36" s="68"/>
      <c r="I36" s="35"/>
      <c r="J36" s="9" t="str">
        <f t="shared" si="2"/>
        <v/>
      </c>
      <c r="K36" s="39"/>
      <c r="L36" s="39"/>
      <c r="M36" s="39"/>
      <c r="N36" s="39"/>
      <c r="O36" s="39"/>
      <c r="P36" s="39"/>
      <c r="Q36" s="39"/>
      <c r="R36" s="39"/>
      <c r="S36" s="10">
        <f t="shared" si="3"/>
        <v>0</v>
      </c>
      <c r="T36" s="10">
        <v>100000</v>
      </c>
      <c r="U36" s="10">
        <f t="shared" si="5"/>
        <v>0</v>
      </c>
      <c r="V36" s="4"/>
      <c r="Y36" s="4"/>
      <c r="Z36" s="44" t="s">
        <v>56</v>
      </c>
    </row>
    <row r="37" spans="2:26" ht="18.75" hidden="1">
      <c r="B37" s="75"/>
      <c r="C37" s="60"/>
      <c r="D37" s="52"/>
      <c r="E37" s="63"/>
      <c r="F37" s="8">
        <v>8.3333333333333329E-2</v>
      </c>
      <c r="G37" s="67"/>
      <c r="H37" s="68"/>
      <c r="I37" s="35"/>
      <c r="J37" s="9" t="str">
        <f t="shared" si="2"/>
        <v/>
      </c>
      <c r="K37" s="39"/>
      <c r="L37" s="39"/>
      <c r="M37" s="39"/>
      <c r="N37" s="39"/>
      <c r="O37" s="39"/>
      <c r="P37" s="39"/>
      <c r="Q37" s="39"/>
      <c r="R37" s="39"/>
      <c r="S37" s="10">
        <f t="shared" si="3"/>
        <v>0</v>
      </c>
      <c r="T37" s="10">
        <v>100000</v>
      </c>
      <c r="U37" s="10">
        <f t="shared" si="5"/>
        <v>0</v>
      </c>
      <c r="V37" s="4"/>
      <c r="Y37" s="4"/>
      <c r="Z37" s="44" t="s">
        <v>38</v>
      </c>
    </row>
    <row r="38" spans="2:26" ht="18.75" hidden="1">
      <c r="B38" s="75"/>
      <c r="C38" s="60"/>
      <c r="D38" s="52"/>
      <c r="E38" s="63"/>
      <c r="F38" s="8">
        <v>0.16666666666666666</v>
      </c>
      <c r="G38" s="67"/>
      <c r="H38" s="68"/>
      <c r="I38" s="35"/>
      <c r="J38" s="9" t="str">
        <f t="shared" si="2"/>
        <v/>
      </c>
      <c r="K38" s="39"/>
      <c r="L38" s="39"/>
      <c r="M38" s="39"/>
      <c r="N38" s="39"/>
      <c r="O38" s="39"/>
      <c r="P38" s="39"/>
      <c r="Q38" s="39"/>
      <c r="R38" s="39"/>
      <c r="S38" s="10">
        <f t="shared" si="3"/>
        <v>0</v>
      </c>
      <c r="T38" s="10">
        <v>100000</v>
      </c>
      <c r="U38" s="10">
        <f t="shared" si="5"/>
        <v>0</v>
      </c>
      <c r="V38" s="4"/>
      <c r="W38" s="4"/>
      <c r="X38" s="4"/>
      <c r="Y38" s="4"/>
      <c r="Z38" s="44" t="s">
        <v>39</v>
      </c>
    </row>
    <row r="39" spans="2:26" ht="18.75" hidden="1">
      <c r="B39" s="75"/>
      <c r="C39" s="60"/>
      <c r="D39" s="52"/>
      <c r="E39" s="63"/>
      <c r="F39" s="8">
        <v>0.25</v>
      </c>
      <c r="G39" s="67"/>
      <c r="H39" s="68"/>
      <c r="I39" s="35"/>
      <c r="J39" s="9" t="str">
        <f t="shared" si="2"/>
        <v/>
      </c>
      <c r="K39" s="39"/>
      <c r="L39" s="39"/>
      <c r="M39" s="39"/>
      <c r="N39" s="39"/>
      <c r="O39" s="39"/>
      <c r="P39" s="39"/>
      <c r="Q39" s="39"/>
      <c r="R39" s="39"/>
      <c r="S39" s="10">
        <f t="shared" si="3"/>
        <v>0</v>
      </c>
      <c r="T39" s="10">
        <v>100000</v>
      </c>
      <c r="U39" s="10">
        <f t="shared" si="5"/>
        <v>0</v>
      </c>
      <c r="V39" s="4"/>
      <c r="Y39" s="4"/>
      <c r="Z39" s="44" t="s">
        <v>57</v>
      </c>
    </row>
    <row r="40" spans="2:26" ht="18.75" hidden="1">
      <c r="B40" s="90"/>
      <c r="C40" s="60"/>
      <c r="D40" s="53"/>
      <c r="E40" s="64"/>
      <c r="F40" s="12">
        <v>0.33333333333333331</v>
      </c>
      <c r="G40" s="67"/>
      <c r="H40" s="68"/>
      <c r="I40" s="36"/>
      <c r="J40" s="9" t="str">
        <f t="shared" si="2"/>
        <v/>
      </c>
      <c r="K40" s="41"/>
      <c r="L40" s="41"/>
      <c r="M40" s="41"/>
      <c r="N40" s="41"/>
      <c r="O40" s="41"/>
      <c r="P40" s="41"/>
      <c r="Q40" s="41"/>
      <c r="R40" s="41"/>
      <c r="S40" s="13">
        <f t="shared" si="3"/>
        <v>0</v>
      </c>
      <c r="T40" s="13">
        <v>100000</v>
      </c>
      <c r="U40" s="13">
        <f t="shared" si="5"/>
        <v>0</v>
      </c>
      <c r="V40" s="4"/>
      <c r="W40" s="4"/>
      <c r="X40" s="4"/>
      <c r="Y40" s="4"/>
      <c r="Z40" s="44" t="s">
        <v>58</v>
      </c>
    </row>
    <row r="41" spans="2:26" ht="37.5" hidden="1">
      <c r="B41" s="75">
        <v>46084</v>
      </c>
      <c r="C41" s="59" t="s">
        <v>17</v>
      </c>
      <c r="D41" s="51" t="s">
        <v>42</v>
      </c>
      <c r="E41" s="62" t="s">
        <v>101</v>
      </c>
      <c r="F41" s="5">
        <v>0.41666666666666669</v>
      </c>
      <c r="G41" s="65" t="s">
        <v>80</v>
      </c>
      <c r="H41" s="66"/>
      <c r="I41" s="34">
        <v>80</v>
      </c>
      <c r="J41" s="6">
        <f t="shared" si="2"/>
        <v>0</v>
      </c>
      <c r="K41" s="38"/>
      <c r="L41" s="38"/>
      <c r="M41" s="38"/>
      <c r="N41" s="38"/>
      <c r="O41" s="38"/>
      <c r="P41" s="38"/>
      <c r="Q41" s="38"/>
      <c r="R41" s="38"/>
      <c r="S41" s="7">
        <f>SUM(K41:R41)</f>
        <v>0</v>
      </c>
      <c r="T41" s="7">
        <v>100000</v>
      </c>
      <c r="U41" s="7">
        <f>T41*S41</f>
        <v>0</v>
      </c>
      <c r="V41" s="4"/>
      <c r="W41" s="4"/>
      <c r="X41" s="4"/>
      <c r="Y41" s="4"/>
      <c r="Z41" s="44" t="s">
        <v>59</v>
      </c>
    </row>
    <row r="42" spans="2:26" ht="37.5" hidden="1">
      <c r="B42" s="75"/>
      <c r="C42" s="60"/>
      <c r="D42" s="52" t="s">
        <v>42</v>
      </c>
      <c r="E42" s="63"/>
      <c r="F42" s="8">
        <v>0.5</v>
      </c>
      <c r="G42" s="67" t="s">
        <v>80</v>
      </c>
      <c r="H42" s="68"/>
      <c r="I42" s="35">
        <v>80</v>
      </c>
      <c r="J42" s="9">
        <f t="shared" si="2"/>
        <v>0</v>
      </c>
      <c r="K42" s="39"/>
      <c r="L42" s="39"/>
      <c r="M42" s="39"/>
      <c r="N42" s="39"/>
      <c r="O42" s="39"/>
      <c r="P42" s="39"/>
      <c r="Q42" s="39"/>
      <c r="R42" s="39"/>
      <c r="S42" s="10">
        <f t="shared" ref="S42:S52" si="6">SUM(K42:R42)</f>
        <v>0</v>
      </c>
      <c r="T42" s="10">
        <v>100000</v>
      </c>
      <c r="U42" s="10">
        <f t="shared" ref="U42:U43" si="7">T42*S42</f>
        <v>0</v>
      </c>
      <c r="V42" s="4"/>
      <c r="W42" s="4"/>
      <c r="X42" s="4"/>
      <c r="Y42" s="4"/>
      <c r="Z42" s="44" t="s">
        <v>60</v>
      </c>
    </row>
    <row r="43" spans="2:26" ht="37.5" hidden="1">
      <c r="B43" s="75"/>
      <c r="C43" s="60"/>
      <c r="D43" s="52" t="s">
        <v>42</v>
      </c>
      <c r="E43" s="63"/>
      <c r="F43" s="8">
        <v>0.58333333333333337</v>
      </c>
      <c r="G43" s="67" t="s">
        <v>80</v>
      </c>
      <c r="H43" s="68"/>
      <c r="I43" s="35">
        <v>49</v>
      </c>
      <c r="J43" s="9">
        <f t="shared" si="2"/>
        <v>0</v>
      </c>
      <c r="K43" s="39"/>
      <c r="L43" s="39"/>
      <c r="M43" s="39"/>
      <c r="N43" s="39"/>
      <c r="O43" s="39"/>
      <c r="P43" s="39"/>
      <c r="Q43" s="39"/>
      <c r="R43" s="39"/>
      <c r="S43" s="10">
        <f t="shared" si="6"/>
        <v>0</v>
      </c>
      <c r="T43" s="10">
        <v>100000</v>
      </c>
      <c r="U43" s="10">
        <f t="shared" si="7"/>
        <v>0</v>
      </c>
      <c r="V43" s="4"/>
      <c r="W43" s="4"/>
      <c r="X43" s="4"/>
      <c r="Y43" s="4"/>
      <c r="Z43" s="44" t="s">
        <v>42</v>
      </c>
    </row>
    <row r="44" spans="2:26" ht="18.75" hidden="1">
      <c r="B44" s="75"/>
      <c r="C44" s="60"/>
      <c r="D44" s="52"/>
      <c r="E44" s="63"/>
      <c r="F44" s="8">
        <v>0.66666666666666663</v>
      </c>
      <c r="G44" s="67"/>
      <c r="H44" s="68"/>
      <c r="I44" s="35"/>
      <c r="J44" s="9" t="str">
        <f t="shared" si="2"/>
        <v/>
      </c>
      <c r="K44" s="39"/>
      <c r="L44" s="39"/>
      <c r="M44" s="39"/>
      <c r="N44" s="39"/>
      <c r="O44" s="39"/>
      <c r="P44" s="39"/>
      <c r="Q44" s="39"/>
      <c r="R44" s="39"/>
      <c r="S44" s="10">
        <f t="shared" si="6"/>
        <v>0</v>
      </c>
      <c r="T44" s="10">
        <v>100000</v>
      </c>
      <c r="U44" s="10">
        <f>T44*S44</f>
        <v>0</v>
      </c>
      <c r="V44" s="4"/>
      <c r="W44" s="4"/>
      <c r="X44" s="4"/>
      <c r="Y44" s="4"/>
      <c r="Z44" s="44" t="s">
        <v>43</v>
      </c>
    </row>
    <row r="45" spans="2:26" ht="18.75" hidden="1">
      <c r="B45" s="75"/>
      <c r="C45" s="60"/>
      <c r="D45" s="52"/>
      <c r="E45" s="63"/>
      <c r="F45" s="8">
        <v>0.75</v>
      </c>
      <c r="G45" s="67"/>
      <c r="H45" s="68"/>
      <c r="I45" s="35"/>
      <c r="J45" s="9" t="str">
        <f t="shared" si="2"/>
        <v/>
      </c>
      <c r="K45" s="39"/>
      <c r="L45" s="39"/>
      <c r="M45" s="39"/>
      <c r="N45" s="39"/>
      <c r="O45" s="39"/>
      <c r="P45" s="39"/>
      <c r="Q45" s="39"/>
      <c r="R45" s="39"/>
      <c r="S45" s="10">
        <f t="shared" si="6"/>
        <v>0</v>
      </c>
      <c r="T45" s="10">
        <v>100000</v>
      </c>
      <c r="U45" s="10">
        <f t="shared" ref="U45:U52" si="8">T45*S45</f>
        <v>0</v>
      </c>
      <c r="V45" s="4"/>
      <c r="W45" s="4"/>
      <c r="X45" s="11"/>
      <c r="Y45" s="4"/>
      <c r="Z45" s="45"/>
    </row>
    <row r="46" spans="2:26" ht="18.75" hidden="1">
      <c r="B46" s="75"/>
      <c r="C46" s="60"/>
      <c r="D46" s="53"/>
      <c r="E46" s="64"/>
      <c r="F46" s="12">
        <v>0.83333333333333337</v>
      </c>
      <c r="G46" s="67"/>
      <c r="H46" s="68"/>
      <c r="I46" s="36"/>
      <c r="J46" s="9" t="str">
        <f t="shared" si="2"/>
        <v/>
      </c>
      <c r="K46" s="41"/>
      <c r="L46" s="41"/>
      <c r="M46" s="41"/>
      <c r="N46" s="41"/>
      <c r="O46" s="41"/>
      <c r="P46" s="41"/>
      <c r="Q46" s="41"/>
      <c r="R46" s="41"/>
      <c r="S46" s="13">
        <f t="shared" si="6"/>
        <v>0</v>
      </c>
      <c r="T46" s="13">
        <v>100000</v>
      </c>
      <c r="U46" s="13">
        <f t="shared" si="8"/>
        <v>0</v>
      </c>
      <c r="V46" s="4"/>
      <c r="Y46" s="4"/>
      <c r="Z46" s="45"/>
    </row>
    <row r="47" spans="2:26" ht="18.75" hidden="1">
      <c r="B47" s="75"/>
      <c r="C47" s="60"/>
      <c r="D47" s="51"/>
      <c r="E47" s="62" t="s">
        <v>102</v>
      </c>
      <c r="F47" s="5">
        <v>0.91666666666666663</v>
      </c>
      <c r="G47" s="65"/>
      <c r="H47" s="66"/>
      <c r="I47" s="34"/>
      <c r="J47" s="6" t="str">
        <f t="shared" si="2"/>
        <v/>
      </c>
      <c r="K47" s="38"/>
      <c r="L47" s="38"/>
      <c r="M47" s="38"/>
      <c r="N47" s="38"/>
      <c r="O47" s="38"/>
      <c r="P47" s="38"/>
      <c r="Q47" s="38"/>
      <c r="R47" s="38"/>
      <c r="S47" s="7">
        <f t="shared" si="6"/>
        <v>0</v>
      </c>
      <c r="T47" s="7">
        <v>100000</v>
      </c>
      <c r="U47" s="7">
        <f t="shared" si="8"/>
        <v>0</v>
      </c>
      <c r="V47" s="4"/>
      <c r="Y47" s="4"/>
      <c r="Z47" s="45"/>
    </row>
    <row r="48" spans="2:26" ht="18.75" hidden="1">
      <c r="B48" s="75"/>
      <c r="C48" s="60"/>
      <c r="D48" s="52"/>
      <c r="E48" s="63"/>
      <c r="F48" s="8">
        <v>1</v>
      </c>
      <c r="G48" s="67"/>
      <c r="H48" s="68"/>
      <c r="I48" s="35"/>
      <c r="J48" s="9" t="str">
        <f t="shared" si="2"/>
        <v/>
      </c>
      <c r="K48" s="39"/>
      <c r="L48" s="39"/>
      <c r="M48" s="39"/>
      <c r="N48" s="39"/>
      <c r="O48" s="39"/>
      <c r="P48" s="39"/>
      <c r="Q48" s="39"/>
      <c r="R48" s="39"/>
      <c r="S48" s="10">
        <f t="shared" si="6"/>
        <v>0</v>
      </c>
      <c r="T48" s="10">
        <v>100000</v>
      </c>
      <c r="U48" s="10">
        <f t="shared" si="8"/>
        <v>0</v>
      </c>
      <c r="V48" s="4"/>
      <c r="Y48" s="4"/>
      <c r="Z48" s="45"/>
    </row>
    <row r="49" spans="2:26" ht="18.75" hidden="1">
      <c r="B49" s="75"/>
      <c r="C49" s="60"/>
      <c r="D49" s="52"/>
      <c r="E49" s="63"/>
      <c r="F49" s="8">
        <v>8.3333333333333329E-2</v>
      </c>
      <c r="G49" s="67"/>
      <c r="H49" s="68"/>
      <c r="I49" s="35"/>
      <c r="J49" s="9" t="str">
        <f t="shared" si="2"/>
        <v/>
      </c>
      <c r="K49" s="39"/>
      <c r="L49" s="39"/>
      <c r="M49" s="39"/>
      <c r="N49" s="39"/>
      <c r="O49" s="39"/>
      <c r="P49" s="39"/>
      <c r="Q49" s="39"/>
      <c r="R49" s="39"/>
      <c r="S49" s="10">
        <f t="shared" si="6"/>
        <v>0</v>
      </c>
      <c r="T49" s="10">
        <v>100000</v>
      </c>
      <c r="U49" s="10">
        <f t="shared" si="8"/>
        <v>0</v>
      </c>
      <c r="V49" s="4"/>
      <c r="Y49" s="4"/>
      <c r="Z49" s="45"/>
    </row>
    <row r="50" spans="2:26" ht="18.75" hidden="1">
      <c r="B50" s="75"/>
      <c r="C50" s="60"/>
      <c r="D50" s="52"/>
      <c r="E50" s="63"/>
      <c r="F50" s="8">
        <v>0.16666666666666666</v>
      </c>
      <c r="G50" s="67"/>
      <c r="H50" s="68"/>
      <c r="I50" s="35"/>
      <c r="J50" s="9" t="str">
        <f t="shared" si="2"/>
        <v/>
      </c>
      <c r="K50" s="39"/>
      <c r="L50" s="39"/>
      <c r="M50" s="39"/>
      <c r="N50" s="39"/>
      <c r="O50" s="39"/>
      <c r="P50" s="39"/>
      <c r="Q50" s="39"/>
      <c r="R50" s="39"/>
      <c r="S50" s="10">
        <f t="shared" si="6"/>
        <v>0</v>
      </c>
      <c r="T50" s="10">
        <v>100000</v>
      </c>
      <c r="U50" s="10">
        <f t="shared" si="8"/>
        <v>0</v>
      </c>
      <c r="V50" s="4"/>
      <c r="W50" s="4"/>
      <c r="X50" s="4"/>
      <c r="Y50" s="4"/>
      <c r="Z50" s="45"/>
    </row>
    <row r="51" spans="2:26" ht="18.75" hidden="1">
      <c r="B51" s="75"/>
      <c r="C51" s="60"/>
      <c r="D51" s="52"/>
      <c r="E51" s="63"/>
      <c r="F51" s="8">
        <v>0.25</v>
      </c>
      <c r="G51" s="67"/>
      <c r="H51" s="68"/>
      <c r="I51" s="35"/>
      <c r="J51" s="9" t="str">
        <f t="shared" si="2"/>
        <v/>
      </c>
      <c r="K51" s="39"/>
      <c r="L51" s="39"/>
      <c r="M51" s="39"/>
      <c r="N51" s="39"/>
      <c r="O51" s="39"/>
      <c r="P51" s="39"/>
      <c r="Q51" s="39"/>
      <c r="R51" s="39"/>
      <c r="S51" s="10">
        <f t="shared" si="6"/>
        <v>0</v>
      </c>
      <c r="T51" s="10">
        <v>100000</v>
      </c>
      <c r="U51" s="10">
        <f t="shared" si="8"/>
        <v>0</v>
      </c>
      <c r="V51" s="4"/>
      <c r="Y51" s="4"/>
      <c r="Z51" s="45"/>
    </row>
    <row r="52" spans="2:26" ht="18.75" hidden="1">
      <c r="B52" s="75"/>
      <c r="C52" s="60"/>
      <c r="D52" s="53"/>
      <c r="E52" s="64"/>
      <c r="F52" s="12">
        <v>0.33333333333333331</v>
      </c>
      <c r="G52" s="67"/>
      <c r="H52" s="68"/>
      <c r="I52" s="36"/>
      <c r="J52" s="9" t="str">
        <f t="shared" si="2"/>
        <v/>
      </c>
      <c r="K52" s="41"/>
      <c r="L52" s="41"/>
      <c r="M52" s="41"/>
      <c r="N52" s="41"/>
      <c r="O52" s="41"/>
      <c r="P52" s="41"/>
      <c r="Q52" s="41"/>
      <c r="R52" s="41"/>
      <c r="S52" s="13">
        <f t="shared" si="6"/>
        <v>0</v>
      </c>
      <c r="T52" s="13">
        <v>100000</v>
      </c>
      <c r="U52" s="13">
        <f t="shared" si="8"/>
        <v>0</v>
      </c>
      <c r="V52" s="4"/>
      <c r="W52" s="4"/>
      <c r="X52" s="4"/>
      <c r="Y52" s="4"/>
      <c r="Z52" s="45"/>
    </row>
    <row r="53" spans="2:26" ht="33" hidden="1" customHeight="1">
      <c r="B53" s="58">
        <v>46085</v>
      </c>
      <c r="C53" s="59" t="s">
        <v>17</v>
      </c>
      <c r="D53" s="51" t="s">
        <v>42</v>
      </c>
      <c r="E53" s="62" t="s">
        <v>101</v>
      </c>
      <c r="F53" s="5">
        <v>0.41666666666666669</v>
      </c>
      <c r="G53" s="65" t="s">
        <v>80</v>
      </c>
      <c r="H53" s="66"/>
      <c r="I53" s="34">
        <v>15</v>
      </c>
      <c r="J53" s="6">
        <f t="shared" si="2"/>
        <v>0.46666666666666667</v>
      </c>
      <c r="K53" s="38"/>
      <c r="L53" s="38"/>
      <c r="M53" s="38">
        <v>2</v>
      </c>
      <c r="N53" s="38"/>
      <c r="O53" s="38"/>
      <c r="P53" s="38"/>
      <c r="Q53" s="38">
        <v>5</v>
      </c>
      <c r="R53" s="38"/>
      <c r="S53" s="7">
        <f>SUM(K53:R53)</f>
        <v>7</v>
      </c>
      <c r="T53" s="7">
        <v>100000</v>
      </c>
      <c r="U53" s="7">
        <f>T53*S53</f>
        <v>700000</v>
      </c>
      <c r="V53" s="4"/>
      <c r="W53" s="4"/>
      <c r="X53" s="4"/>
      <c r="Y53" s="4"/>
      <c r="Z53" s="45"/>
    </row>
    <row r="54" spans="2:26" ht="37.5" hidden="1">
      <c r="B54" s="58"/>
      <c r="C54" s="60"/>
      <c r="D54" s="52" t="s">
        <v>42</v>
      </c>
      <c r="E54" s="63"/>
      <c r="F54" s="8">
        <v>0.5</v>
      </c>
      <c r="G54" s="67" t="s">
        <v>80</v>
      </c>
      <c r="H54" s="68"/>
      <c r="I54" s="35">
        <v>30</v>
      </c>
      <c r="J54" s="9">
        <f t="shared" si="2"/>
        <v>0.1</v>
      </c>
      <c r="K54" s="39"/>
      <c r="L54" s="39"/>
      <c r="M54" s="39">
        <v>3</v>
      </c>
      <c r="N54" s="39"/>
      <c r="O54" s="39"/>
      <c r="P54" s="39"/>
      <c r="Q54" s="39"/>
      <c r="R54" s="39"/>
      <c r="S54" s="10">
        <f t="shared" ref="S54:S64" si="9">SUM(K54:R54)</f>
        <v>3</v>
      </c>
      <c r="T54" s="10">
        <v>100000</v>
      </c>
      <c r="U54" s="10">
        <f t="shared" ref="U54:U55" si="10">T54*S54</f>
        <v>300000</v>
      </c>
      <c r="V54" s="4"/>
      <c r="W54" s="4"/>
      <c r="X54" s="4"/>
      <c r="Y54" s="4"/>
      <c r="Z54" s="45"/>
    </row>
    <row r="55" spans="2:26" ht="37.5" hidden="1">
      <c r="B55" s="58"/>
      <c r="C55" s="60"/>
      <c r="D55" s="52" t="s">
        <v>42</v>
      </c>
      <c r="E55" s="63"/>
      <c r="F55" s="8">
        <v>0.58333333333333337</v>
      </c>
      <c r="G55" s="67" t="s">
        <v>80</v>
      </c>
      <c r="H55" s="68"/>
      <c r="I55" s="35">
        <v>65</v>
      </c>
      <c r="J55" s="9">
        <f t="shared" si="2"/>
        <v>7.6923076923076927E-2</v>
      </c>
      <c r="K55" s="39"/>
      <c r="L55" s="39"/>
      <c r="M55" s="39"/>
      <c r="N55" s="39"/>
      <c r="O55" s="39"/>
      <c r="P55" s="39"/>
      <c r="Q55" s="39"/>
      <c r="R55" s="39">
        <v>5</v>
      </c>
      <c r="S55" s="10">
        <f t="shared" si="9"/>
        <v>5</v>
      </c>
      <c r="T55" s="10">
        <v>100000</v>
      </c>
      <c r="U55" s="10">
        <f t="shared" si="10"/>
        <v>500000</v>
      </c>
      <c r="V55" s="4"/>
      <c r="W55" s="4"/>
      <c r="X55" s="4"/>
      <c r="Y55" s="4"/>
      <c r="Z55" s="45"/>
    </row>
    <row r="56" spans="2:26" ht="37.5" hidden="1">
      <c r="B56" s="58"/>
      <c r="C56" s="60"/>
      <c r="D56" s="52" t="s">
        <v>42</v>
      </c>
      <c r="E56" s="63"/>
      <c r="F56" s="8">
        <v>0.66666666666666663</v>
      </c>
      <c r="G56" s="67" t="s">
        <v>80</v>
      </c>
      <c r="H56" s="68"/>
      <c r="I56" s="35">
        <v>70</v>
      </c>
      <c r="J56" s="9">
        <f t="shared" si="2"/>
        <v>2.8571428571428571E-2</v>
      </c>
      <c r="K56" s="39"/>
      <c r="L56" s="39"/>
      <c r="M56" s="39"/>
      <c r="N56" s="39"/>
      <c r="O56" s="39"/>
      <c r="P56" s="39"/>
      <c r="Q56" s="39"/>
      <c r="R56" s="39">
        <v>2</v>
      </c>
      <c r="S56" s="10">
        <f t="shared" si="9"/>
        <v>2</v>
      </c>
      <c r="T56" s="10">
        <v>100000</v>
      </c>
      <c r="U56" s="10">
        <f>T56*S56</f>
        <v>200000</v>
      </c>
      <c r="V56" s="4"/>
      <c r="W56" s="4"/>
      <c r="X56" s="4"/>
      <c r="Y56" s="4"/>
      <c r="Z56" s="45"/>
    </row>
    <row r="57" spans="2:26" ht="37.5" hidden="1">
      <c r="B57" s="58"/>
      <c r="C57" s="60"/>
      <c r="D57" s="52" t="s">
        <v>42</v>
      </c>
      <c r="E57" s="63"/>
      <c r="F57" s="8">
        <v>0.75</v>
      </c>
      <c r="G57" s="67" t="s">
        <v>80</v>
      </c>
      <c r="H57" s="68"/>
      <c r="I57" s="35">
        <v>13</v>
      </c>
      <c r="J57" s="9">
        <f t="shared" si="2"/>
        <v>0.30769230769230771</v>
      </c>
      <c r="K57" s="39"/>
      <c r="L57" s="39"/>
      <c r="M57" s="39">
        <v>4</v>
      </c>
      <c r="N57" s="39"/>
      <c r="O57" s="39"/>
      <c r="P57" s="39"/>
      <c r="Q57" s="39"/>
      <c r="R57" s="39"/>
      <c r="S57" s="10">
        <f t="shared" si="9"/>
        <v>4</v>
      </c>
      <c r="T57" s="10">
        <v>100000</v>
      </c>
      <c r="U57" s="10">
        <f t="shared" ref="U57:U64" si="11">T57*S57</f>
        <v>400000</v>
      </c>
      <c r="V57" s="4"/>
      <c r="W57" s="4"/>
      <c r="X57" s="11"/>
      <c r="Y57" s="4"/>
      <c r="Z57" s="45"/>
    </row>
    <row r="58" spans="2:26" ht="37.5" hidden="1">
      <c r="B58" s="58"/>
      <c r="C58" s="60"/>
      <c r="D58" s="53" t="s">
        <v>42</v>
      </c>
      <c r="E58" s="64"/>
      <c r="F58" s="12">
        <v>0.83333333333333337</v>
      </c>
      <c r="G58" s="67" t="s">
        <v>80</v>
      </c>
      <c r="H58" s="68"/>
      <c r="I58" s="36">
        <v>34</v>
      </c>
      <c r="J58" s="9">
        <f t="shared" si="2"/>
        <v>0.11764705882352941</v>
      </c>
      <c r="K58" s="41"/>
      <c r="L58" s="41"/>
      <c r="M58" s="41">
        <v>4</v>
      </c>
      <c r="N58" s="41"/>
      <c r="O58" s="41"/>
      <c r="P58" s="41"/>
      <c r="Q58" s="41"/>
      <c r="R58" s="41"/>
      <c r="S58" s="13">
        <f t="shared" si="9"/>
        <v>4</v>
      </c>
      <c r="T58" s="13">
        <v>100000</v>
      </c>
      <c r="U58" s="13">
        <f t="shared" si="11"/>
        <v>400000</v>
      </c>
      <c r="V58" s="4"/>
      <c r="Y58" s="4"/>
      <c r="Z58" s="45"/>
    </row>
    <row r="59" spans="2:26" ht="37.5" hidden="1">
      <c r="B59" s="58"/>
      <c r="C59" s="60"/>
      <c r="D59" s="51" t="s">
        <v>42</v>
      </c>
      <c r="E59" s="62" t="s">
        <v>102</v>
      </c>
      <c r="F59" s="5">
        <v>0.91666666666666663</v>
      </c>
      <c r="G59" s="65" t="s">
        <v>84</v>
      </c>
      <c r="H59" s="66"/>
      <c r="I59" s="34">
        <v>70</v>
      </c>
      <c r="J59" s="6">
        <f t="shared" si="2"/>
        <v>5.7142857142857141E-2</v>
      </c>
      <c r="K59" s="38"/>
      <c r="L59" s="38"/>
      <c r="M59" s="38">
        <v>1</v>
      </c>
      <c r="N59" s="38"/>
      <c r="O59" s="38"/>
      <c r="P59" s="38"/>
      <c r="Q59" s="38">
        <v>3</v>
      </c>
      <c r="R59" s="38"/>
      <c r="S59" s="7">
        <f t="shared" si="9"/>
        <v>4</v>
      </c>
      <c r="T59" s="7">
        <v>100000</v>
      </c>
      <c r="U59" s="7">
        <f t="shared" si="11"/>
        <v>400000</v>
      </c>
      <c r="V59" s="4"/>
      <c r="Y59" s="4"/>
      <c r="Z59" s="45"/>
    </row>
    <row r="60" spans="2:26" ht="37.5" hidden="1">
      <c r="B60" s="58"/>
      <c r="C60" s="60"/>
      <c r="D60" s="52" t="s">
        <v>42</v>
      </c>
      <c r="E60" s="63"/>
      <c r="F60" s="8">
        <v>1</v>
      </c>
      <c r="G60" s="67" t="s">
        <v>84</v>
      </c>
      <c r="H60" s="68"/>
      <c r="I60" s="35">
        <v>32</v>
      </c>
      <c r="J60" s="9">
        <f t="shared" si="2"/>
        <v>3.125E-2</v>
      </c>
      <c r="K60" s="39"/>
      <c r="L60" s="39"/>
      <c r="M60" s="39">
        <v>1</v>
      </c>
      <c r="N60" s="39"/>
      <c r="O60" s="39"/>
      <c r="P60" s="39"/>
      <c r="Q60" s="39"/>
      <c r="R60" s="39"/>
      <c r="S60" s="10">
        <f t="shared" si="9"/>
        <v>1</v>
      </c>
      <c r="T60" s="10">
        <v>100000</v>
      </c>
      <c r="U60" s="10">
        <f t="shared" si="11"/>
        <v>100000</v>
      </c>
      <c r="V60" s="4"/>
      <c r="Y60" s="4"/>
      <c r="Z60" s="45"/>
    </row>
    <row r="61" spans="2:26" ht="37.5" hidden="1">
      <c r="B61" s="58"/>
      <c r="C61" s="60"/>
      <c r="D61" s="52" t="s">
        <v>42</v>
      </c>
      <c r="E61" s="63"/>
      <c r="F61" s="8">
        <v>8.3333333333333329E-2</v>
      </c>
      <c r="G61" s="67" t="s">
        <v>84</v>
      </c>
      <c r="H61" s="68"/>
      <c r="I61" s="35">
        <v>70</v>
      </c>
      <c r="J61" s="9">
        <f t="shared" si="2"/>
        <v>1.4285714285714285E-2</v>
      </c>
      <c r="K61" s="39"/>
      <c r="L61" s="39"/>
      <c r="M61" s="39">
        <v>1</v>
      </c>
      <c r="N61" s="39"/>
      <c r="O61" s="39"/>
      <c r="P61" s="39"/>
      <c r="Q61" s="39"/>
      <c r="R61" s="39"/>
      <c r="S61" s="10">
        <f t="shared" si="9"/>
        <v>1</v>
      </c>
      <c r="T61" s="10">
        <v>100000</v>
      </c>
      <c r="U61" s="10">
        <f t="shared" si="11"/>
        <v>100000</v>
      </c>
      <c r="V61" s="4"/>
      <c r="Y61" s="4"/>
      <c r="Z61" s="46"/>
    </row>
    <row r="62" spans="2:26" ht="37.5" hidden="1">
      <c r="B62" s="58"/>
      <c r="C62" s="60"/>
      <c r="D62" s="52" t="s">
        <v>42</v>
      </c>
      <c r="E62" s="63"/>
      <c r="F62" s="8">
        <v>0.16666666666666666</v>
      </c>
      <c r="G62" s="67" t="s">
        <v>84</v>
      </c>
      <c r="H62" s="68"/>
      <c r="I62" s="35">
        <v>70</v>
      </c>
      <c r="J62" s="9">
        <f t="shared" si="2"/>
        <v>1.4285714285714285E-2</v>
      </c>
      <c r="K62" s="39"/>
      <c r="L62" s="39"/>
      <c r="M62" s="39">
        <v>1</v>
      </c>
      <c r="N62" s="39"/>
      <c r="O62" s="39"/>
      <c r="P62" s="39"/>
      <c r="Q62" s="39"/>
      <c r="R62" s="39"/>
      <c r="S62" s="10">
        <f t="shared" si="9"/>
        <v>1</v>
      </c>
      <c r="T62" s="10">
        <v>100000</v>
      </c>
      <c r="U62" s="10">
        <f t="shared" si="11"/>
        <v>100000</v>
      </c>
      <c r="V62" s="4"/>
      <c r="W62" s="4"/>
      <c r="X62" s="4"/>
      <c r="Y62" s="4"/>
    </row>
    <row r="63" spans="2:26" ht="37.5" hidden="1">
      <c r="B63" s="58"/>
      <c r="C63" s="60"/>
      <c r="D63" s="52" t="s">
        <v>42</v>
      </c>
      <c r="E63" s="63"/>
      <c r="F63" s="8">
        <v>0.25</v>
      </c>
      <c r="G63" s="67" t="s">
        <v>84</v>
      </c>
      <c r="H63" s="68"/>
      <c r="I63" s="35">
        <v>30</v>
      </c>
      <c r="J63" s="9">
        <f t="shared" si="2"/>
        <v>3.3333333333333333E-2</v>
      </c>
      <c r="K63" s="39"/>
      <c r="L63" s="39"/>
      <c r="M63" s="39">
        <v>1</v>
      </c>
      <c r="N63" s="39"/>
      <c r="O63" s="39"/>
      <c r="P63" s="39"/>
      <c r="Q63" s="39"/>
      <c r="R63" s="39"/>
      <c r="S63" s="10">
        <f t="shared" si="9"/>
        <v>1</v>
      </c>
      <c r="T63" s="10">
        <v>100000</v>
      </c>
      <c r="U63" s="10">
        <f t="shared" si="11"/>
        <v>100000</v>
      </c>
      <c r="V63" s="4"/>
      <c r="Y63" s="4"/>
    </row>
    <row r="64" spans="2:26" ht="37.5" hidden="1">
      <c r="B64" s="58"/>
      <c r="C64" s="60"/>
      <c r="D64" s="53" t="s">
        <v>42</v>
      </c>
      <c r="E64" s="64"/>
      <c r="F64" s="14">
        <v>0.33333333333333331</v>
      </c>
      <c r="G64" s="67" t="s">
        <v>84</v>
      </c>
      <c r="H64" s="68"/>
      <c r="I64" s="37">
        <v>70</v>
      </c>
      <c r="J64" s="9">
        <f t="shared" si="2"/>
        <v>1.4285714285714285E-2</v>
      </c>
      <c r="K64" s="40"/>
      <c r="L64" s="40"/>
      <c r="M64" s="40">
        <v>1</v>
      </c>
      <c r="N64" s="40"/>
      <c r="O64" s="40"/>
      <c r="P64" s="40"/>
      <c r="Q64" s="40"/>
      <c r="R64" s="40"/>
      <c r="S64" s="16">
        <f t="shared" si="9"/>
        <v>1</v>
      </c>
      <c r="T64" s="16">
        <v>100000</v>
      </c>
      <c r="U64" s="16">
        <f t="shared" si="11"/>
        <v>100000</v>
      </c>
      <c r="V64" s="4"/>
      <c r="W64" s="4"/>
      <c r="X64" s="4"/>
      <c r="Y64" s="4"/>
    </row>
    <row r="65" spans="2:25" ht="42.75" hidden="1" customHeight="1">
      <c r="B65" s="58">
        <v>46086</v>
      </c>
      <c r="C65" s="59" t="s">
        <v>17</v>
      </c>
      <c r="D65" s="51" t="s">
        <v>43</v>
      </c>
      <c r="E65" s="62" t="s">
        <v>101</v>
      </c>
      <c r="F65" s="5">
        <v>0.41666666666666669</v>
      </c>
      <c r="G65" s="65" t="s">
        <v>98</v>
      </c>
      <c r="H65" s="66"/>
      <c r="I65" s="34"/>
      <c r="J65" s="6" t="str">
        <f t="shared" si="2"/>
        <v/>
      </c>
      <c r="K65" s="38"/>
      <c r="L65" s="38"/>
      <c r="M65" s="38"/>
      <c r="N65" s="38"/>
      <c r="O65" s="38"/>
      <c r="P65" s="38"/>
      <c r="Q65" s="38">
        <v>10</v>
      </c>
      <c r="R65" s="38"/>
      <c r="S65" s="7">
        <f>SUM(K65:R65)</f>
        <v>10</v>
      </c>
      <c r="T65" s="7">
        <v>100000</v>
      </c>
      <c r="U65" s="7">
        <f>T65*S65</f>
        <v>1000000</v>
      </c>
      <c r="V65" s="4"/>
      <c r="W65" s="4"/>
      <c r="X65" s="4"/>
      <c r="Y65" s="4"/>
    </row>
    <row r="66" spans="2:25" ht="37.5" hidden="1">
      <c r="B66" s="58"/>
      <c r="C66" s="60"/>
      <c r="D66" s="52" t="s">
        <v>43</v>
      </c>
      <c r="E66" s="63"/>
      <c r="F66" s="8">
        <v>0.5</v>
      </c>
      <c r="G66" s="67" t="s">
        <v>98</v>
      </c>
      <c r="H66" s="68"/>
      <c r="I66" s="35"/>
      <c r="J66" s="9" t="str">
        <f t="shared" si="2"/>
        <v/>
      </c>
      <c r="K66" s="39"/>
      <c r="L66" s="39"/>
      <c r="M66" s="39"/>
      <c r="N66" s="39"/>
      <c r="O66" s="39"/>
      <c r="P66" s="39"/>
      <c r="Q66" s="39"/>
      <c r="R66" s="39"/>
      <c r="S66" s="10">
        <f t="shared" ref="S66:S76" si="12">SUM(K66:R66)</f>
        <v>0</v>
      </c>
      <c r="T66" s="10">
        <v>100000</v>
      </c>
      <c r="U66" s="10">
        <f t="shared" ref="U66:U67" si="13">T66*S66</f>
        <v>0</v>
      </c>
      <c r="V66" s="4"/>
      <c r="W66" s="4"/>
      <c r="X66" s="4"/>
      <c r="Y66" s="4"/>
    </row>
    <row r="67" spans="2:25" ht="37.5" hidden="1">
      <c r="B67" s="58"/>
      <c r="C67" s="60"/>
      <c r="D67" s="52" t="s">
        <v>43</v>
      </c>
      <c r="E67" s="63"/>
      <c r="F67" s="8">
        <v>0.58333333333333337</v>
      </c>
      <c r="G67" s="67" t="s">
        <v>98</v>
      </c>
      <c r="H67" s="68"/>
      <c r="I67" s="35">
        <v>20</v>
      </c>
      <c r="J67" s="9">
        <f t="shared" si="2"/>
        <v>0.1</v>
      </c>
      <c r="K67" s="39"/>
      <c r="L67" s="39"/>
      <c r="M67" s="39"/>
      <c r="N67" s="39"/>
      <c r="O67" s="39"/>
      <c r="P67" s="39"/>
      <c r="Q67" s="39"/>
      <c r="R67" s="39">
        <v>2</v>
      </c>
      <c r="S67" s="10">
        <f t="shared" si="12"/>
        <v>2</v>
      </c>
      <c r="T67" s="10">
        <v>100000</v>
      </c>
      <c r="U67" s="10">
        <f t="shared" si="13"/>
        <v>200000</v>
      </c>
      <c r="V67" s="4"/>
      <c r="W67" s="4"/>
      <c r="X67" s="4"/>
      <c r="Y67" s="4"/>
    </row>
    <row r="68" spans="2:25" ht="37.5" hidden="1">
      <c r="B68" s="58"/>
      <c r="C68" s="60"/>
      <c r="D68" s="52" t="s">
        <v>43</v>
      </c>
      <c r="E68" s="63"/>
      <c r="F68" s="8">
        <v>0.66666666666666663</v>
      </c>
      <c r="G68" s="67" t="s">
        <v>98</v>
      </c>
      <c r="H68" s="68"/>
      <c r="I68" s="35">
        <v>48</v>
      </c>
      <c r="J68" s="9">
        <f t="shared" si="2"/>
        <v>2.0833333333333332E-2</v>
      </c>
      <c r="K68" s="39"/>
      <c r="L68" s="39"/>
      <c r="M68" s="39"/>
      <c r="N68" s="39"/>
      <c r="O68" s="39"/>
      <c r="P68" s="39"/>
      <c r="Q68" s="39"/>
      <c r="R68" s="39">
        <v>1</v>
      </c>
      <c r="S68" s="10">
        <f t="shared" si="12"/>
        <v>1</v>
      </c>
      <c r="T68" s="10">
        <v>100000</v>
      </c>
      <c r="U68" s="10">
        <f>T68*S68</f>
        <v>100000</v>
      </c>
      <c r="V68" s="4"/>
      <c r="W68" s="4"/>
      <c r="X68" s="4"/>
      <c r="Y68" s="4"/>
    </row>
    <row r="69" spans="2:25" ht="37.5" hidden="1">
      <c r="B69" s="58"/>
      <c r="C69" s="60"/>
      <c r="D69" s="52" t="s">
        <v>43</v>
      </c>
      <c r="E69" s="63"/>
      <c r="F69" s="8">
        <v>0.75</v>
      </c>
      <c r="G69" s="67" t="s">
        <v>98</v>
      </c>
      <c r="H69" s="68"/>
      <c r="I69" s="35">
        <v>8</v>
      </c>
      <c r="J69" s="9">
        <f t="shared" si="2"/>
        <v>0.625</v>
      </c>
      <c r="K69" s="39"/>
      <c r="L69" s="39"/>
      <c r="M69" s="39"/>
      <c r="N69" s="39"/>
      <c r="O69" s="39"/>
      <c r="P69" s="39"/>
      <c r="Q69" s="39"/>
      <c r="R69" s="39">
        <v>5</v>
      </c>
      <c r="S69" s="10">
        <f t="shared" si="12"/>
        <v>5</v>
      </c>
      <c r="T69" s="10">
        <v>100000</v>
      </c>
      <c r="U69" s="10">
        <f t="shared" ref="U69:U76" si="14">T69*S69</f>
        <v>500000</v>
      </c>
      <c r="V69" s="4"/>
      <c r="W69" s="4"/>
      <c r="X69" s="11"/>
      <c r="Y69" s="4"/>
    </row>
    <row r="70" spans="2:25" ht="37.5" hidden="1">
      <c r="B70" s="58"/>
      <c r="C70" s="60"/>
      <c r="D70" s="53" t="s">
        <v>43</v>
      </c>
      <c r="E70" s="64"/>
      <c r="F70" s="12">
        <v>0.83333333333333337</v>
      </c>
      <c r="G70" s="67" t="s">
        <v>98</v>
      </c>
      <c r="H70" s="68"/>
      <c r="I70" s="36"/>
      <c r="J70" s="9" t="str">
        <f t="shared" si="2"/>
        <v/>
      </c>
      <c r="K70" s="41"/>
      <c r="L70" s="41"/>
      <c r="M70" s="41"/>
      <c r="N70" s="41"/>
      <c r="O70" s="41"/>
      <c r="P70" s="41"/>
      <c r="Q70" s="41"/>
      <c r="R70" s="41"/>
      <c r="S70" s="13">
        <f t="shared" si="12"/>
        <v>0</v>
      </c>
      <c r="T70" s="13">
        <v>100000</v>
      </c>
      <c r="U70" s="13">
        <f t="shared" si="14"/>
        <v>0</v>
      </c>
      <c r="V70" s="4"/>
      <c r="Y70" s="4"/>
    </row>
    <row r="71" spans="2:25" ht="37.5" hidden="1">
      <c r="B71" s="58"/>
      <c r="C71" s="60"/>
      <c r="D71" s="51" t="s">
        <v>43</v>
      </c>
      <c r="E71" s="62" t="s">
        <v>102</v>
      </c>
      <c r="F71" s="5">
        <v>0.91666666666666663</v>
      </c>
      <c r="G71" s="65" t="s">
        <v>82</v>
      </c>
      <c r="H71" s="66"/>
      <c r="I71" s="34">
        <v>48</v>
      </c>
      <c r="J71" s="6">
        <f t="shared" si="2"/>
        <v>2.0833333333333332E-2</v>
      </c>
      <c r="K71" s="38">
        <v>1</v>
      </c>
      <c r="L71" s="38"/>
      <c r="M71" s="38"/>
      <c r="N71" s="38"/>
      <c r="O71" s="38"/>
      <c r="P71" s="38"/>
      <c r="Q71" s="38"/>
      <c r="R71" s="38"/>
      <c r="S71" s="7">
        <f t="shared" si="12"/>
        <v>1</v>
      </c>
      <c r="T71" s="7">
        <v>100000</v>
      </c>
      <c r="U71" s="7">
        <f t="shared" si="14"/>
        <v>100000</v>
      </c>
      <c r="V71" s="4"/>
      <c r="Y71" s="4"/>
    </row>
    <row r="72" spans="2:25" ht="37.5" hidden="1">
      <c r="B72" s="58"/>
      <c r="C72" s="60"/>
      <c r="D72" s="52" t="s">
        <v>43</v>
      </c>
      <c r="E72" s="63"/>
      <c r="F72" s="8">
        <v>1</v>
      </c>
      <c r="G72" s="67" t="s">
        <v>82</v>
      </c>
      <c r="H72" s="68"/>
      <c r="I72" s="35">
        <v>16</v>
      </c>
      <c r="J72" s="9">
        <f t="shared" si="2"/>
        <v>6.25E-2</v>
      </c>
      <c r="K72" s="39">
        <v>1</v>
      </c>
      <c r="L72" s="39"/>
      <c r="M72" s="39"/>
      <c r="N72" s="39"/>
      <c r="O72" s="39"/>
      <c r="P72" s="39"/>
      <c r="Q72" s="39"/>
      <c r="R72" s="39"/>
      <c r="S72" s="10">
        <f t="shared" si="12"/>
        <v>1</v>
      </c>
      <c r="T72" s="10">
        <v>100000</v>
      </c>
      <c r="U72" s="10">
        <f t="shared" si="14"/>
        <v>100000</v>
      </c>
      <c r="V72" s="4"/>
      <c r="Y72" s="4"/>
    </row>
    <row r="73" spans="2:25" ht="37.5" hidden="1">
      <c r="B73" s="58"/>
      <c r="C73" s="60"/>
      <c r="D73" s="52" t="s">
        <v>43</v>
      </c>
      <c r="E73" s="63"/>
      <c r="F73" s="8">
        <v>8.3333333333333329E-2</v>
      </c>
      <c r="G73" s="67" t="s">
        <v>82</v>
      </c>
      <c r="H73" s="68"/>
      <c r="I73" s="35">
        <v>48</v>
      </c>
      <c r="J73" s="9">
        <f t="shared" si="2"/>
        <v>2.0833333333333332E-2</v>
      </c>
      <c r="K73" s="39">
        <v>1</v>
      </c>
      <c r="L73" s="39"/>
      <c r="M73" s="39"/>
      <c r="N73" s="39"/>
      <c r="O73" s="39"/>
      <c r="P73" s="39"/>
      <c r="Q73" s="39"/>
      <c r="R73" s="39"/>
      <c r="S73" s="10">
        <f t="shared" si="12"/>
        <v>1</v>
      </c>
      <c r="T73" s="10">
        <v>100000</v>
      </c>
      <c r="U73" s="10">
        <f t="shared" si="14"/>
        <v>100000</v>
      </c>
      <c r="V73" s="4"/>
      <c r="Y73" s="4"/>
    </row>
    <row r="74" spans="2:25" ht="37.5" hidden="1">
      <c r="B74" s="58"/>
      <c r="C74" s="60"/>
      <c r="D74" s="52" t="s">
        <v>43</v>
      </c>
      <c r="E74" s="63"/>
      <c r="F74" s="8">
        <v>0.16666666666666666</v>
      </c>
      <c r="G74" s="67" t="s">
        <v>82</v>
      </c>
      <c r="H74" s="68"/>
      <c r="I74" s="35">
        <v>48</v>
      </c>
      <c r="J74" s="9">
        <f t="shared" si="2"/>
        <v>2.0833333333333332E-2</v>
      </c>
      <c r="K74" s="39">
        <v>1</v>
      </c>
      <c r="L74" s="39"/>
      <c r="M74" s="39"/>
      <c r="N74" s="39"/>
      <c r="O74" s="39"/>
      <c r="P74" s="39"/>
      <c r="Q74" s="39"/>
      <c r="R74" s="39"/>
      <c r="S74" s="10">
        <f t="shared" si="12"/>
        <v>1</v>
      </c>
      <c r="T74" s="10">
        <v>100000</v>
      </c>
      <c r="U74" s="10">
        <f t="shared" si="14"/>
        <v>100000</v>
      </c>
      <c r="V74" s="4"/>
      <c r="W74" s="4"/>
      <c r="X74" s="4"/>
      <c r="Y74" s="4"/>
    </row>
    <row r="75" spans="2:25" ht="37.5" hidden="1">
      <c r="B75" s="58"/>
      <c r="C75" s="60"/>
      <c r="D75" s="52" t="s">
        <v>43</v>
      </c>
      <c r="E75" s="63"/>
      <c r="F75" s="8">
        <v>0.25</v>
      </c>
      <c r="G75" s="67" t="s">
        <v>82</v>
      </c>
      <c r="H75" s="68"/>
      <c r="I75" s="35">
        <v>20</v>
      </c>
      <c r="J75" s="9">
        <f t="shared" si="2"/>
        <v>0.05</v>
      </c>
      <c r="K75" s="39">
        <v>1</v>
      </c>
      <c r="L75" s="39"/>
      <c r="M75" s="39"/>
      <c r="N75" s="39"/>
      <c r="O75" s="39"/>
      <c r="P75" s="39"/>
      <c r="Q75" s="39"/>
      <c r="R75" s="39"/>
      <c r="S75" s="10">
        <f t="shared" si="12"/>
        <v>1</v>
      </c>
      <c r="T75" s="10">
        <v>100000</v>
      </c>
      <c r="U75" s="10">
        <f t="shared" si="14"/>
        <v>100000</v>
      </c>
      <c r="V75" s="4"/>
      <c r="Y75" s="4"/>
    </row>
    <row r="76" spans="2:25" ht="37.5" hidden="1">
      <c r="B76" s="58"/>
      <c r="C76" s="60"/>
      <c r="D76" s="53" t="s">
        <v>43</v>
      </c>
      <c r="E76" s="64"/>
      <c r="F76" s="14">
        <v>0.33333333333333331</v>
      </c>
      <c r="G76" s="67" t="s">
        <v>82</v>
      </c>
      <c r="H76" s="68"/>
      <c r="I76" s="37">
        <v>48</v>
      </c>
      <c r="J76" s="9">
        <f t="shared" si="2"/>
        <v>2.0833333333333332E-2</v>
      </c>
      <c r="K76" s="40">
        <v>1</v>
      </c>
      <c r="L76" s="40"/>
      <c r="M76" s="40"/>
      <c r="N76" s="40"/>
      <c r="O76" s="40"/>
      <c r="P76" s="40"/>
      <c r="Q76" s="40"/>
      <c r="R76" s="40"/>
      <c r="S76" s="16">
        <f t="shared" si="12"/>
        <v>1</v>
      </c>
      <c r="T76" s="16">
        <v>100000</v>
      </c>
      <c r="U76" s="16">
        <f t="shared" si="14"/>
        <v>100000</v>
      </c>
      <c r="V76" s="4"/>
      <c r="W76" s="4"/>
      <c r="X76" s="4"/>
      <c r="Y76" s="4"/>
    </row>
    <row r="77" spans="2:25" ht="36" hidden="1" customHeight="1">
      <c r="B77" s="58">
        <v>46087</v>
      </c>
      <c r="C77" s="59" t="s">
        <v>17</v>
      </c>
      <c r="D77" s="51" t="s">
        <v>43</v>
      </c>
      <c r="E77" s="62" t="s">
        <v>101</v>
      </c>
      <c r="F77" s="5">
        <v>0.41666666666666669</v>
      </c>
      <c r="G77" s="65" t="s">
        <v>98</v>
      </c>
      <c r="H77" s="66"/>
      <c r="I77" s="34">
        <v>44</v>
      </c>
      <c r="J77" s="6">
        <f t="shared" si="2"/>
        <v>9.0909090909090912E-2</v>
      </c>
      <c r="K77" s="38"/>
      <c r="L77" s="38"/>
      <c r="M77" s="38"/>
      <c r="N77" s="38"/>
      <c r="O77" s="38"/>
      <c r="P77" s="38"/>
      <c r="Q77" s="38"/>
      <c r="R77" s="38">
        <v>4</v>
      </c>
      <c r="S77" s="7">
        <f>SUM(K77:R77)</f>
        <v>4</v>
      </c>
      <c r="T77" s="7">
        <v>100000</v>
      </c>
      <c r="U77" s="7">
        <f>T77*S77</f>
        <v>400000</v>
      </c>
      <c r="V77" s="4"/>
      <c r="W77" s="4"/>
      <c r="X77" s="4"/>
      <c r="Y77" s="4"/>
    </row>
    <row r="78" spans="2:25" ht="37.5" hidden="1">
      <c r="B78" s="58"/>
      <c r="C78" s="60"/>
      <c r="D78" s="52" t="s">
        <v>43</v>
      </c>
      <c r="E78" s="63"/>
      <c r="F78" s="8">
        <v>0.5</v>
      </c>
      <c r="G78" s="67" t="s">
        <v>98</v>
      </c>
      <c r="H78" s="68"/>
      <c r="I78" s="35">
        <v>58</v>
      </c>
      <c r="J78" s="9">
        <f t="shared" si="2"/>
        <v>1.7241379310344827E-2</v>
      </c>
      <c r="K78" s="39"/>
      <c r="L78" s="39"/>
      <c r="M78" s="39"/>
      <c r="N78" s="39"/>
      <c r="O78" s="39"/>
      <c r="P78" s="39"/>
      <c r="Q78" s="39"/>
      <c r="R78" s="39">
        <v>1</v>
      </c>
      <c r="S78" s="10">
        <f t="shared" ref="S78:S88" si="15">SUM(K78:R78)</f>
        <v>1</v>
      </c>
      <c r="T78" s="10">
        <v>100000</v>
      </c>
      <c r="U78" s="10">
        <f t="shared" ref="U78:U79" si="16">T78*S78</f>
        <v>100000</v>
      </c>
      <c r="V78" s="4"/>
      <c r="W78" s="4"/>
      <c r="X78" s="4"/>
      <c r="Y78" s="4"/>
    </row>
    <row r="79" spans="2:25" ht="37.5" hidden="1">
      <c r="B79" s="58"/>
      <c r="C79" s="60"/>
      <c r="D79" s="52" t="s">
        <v>43</v>
      </c>
      <c r="E79" s="63"/>
      <c r="F79" s="8">
        <v>0.58333333333333337</v>
      </c>
      <c r="G79" s="67" t="s">
        <v>98</v>
      </c>
      <c r="H79" s="68"/>
      <c r="I79" s="35">
        <v>60</v>
      </c>
      <c r="J79" s="9">
        <f t="shared" si="2"/>
        <v>0</v>
      </c>
      <c r="K79" s="39"/>
      <c r="L79" s="39"/>
      <c r="M79" s="39"/>
      <c r="N79" s="39"/>
      <c r="O79" s="39"/>
      <c r="P79" s="39"/>
      <c r="Q79" s="39"/>
      <c r="R79" s="39"/>
      <c r="S79" s="10">
        <f t="shared" si="15"/>
        <v>0</v>
      </c>
      <c r="T79" s="10">
        <v>100000</v>
      </c>
      <c r="U79" s="10">
        <f t="shared" si="16"/>
        <v>0</v>
      </c>
      <c r="V79" s="4"/>
      <c r="W79" s="4"/>
      <c r="X79" s="4"/>
      <c r="Y79" s="4"/>
    </row>
    <row r="80" spans="2:25" ht="37.5" hidden="1">
      <c r="B80" s="58"/>
      <c r="C80" s="60"/>
      <c r="D80" s="52" t="s">
        <v>43</v>
      </c>
      <c r="E80" s="63"/>
      <c r="F80" s="8">
        <v>0.66666666666666663</v>
      </c>
      <c r="G80" s="67" t="s">
        <v>98</v>
      </c>
      <c r="H80" s="68"/>
      <c r="I80" s="35">
        <v>60</v>
      </c>
      <c r="J80" s="9">
        <f t="shared" si="2"/>
        <v>0</v>
      </c>
      <c r="K80" s="39"/>
      <c r="L80" s="39"/>
      <c r="M80" s="39"/>
      <c r="N80" s="39"/>
      <c r="O80" s="39"/>
      <c r="P80" s="39"/>
      <c r="Q80" s="39"/>
      <c r="R80" s="39"/>
      <c r="S80" s="10">
        <f t="shared" si="15"/>
        <v>0</v>
      </c>
      <c r="T80" s="10">
        <v>100000</v>
      </c>
      <c r="U80" s="10">
        <f>T80*S80</f>
        <v>0</v>
      </c>
      <c r="V80" s="4"/>
      <c r="W80" s="4"/>
      <c r="X80" s="4"/>
      <c r="Y80" s="4"/>
    </row>
    <row r="81" spans="2:25" ht="37.5" hidden="1">
      <c r="B81" s="58"/>
      <c r="C81" s="60"/>
      <c r="D81" s="52" t="s">
        <v>43</v>
      </c>
      <c r="E81" s="63"/>
      <c r="F81" s="8">
        <v>0.75</v>
      </c>
      <c r="G81" s="67" t="s">
        <v>98</v>
      </c>
      <c r="H81" s="68"/>
      <c r="I81" s="35">
        <v>60</v>
      </c>
      <c r="J81" s="9">
        <f t="shared" si="2"/>
        <v>0</v>
      </c>
      <c r="K81" s="39"/>
      <c r="L81" s="39"/>
      <c r="M81" s="39"/>
      <c r="N81" s="39"/>
      <c r="O81" s="39"/>
      <c r="P81" s="39"/>
      <c r="Q81" s="39"/>
      <c r="R81" s="39"/>
      <c r="S81" s="10">
        <f t="shared" si="15"/>
        <v>0</v>
      </c>
      <c r="T81" s="10">
        <v>100000</v>
      </c>
      <c r="U81" s="10">
        <f t="shared" ref="U81:U88" si="17">T81*S81</f>
        <v>0</v>
      </c>
      <c r="V81" s="4"/>
      <c r="W81" s="4"/>
      <c r="X81" s="11"/>
      <c r="Y81" s="4"/>
    </row>
    <row r="82" spans="2:25" ht="37.5" hidden="1">
      <c r="B82" s="58"/>
      <c r="C82" s="60"/>
      <c r="D82" s="53" t="s">
        <v>43</v>
      </c>
      <c r="E82" s="64"/>
      <c r="F82" s="12">
        <v>0.83333333333333337</v>
      </c>
      <c r="G82" s="67" t="s">
        <v>98</v>
      </c>
      <c r="H82" s="68"/>
      <c r="I82" s="36">
        <v>60</v>
      </c>
      <c r="J82" s="9">
        <f t="shared" si="2"/>
        <v>0</v>
      </c>
      <c r="K82" s="41"/>
      <c r="L82" s="41"/>
      <c r="M82" s="41"/>
      <c r="N82" s="41"/>
      <c r="O82" s="41"/>
      <c r="P82" s="41"/>
      <c r="Q82" s="41"/>
      <c r="R82" s="41"/>
      <c r="S82" s="13">
        <f t="shared" si="15"/>
        <v>0</v>
      </c>
      <c r="T82" s="13">
        <v>100000</v>
      </c>
      <c r="U82" s="13">
        <f t="shared" si="17"/>
        <v>0</v>
      </c>
      <c r="V82" s="4"/>
      <c r="Y82" s="4"/>
    </row>
    <row r="83" spans="2:25" ht="37.5" hidden="1">
      <c r="B83" s="58"/>
      <c r="C83" s="60"/>
      <c r="D83" s="51" t="s">
        <v>43</v>
      </c>
      <c r="E83" s="62" t="s">
        <v>102</v>
      </c>
      <c r="F83" s="5">
        <v>0.91666666666666663</v>
      </c>
      <c r="G83" s="65" t="s">
        <v>82</v>
      </c>
      <c r="H83" s="66"/>
      <c r="I83" s="34">
        <v>57</v>
      </c>
      <c r="J83" s="6">
        <f t="shared" ref="J83:J136" si="18">IFERROR(S83/I83,"")</f>
        <v>1.7543859649122806E-2</v>
      </c>
      <c r="K83" s="38">
        <v>1</v>
      </c>
      <c r="L83" s="38"/>
      <c r="M83" s="38"/>
      <c r="N83" s="38"/>
      <c r="O83" s="38"/>
      <c r="P83" s="38"/>
      <c r="Q83" s="38"/>
      <c r="R83" s="38"/>
      <c r="S83" s="7">
        <f t="shared" si="15"/>
        <v>1</v>
      </c>
      <c r="T83" s="7">
        <v>100000</v>
      </c>
      <c r="U83" s="7">
        <f t="shared" si="17"/>
        <v>100000</v>
      </c>
      <c r="V83" s="4"/>
      <c r="Y83" s="4"/>
    </row>
    <row r="84" spans="2:25" ht="37.5" hidden="1">
      <c r="B84" s="58"/>
      <c r="C84" s="60"/>
      <c r="D84" s="52" t="s">
        <v>43</v>
      </c>
      <c r="E84" s="63"/>
      <c r="F84" s="8">
        <v>1</v>
      </c>
      <c r="G84" s="67" t="s">
        <v>82</v>
      </c>
      <c r="H84" s="68"/>
      <c r="I84" s="35">
        <v>57</v>
      </c>
      <c r="J84" s="9">
        <f t="shared" si="18"/>
        <v>1.7543859649122806E-2</v>
      </c>
      <c r="K84" s="39">
        <v>1</v>
      </c>
      <c r="L84" s="39"/>
      <c r="M84" s="39"/>
      <c r="N84" s="39"/>
      <c r="O84" s="39"/>
      <c r="P84" s="39"/>
      <c r="Q84" s="39"/>
      <c r="R84" s="39"/>
      <c r="S84" s="10">
        <f t="shared" si="15"/>
        <v>1</v>
      </c>
      <c r="T84" s="10">
        <v>100000</v>
      </c>
      <c r="U84" s="10">
        <f t="shared" si="17"/>
        <v>100000</v>
      </c>
      <c r="V84" s="4"/>
      <c r="Y84" s="4"/>
    </row>
    <row r="85" spans="2:25" ht="37.5" hidden="1">
      <c r="B85" s="58"/>
      <c r="C85" s="60"/>
      <c r="D85" s="52" t="s">
        <v>43</v>
      </c>
      <c r="E85" s="63"/>
      <c r="F85" s="8">
        <v>8.3333333333333329E-2</v>
      </c>
      <c r="G85" s="67" t="s">
        <v>82</v>
      </c>
      <c r="H85" s="68"/>
      <c r="I85" s="35">
        <v>57</v>
      </c>
      <c r="J85" s="9">
        <f t="shared" si="18"/>
        <v>1.7543859649122806E-2</v>
      </c>
      <c r="K85" s="39">
        <v>1</v>
      </c>
      <c r="L85" s="39"/>
      <c r="M85" s="39"/>
      <c r="N85" s="39"/>
      <c r="O85" s="39"/>
      <c r="P85" s="39"/>
      <c r="Q85" s="39"/>
      <c r="R85" s="39"/>
      <c r="S85" s="10">
        <f t="shared" si="15"/>
        <v>1</v>
      </c>
      <c r="T85" s="10">
        <v>100000</v>
      </c>
      <c r="U85" s="10">
        <f t="shared" si="17"/>
        <v>100000</v>
      </c>
      <c r="V85" s="4"/>
      <c r="Y85" s="4"/>
    </row>
    <row r="86" spans="2:25" ht="37.5" hidden="1">
      <c r="B86" s="58"/>
      <c r="C86" s="60"/>
      <c r="D86" s="52" t="s">
        <v>43</v>
      </c>
      <c r="E86" s="63"/>
      <c r="F86" s="8">
        <v>0.16666666666666666</v>
      </c>
      <c r="G86" s="67" t="s">
        <v>82</v>
      </c>
      <c r="H86" s="68"/>
      <c r="I86" s="35">
        <v>57</v>
      </c>
      <c r="J86" s="9">
        <f t="shared" si="18"/>
        <v>0</v>
      </c>
      <c r="K86" s="39"/>
      <c r="L86" s="39"/>
      <c r="M86" s="39"/>
      <c r="N86" s="39"/>
      <c r="O86" s="39"/>
      <c r="P86" s="39"/>
      <c r="Q86" s="39"/>
      <c r="R86" s="39"/>
      <c r="S86" s="10">
        <f t="shared" si="15"/>
        <v>0</v>
      </c>
      <c r="T86" s="10">
        <v>100000</v>
      </c>
      <c r="U86" s="10">
        <f t="shared" si="17"/>
        <v>0</v>
      </c>
      <c r="V86" s="4"/>
      <c r="W86" s="4"/>
      <c r="X86" s="4"/>
      <c r="Y86" s="4"/>
    </row>
    <row r="87" spans="2:25" ht="37.5" hidden="1">
      <c r="B87" s="58"/>
      <c r="C87" s="60"/>
      <c r="D87" s="52" t="s">
        <v>43</v>
      </c>
      <c r="E87" s="63"/>
      <c r="F87" s="8">
        <v>0.25</v>
      </c>
      <c r="G87" s="67" t="s">
        <v>82</v>
      </c>
      <c r="H87" s="68"/>
      <c r="I87" s="35">
        <v>57</v>
      </c>
      <c r="J87" s="9">
        <f t="shared" si="18"/>
        <v>0</v>
      </c>
      <c r="K87" s="39"/>
      <c r="L87" s="39"/>
      <c r="M87" s="39"/>
      <c r="N87" s="39"/>
      <c r="O87" s="39"/>
      <c r="P87" s="39"/>
      <c r="Q87" s="39"/>
      <c r="R87" s="39"/>
      <c r="S87" s="10">
        <f t="shared" si="15"/>
        <v>0</v>
      </c>
      <c r="T87" s="10">
        <v>100000</v>
      </c>
      <c r="U87" s="10">
        <f t="shared" si="17"/>
        <v>0</v>
      </c>
      <c r="V87" s="4"/>
      <c r="Y87" s="4"/>
    </row>
    <row r="88" spans="2:25" ht="37.5" hidden="1">
      <c r="B88" s="58"/>
      <c r="C88" s="60"/>
      <c r="D88" s="53" t="s">
        <v>43</v>
      </c>
      <c r="E88" s="64"/>
      <c r="F88" s="14">
        <v>0.33333333333333331</v>
      </c>
      <c r="G88" s="67" t="s">
        <v>82</v>
      </c>
      <c r="H88" s="68"/>
      <c r="I88" s="37">
        <v>57</v>
      </c>
      <c r="J88" s="9">
        <f t="shared" si="18"/>
        <v>0</v>
      </c>
      <c r="K88" s="40"/>
      <c r="L88" s="40"/>
      <c r="M88" s="40"/>
      <c r="N88" s="40"/>
      <c r="O88" s="40"/>
      <c r="P88" s="40"/>
      <c r="Q88" s="40"/>
      <c r="R88" s="40"/>
      <c r="S88" s="16">
        <f t="shared" si="15"/>
        <v>0</v>
      </c>
      <c r="T88" s="16">
        <v>100000</v>
      </c>
      <c r="U88" s="16">
        <f t="shared" si="17"/>
        <v>0</v>
      </c>
      <c r="V88" s="4"/>
      <c r="W88" s="4"/>
      <c r="X88" s="4"/>
      <c r="Y88" s="4"/>
    </row>
    <row r="89" spans="2:25" ht="33.75" hidden="1" customHeight="1">
      <c r="B89" s="58">
        <v>46088</v>
      </c>
      <c r="C89" s="59" t="s">
        <v>17</v>
      </c>
      <c r="D89" s="51" t="s">
        <v>43</v>
      </c>
      <c r="E89" s="62" t="s">
        <v>101</v>
      </c>
      <c r="F89" s="5">
        <v>0.41666666666666669</v>
      </c>
      <c r="G89" s="65" t="s">
        <v>79</v>
      </c>
      <c r="H89" s="66"/>
      <c r="I89" s="34">
        <v>60</v>
      </c>
      <c r="J89" s="6">
        <f t="shared" si="18"/>
        <v>0.11666666666666667</v>
      </c>
      <c r="K89" s="38"/>
      <c r="L89" s="38"/>
      <c r="M89" s="38"/>
      <c r="N89" s="38"/>
      <c r="O89" s="38"/>
      <c r="P89" s="38"/>
      <c r="Q89" s="38">
        <v>7</v>
      </c>
      <c r="R89" s="38"/>
      <c r="S89" s="7">
        <f>SUM(K89:R89)</f>
        <v>7</v>
      </c>
      <c r="T89" s="7">
        <v>100000</v>
      </c>
      <c r="U89" s="7">
        <f>T89*S89</f>
        <v>700000</v>
      </c>
      <c r="V89" s="4"/>
      <c r="W89" s="4"/>
      <c r="X89" s="4"/>
      <c r="Y89" s="4"/>
    </row>
    <row r="90" spans="2:25" ht="37.5" hidden="1">
      <c r="B90" s="58"/>
      <c r="C90" s="60"/>
      <c r="D90" s="52" t="s">
        <v>43</v>
      </c>
      <c r="E90" s="63"/>
      <c r="F90" s="8">
        <v>0.5</v>
      </c>
      <c r="G90" s="67" t="s">
        <v>79</v>
      </c>
      <c r="H90" s="68"/>
      <c r="I90" s="35">
        <v>60</v>
      </c>
      <c r="J90" s="9">
        <f t="shared" si="18"/>
        <v>0</v>
      </c>
      <c r="K90" s="39"/>
      <c r="L90" s="39"/>
      <c r="M90" s="39"/>
      <c r="N90" s="39"/>
      <c r="O90" s="39"/>
      <c r="P90" s="39"/>
      <c r="Q90" s="39"/>
      <c r="R90" s="39"/>
      <c r="S90" s="10">
        <f t="shared" ref="S90:S100" si="19">SUM(K90:R90)</f>
        <v>0</v>
      </c>
      <c r="T90" s="10">
        <v>100000</v>
      </c>
      <c r="U90" s="10">
        <f t="shared" ref="U90:U91" si="20">T90*S90</f>
        <v>0</v>
      </c>
      <c r="V90" s="4"/>
      <c r="W90" s="4"/>
      <c r="X90" s="4"/>
      <c r="Y90" s="4"/>
    </row>
    <row r="91" spans="2:25" ht="37.5" hidden="1">
      <c r="B91" s="58"/>
      <c r="C91" s="60"/>
      <c r="D91" s="52" t="s">
        <v>43</v>
      </c>
      <c r="E91" s="63"/>
      <c r="F91" s="8">
        <v>0.58333333333333337</v>
      </c>
      <c r="G91" s="67" t="s">
        <v>79</v>
      </c>
      <c r="H91" s="68"/>
      <c r="I91" s="35">
        <v>60</v>
      </c>
      <c r="J91" s="9">
        <f t="shared" si="18"/>
        <v>0</v>
      </c>
      <c r="K91" s="39"/>
      <c r="L91" s="39"/>
      <c r="M91" s="39"/>
      <c r="N91" s="39"/>
      <c r="O91" s="39"/>
      <c r="P91" s="39"/>
      <c r="Q91" s="39"/>
      <c r="R91" s="39"/>
      <c r="S91" s="10">
        <f t="shared" si="19"/>
        <v>0</v>
      </c>
      <c r="T91" s="10">
        <v>100000</v>
      </c>
      <c r="U91" s="10">
        <f t="shared" si="20"/>
        <v>0</v>
      </c>
      <c r="V91" s="4"/>
      <c r="W91" s="4"/>
      <c r="X91" s="4"/>
      <c r="Y91" s="4"/>
    </row>
    <row r="92" spans="2:25" ht="37.5" hidden="1">
      <c r="B92" s="58"/>
      <c r="C92" s="60"/>
      <c r="D92" s="52" t="s">
        <v>43</v>
      </c>
      <c r="E92" s="63"/>
      <c r="F92" s="8">
        <v>0.66666666666666663</v>
      </c>
      <c r="G92" s="67" t="s">
        <v>79</v>
      </c>
      <c r="H92" s="68"/>
      <c r="I92" s="35">
        <v>60</v>
      </c>
      <c r="J92" s="9">
        <f t="shared" si="18"/>
        <v>0</v>
      </c>
      <c r="K92" s="39"/>
      <c r="L92" s="39"/>
      <c r="M92" s="39"/>
      <c r="N92" s="39"/>
      <c r="O92" s="39"/>
      <c r="P92" s="39"/>
      <c r="Q92" s="39"/>
      <c r="R92" s="39"/>
      <c r="S92" s="10">
        <f t="shared" si="19"/>
        <v>0</v>
      </c>
      <c r="T92" s="10">
        <v>100000</v>
      </c>
      <c r="U92" s="10">
        <f>T92*S92</f>
        <v>0</v>
      </c>
      <c r="V92" s="4"/>
      <c r="W92" s="4"/>
      <c r="X92" s="4"/>
      <c r="Y92" s="4"/>
    </row>
    <row r="93" spans="2:25" ht="37.5" hidden="1">
      <c r="B93" s="58"/>
      <c r="C93" s="60"/>
      <c r="D93" s="52" t="s">
        <v>43</v>
      </c>
      <c r="E93" s="63"/>
      <c r="F93" s="8">
        <v>0.75</v>
      </c>
      <c r="G93" s="67" t="s">
        <v>79</v>
      </c>
      <c r="H93" s="68"/>
      <c r="I93" s="35">
        <v>23</v>
      </c>
      <c r="J93" s="9">
        <f t="shared" si="18"/>
        <v>4.3478260869565216E-2</v>
      </c>
      <c r="K93" s="39">
        <v>1</v>
      </c>
      <c r="L93" s="39"/>
      <c r="M93" s="39"/>
      <c r="N93" s="39"/>
      <c r="O93" s="39"/>
      <c r="P93" s="39"/>
      <c r="Q93" s="39"/>
      <c r="R93" s="39"/>
      <c r="S93" s="10">
        <f t="shared" si="19"/>
        <v>1</v>
      </c>
      <c r="T93" s="10">
        <v>100000</v>
      </c>
      <c r="U93" s="10">
        <f t="shared" ref="U93:U100" si="21">T93*S93</f>
        <v>100000</v>
      </c>
      <c r="V93" s="4"/>
      <c r="W93" s="4"/>
      <c r="X93" s="11"/>
      <c r="Y93" s="4"/>
    </row>
    <row r="94" spans="2:25" ht="37.5" hidden="1">
      <c r="B94" s="58"/>
      <c r="C94" s="60"/>
      <c r="D94" s="53" t="s">
        <v>43</v>
      </c>
      <c r="E94" s="64"/>
      <c r="F94" s="12">
        <v>0.83333333333333337</v>
      </c>
      <c r="G94" s="67" t="s">
        <v>79</v>
      </c>
      <c r="H94" s="68"/>
      <c r="I94" s="36">
        <v>60</v>
      </c>
      <c r="J94" s="9">
        <f t="shared" si="18"/>
        <v>0</v>
      </c>
      <c r="K94" s="41"/>
      <c r="L94" s="41"/>
      <c r="M94" s="41"/>
      <c r="N94" s="41"/>
      <c r="O94" s="41"/>
      <c r="P94" s="41"/>
      <c r="Q94" s="41"/>
      <c r="R94" s="41"/>
      <c r="S94" s="13">
        <f t="shared" si="19"/>
        <v>0</v>
      </c>
      <c r="T94" s="13">
        <v>100000</v>
      </c>
      <c r="U94" s="13">
        <f t="shared" si="21"/>
        <v>0</v>
      </c>
      <c r="V94" s="4"/>
      <c r="Y94" s="4"/>
    </row>
    <row r="95" spans="2:25" ht="37.5" hidden="1">
      <c r="B95" s="58"/>
      <c r="C95" s="60"/>
      <c r="D95" s="51" t="s">
        <v>43</v>
      </c>
      <c r="E95" s="62" t="s">
        <v>102</v>
      </c>
      <c r="F95" s="5">
        <v>0.91666666666666663</v>
      </c>
      <c r="G95" s="65" t="s">
        <v>82</v>
      </c>
      <c r="H95" s="66"/>
      <c r="I95" s="34">
        <v>53</v>
      </c>
      <c r="J95" s="6">
        <f t="shared" si="18"/>
        <v>0.11320754716981132</v>
      </c>
      <c r="K95" s="38"/>
      <c r="L95" s="38"/>
      <c r="M95" s="38"/>
      <c r="N95" s="38"/>
      <c r="O95" s="38"/>
      <c r="P95" s="38"/>
      <c r="Q95" s="38"/>
      <c r="R95" s="38">
        <v>6</v>
      </c>
      <c r="S95" s="7">
        <f t="shared" si="19"/>
        <v>6</v>
      </c>
      <c r="T95" s="7">
        <v>100000</v>
      </c>
      <c r="U95" s="7">
        <f t="shared" si="21"/>
        <v>600000</v>
      </c>
      <c r="V95" s="4"/>
      <c r="Y95" s="4"/>
    </row>
    <row r="96" spans="2:25" ht="37.5" hidden="1">
      <c r="B96" s="58"/>
      <c r="C96" s="60"/>
      <c r="D96" s="52" t="s">
        <v>43</v>
      </c>
      <c r="E96" s="63"/>
      <c r="F96" s="8">
        <v>1</v>
      </c>
      <c r="G96" s="67" t="s">
        <v>82</v>
      </c>
      <c r="H96" s="68"/>
      <c r="I96" s="35">
        <v>55</v>
      </c>
      <c r="J96" s="9">
        <f t="shared" si="18"/>
        <v>5.4545454545454543E-2</v>
      </c>
      <c r="K96" s="39"/>
      <c r="L96" s="39"/>
      <c r="M96" s="39"/>
      <c r="N96" s="39"/>
      <c r="O96" s="39"/>
      <c r="P96" s="39"/>
      <c r="Q96" s="39"/>
      <c r="R96" s="39">
        <v>3</v>
      </c>
      <c r="S96" s="10">
        <f t="shared" si="19"/>
        <v>3</v>
      </c>
      <c r="T96" s="10">
        <v>100000</v>
      </c>
      <c r="U96" s="10">
        <f t="shared" si="21"/>
        <v>300000</v>
      </c>
      <c r="V96" s="4"/>
      <c r="Y96" s="4"/>
    </row>
    <row r="97" spans="2:25" ht="37.5" hidden="1">
      <c r="B97" s="58"/>
      <c r="C97" s="60"/>
      <c r="D97" s="52" t="s">
        <v>43</v>
      </c>
      <c r="E97" s="63"/>
      <c r="F97" s="8">
        <v>8.3333333333333329E-2</v>
      </c>
      <c r="G97" s="67" t="s">
        <v>82</v>
      </c>
      <c r="H97" s="68"/>
      <c r="I97" s="35">
        <v>56</v>
      </c>
      <c r="J97" s="9">
        <f t="shared" si="18"/>
        <v>5.3571428571428568E-2</v>
      </c>
      <c r="K97" s="39"/>
      <c r="L97" s="39"/>
      <c r="M97" s="39"/>
      <c r="N97" s="39"/>
      <c r="O97" s="39"/>
      <c r="P97" s="39"/>
      <c r="Q97" s="39"/>
      <c r="R97" s="39">
        <v>3</v>
      </c>
      <c r="S97" s="10">
        <f t="shared" si="19"/>
        <v>3</v>
      </c>
      <c r="T97" s="10">
        <v>100000</v>
      </c>
      <c r="U97" s="10">
        <f t="shared" si="21"/>
        <v>300000</v>
      </c>
      <c r="V97" s="4"/>
      <c r="Y97" s="4"/>
    </row>
    <row r="98" spans="2:25" ht="37.5" hidden="1">
      <c r="B98" s="58"/>
      <c r="C98" s="60"/>
      <c r="D98" s="52" t="s">
        <v>43</v>
      </c>
      <c r="E98" s="63"/>
      <c r="F98" s="8">
        <v>0.16666666666666666</v>
      </c>
      <c r="G98" s="67" t="s">
        <v>82</v>
      </c>
      <c r="H98" s="68"/>
      <c r="I98" s="35">
        <v>60</v>
      </c>
      <c r="J98" s="9">
        <f t="shared" si="18"/>
        <v>3.3333333333333333E-2</v>
      </c>
      <c r="K98" s="39"/>
      <c r="L98" s="39"/>
      <c r="M98" s="39"/>
      <c r="N98" s="39"/>
      <c r="O98" s="39"/>
      <c r="P98" s="39"/>
      <c r="Q98" s="39"/>
      <c r="R98" s="39">
        <v>2</v>
      </c>
      <c r="S98" s="10">
        <f t="shared" si="19"/>
        <v>2</v>
      </c>
      <c r="T98" s="10">
        <v>100000</v>
      </c>
      <c r="U98" s="10">
        <f t="shared" si="21"/>
        <v>200000</v>
      </c>
      <c r="V98" s="4"/>
      <c r="W98" s="4"/>
      <c r="X98" s="4"/>
      <c r="Y98" s="4"/>
    </row>
    <row r="99" spans="2:25" ht="37.5" hidden="1">
      <c r="B99" s="58"/>
      <c r="C99" s="60"/>
      <c r="D99" s="52" t="s">
        <v>43</v>
      </c>
      <c r="E99" s="63"/>
      <c r="F99" s="8">
        <v>0.25</v>
      </c>
      <c r="G99" s="67" t="s">
        <v>82</v>
      </c>
      <c r="H99" s="68"/>
      <c r="I99" s="35">
        <v>58</v>
      </c>
      <c r="J99" s="9">
        <f t="shared" si="18"/>
        <v>3.4482758620689655E-2</v>
      </c>
      <c r="K99" s="39"/>
      <c r="L99" s="39"/>
      <c r="M99" s="39"/>
      <c r="N99" s="39"/>
      <c r="O99" s="39"/>
      <c r="P99" s="39"/>
      <c r="Q99" s="39"/>
      <c r="R99" s="39">
        <v>2</v>
      </c>
      <c r="S99" s="10">
        <f t="shared" si="19"/>
        <v>2</v>
      </c>
      <c r="T99" s="10">
        <v>100000</v>
      </c>
      <c r="U99" s="10">
        <f t="shared" si="21"/>
        <v>200000</v>
      </c>
      <c r="V99" s="4"/>
      <c r="Y99" s="4"/>
    </row>
    <row r="100" spans="2:25" ht="37.5" hidden="1">
      <c r="B100" s="58"/>
      <c r="C100" s="60"/>
      <c r="D100" s="53" t="s">
        <v>43</v>
      </c>
      <c r="E100" s="64"/>
      <c r="F100" s="14">
        <v>0.33333333333333331</v>
      </c>
      <c r="G100" s="67" t="s">
        <v>82</v>
      </c>
      <c r="H100" s="68"/>
      <c r="I100" s="37">
        <v>60</v>
      </c>
      <c r="J100" s="9">
        <f t="shared" si="18"/>
        <v>0</v>
      </c>
      <c r="K100" s="40"/>
      <c r="L100" s="40"/>
      <c r="M100" s="40"/>
      <c r="N100" s="40"/>
      <c r="O100" s="40"/>
      <c r="P100" s="40"/>
      <c r="Q100" s="40"/>
      <c r="R100" s="40"/>
      <c r="S100" s="16">
        <f t="shared" si="19"/>
        <v>0</v>
      </c>
      <c r="T100" s="16">
        <v>100000</v>
      </c>
      <c r="U100" s="16">
        <f t="shared" si="21"/>
        <v>0</v>
      </c>
      <c r="V100" s="4"/>
      <c r="W100" s="4"/>
      <c r="X100" s="4"/>
      <c r="Y100" s="4"/>
    </row>
    <row r="101" spans="2:25" ht="33.75" hidden="1" customHeight="1">
      <c r="B101" s="58">
        <v>46089</v>
      </c>
      <c r="C101" s="59" t="s">
        <v>17</v>
      </c>
      <c r="D101" s="51" t="s">
        <v>43</v>
      </c>
      <c r="E101" s="62" t="s">
        <v>101</v>
      </c>
      <c r="F101" s="5">
        <v>0.41666666666666669</v>
      </c>
      <c r="G101" s="65" t="s">
        <v>76</v>
      </c>
      <c r="H101" s="66"/>
      <c r="I101" s="34">
        <v>60</v>
      </c>
      <c r="J101" s="6">
        <f t="shared" si="18"/>
        <v>0</v>
      </c>
      <c r="K101" s="38"/>
      <c r="L101" s="38"/>
      <c r="M101" s="38"/>
      <c r="N101" s="38"/>
      <c r="O101" s="38"/>
      <c r="P101" s="38"/>
      <c r="Q101" s="38"/>
      <c r="R101" s="38"/>
      <c r="S101" s="7">
        <f>SUM(K101:R101)</f>
        <v>0</v>
      </c>
      <c r="T101" s="7">
        <v>100000</v>
      </c>
      <c r="U101" s="7">
        <f>T101*S101</f>
        <v>0</v>
      </c>
      <c r="V101" s="4"/>
      <c r="W101" s="4"/>
      <c r="X101" s="4"/>
      <c r="Y101" s="4"/>
    </row>
    <row r="102" spans="2:25" ht="37.5" hidden="1">
      <c r="B102" s="58"/>
      <c r="C102" s="60"/>
      <c r="D102" s="52" t="s">
        <v>43</v>
      </c>
      <c r="E102" s="63"/>
      <c r="F102" s="8">
        <v>0.5</v>
      </c>
      <c r="G102" s="67" t="s">
        <v>76</v>
      </c>
      <c r="H102" s="68"/>
      <c r="I102" s="35">
        <v>60</v>
      </c>
      <c r="J102" s="9">
        <f t="shared" si="18"/>
        <v>0</v>
      </c>
      <c r="K102" s="39"/>
      <c r="L102" s="39"/>
      <c r="M102" s="39"/>
      <c r="N102" s="39"/>
      <c r="O102" s="39"/>
      <c r="P102" s="39"/>
      <c r="Q102" s="39"/>
      <c r="R102" s="39"/>
      <c r="S102" s="10">
        <f t="shared" ref="S102:S112" si="22">SUM(K102:R102)</f>
        <v>0</v>
      </c>
      <c r="T102" s="10">
        <v>100000</v>
      </c>
      <c r="U102" s="10">
        <f t="shared" ref="U102:U103" si="23">T102*S102</f>
        <v>0</v>
      </c>
      <c r="V102" s="4"/>
      <c r="W102" s="4"/>
      <c r="X102" s="4"/>
      <c r="Y102" s="4"/>
    </row>
    <row r="103" spans="2:25" ht="37.5" hidden="1">
      <c r="B103" s="58"/>
      <c r="C103" s="60"/>
      <c r="D103" s="52" t="s">
        <v>43</v>
      </c>
      <c r="E103" s="63"/>
      <c r="F103" s="8">
        <v>0.58333333333333337</v>
      </c>
      <c r="G103" s="67" t="s">
        <v>76</v>
      </c>
      <c r="H103" s="68"/>
      <c r="I103" s="35">
        <v>58</v>
      </c>
      <c r="J103" s="9">
        <f t="shared" si="18"/>
        <v>6.8965517241379309E-2</v>
      </c>
      <c r="K103" s="39"/>
      <c r="L103" s="39"/>
      <c r="M103" s="39"/>
      <c r="N103" s="39"/>
      <c r="O103" s="39"/>
      <c r="P103" s="39"/>
      <c r="Q103" s="39"/>
      <c r="R103" s="39">
        <v>4</v>
      </c>
      <c r="S103" s="10">
        <f t="shared" si="22"/>
        <v>4</v>
      </c>
      <c r="T103" s="10">
        <v>100000</v>
      </c>
      <c r="U103" s="10">
        <f t="shared" si="23"/>
        <v>400000</v>
      </c>
      <c r="V103" s="4"/>
      <c r="W103" s="4"/>
      <c r="X103" s="4"/>
      <c r="Y103" s="4"/>
    </row>
    <row r="104" spans="2:25" ht="37.5" hidden="1">
      <c r="B104" s="58"/>
      <c r="C104" s="60"/>
      <c r="D104" s="52" t="s">
        <v>43</v>
      </c>
      <c r="E104" s="63"/>
      <c r="F104" s="8">
        <v>0.66666666666666663</v>
      </c>
      <c r="G104" s="67" t="s">
        <v>76</v>
      </c>
      <c r="H104" s="68"/>
      <c r="I104" s="35">
        <v>60</v>
      </c>
      <c r="J104" s="9">
        <f t="shared" si="18"/>
        <v>0</v>
      </c>
      <c r="K104" s="39"/>
      <c r="L104" s="39"/>
      <c r="M104" s="39"/>
      <c r="N104" s="39"/>
      <c r="O104" s="39"/>
      <c r="P104" s="39"/>
      <c r="Q104" s="39"/>
      <c r="R104" s="39"/>
      <c r="S104" s="10">
        <f t="shared" si="22"/>
        <v>0</v>
      </c>
      <c r="T104" s="10">
        <v>100000</v>
      </c>
      <c r="U104" s="10">
        <f>T104*S104</f>
        <v>0</v>
      </c>
      <c r="V104" s="4"/>
      <c r="W104" s="4"/>
      <c r="X104" s="4"/>
      <c r="Y104" s="4"/>
    </row>
    <row r="105" spans="2:25" ht="37.5" hidden="1">
      <c r="B105" s="58"/>
      <c r="C105" s="60"/>
      <c r="D105" s="52" t="s">
        <v>43</v>
      </c>
      <c r="E105" s="63"/>
      <c r="F105" s="8">
        <v>0.75</v>
      </c>
      <c r="G105" s="67" t="s">
        <v>76</v>
      </c>
      <c r="H105" s="68"/>
      <c r="I105" s="35">
        <v>28</v>
      </c>
      <c r="J105" s="9">
        <f t="shared" si="18"/>
        <v>0</v>
      </c>
      <c r="K105" s="39"/>
      <c r="L105" s="39"/>
      <c r="M105" s="39"/>
      <c r="N105" s="39"/>
      <c r="O105" s="39"/>
      <c r="P105" s="39"/>
      <c r="Q105" s="39"/>
      <c r="R105" s="39"/>
      <c r="S105" s="10">
        <f t="shared" si="22"/>
        <v>0</v>
      </c>
      <c r="T105" s="10">
        <v>100000</v>
      </c>
      <c r="U105" s="10">
        <f t="shared" ref="U105:U112" si="24">T105*S105</f>
        <v>0</v>
      </c>
      <c r="V105" s="4"/>
      <c r="W105" s="4"/>
      <c r="X105" s="11"/>
      <c r="Y105" s="4"/>
    </row>
    <row r="106" spans="2:25" ht="37.5" hidden="1">
      <c r="B106" s="58"/>
      <c r="C106" s="60"/>
      <c r="D106" s="53" t="s">
        <v>43</v>
      </c>
      <c r="E106" s="64"/>
      <c r="F106" s="12">
        <v>0.83333333333333337</v>
      </c>
      <c r="G106" s="67" t="s">
        <v>76</v>
      </c>
      <c r="H106" s="68"/>
      <c r="I106" s="36"/>
      <c r="J106" s="9" t="str">
        <f t="shared" si="18"/>
        <v/>
      </c>
      <c r="K106" s="41"/>
      <c r="L106" s="41"/>
      <c r="M106" s="41"/>
      <c r="N106" s="41"/>
      <c r="O106" s="41"/>
      <c r="P106" s="41"/>
      <c r="Q106" s="41"/>
      <c r="R106" s="41"/>
      <c r="S106" s="13">
        <f t="shared" si="22"/>
        <v>0</v>
      </c>
      <c r="T106" s="13">
        <v>100000</v>
      </c>
      <c r="U106" s="13">
        <f t="shared" si="24"/>
        <v>0</v>
      </c>
      <c r="V106" s="4"/>
      <c r="Y106" s="4"/>
    </row>
    <row r="107" spans="2:25" ht="37.5" hidden="1">
      <c r="B107" s="58"/>
      <c r="C107" s="60"/>
      <c r="D107" s="51" t="s">
        <v>43</v>
      </c>
      <c r="E107" s="62" t="s">
        <v>102</v>
      </c>
      <c r="F107" s="5">
        <v>0.91666666666666663</v>
      </c>
      <c r="G107" s="65" t="s">
        <v>82</v>
      </c>
      <c r="H107" s="66"/>
      <c r="I107" s="34">
        <v>45</v>
      </c>
      <c r="J107" s="6">
        <f t="shared" si="18"/>
        <v>0.13333333333333333</v>
      </c>
      <c r="K107" s="38">
        <v>1</v>
      </c>
      <c r="L107" s="38"/>
      <c r="M107" s="38"/>
      <c r="N107" s="38"/>
      <c r="O107" s="38"/>
      <c r="P107" s="38"/>
      <c r="Q107" s="38">
        <v>5</v>
      </c>
      <c r="R107" s="38"/>
      <c r="S107" s="7">
        <f t="shared" si="22"/>
        <v>6</v>
      </c>
      <c r="T107" s="7">
        <v>100000</v>
      </c>
      <c r="U107" s="7">
        <f t="shared" si="24"/>
        <v>600000</v>
      </c>
      <c r="V107" s="4"/>
      <c r="Y107" s="4"/>
    </row>
    <row r="108" spans="2:25" ht="37.5" hidden="1">
      <c r="B108" s="58"/>
      <c r="C108" s="60"/>
      <c r="D108" s="52" t="s">
        <v>43</v>
      </c>
      <c r="E108" s="63"/>
      <c r="F108" s="8">
        <v>1</v>
      </c>
      <c r="G108" s="67" t="s">
        <v>82</v>
      </c>
      <c r="H108" s="68"/>
      <c r="I108" s="35">
        <v>59</v>
      </c>
      <c r="J108" s="9">
        <f t="shared" si="18"/>
        <v>1.6949152542372881E-2</v>
      </c>
      <c r="K108" s="39">
        <v>1</v>
      </c>
      <c r="L108" s="39"/>
      <c r="M108" s="39"/>
      <c r="N108" s="39"/>
      <c r="O108" s="39"/>
      <c r="P108" s="39"/>
      <c r="Q108" s="39"/>
      <c r="R108" s="39"/>
      <c r="S108" s="10">
        <f t="shared" si="22"/>
        <v>1</v>
      </c>
      <c r="T108" s="10">
        <v>100000</v>
      </c>
      <c r="U108" s="10">
        <f t="shared" si="24"/>
        <v>100000</v>
      </c>
      <c r="V108" s="4"/>
      <c r="Y108" s="4"/>
    </row>
    <row r="109" spans="2:25" ht="37.5" hidden="1">
      <c r="B109" s="58"/>
      <c r="C109" s="60"/>
      <c r="D109" s="52" t="s">
        <v>43</v>
      </c>
      <c r="E109" s="63"/>
      <c r="F109" s="8">
        <v>8.3333333333333329E-2</v>
      </c>
      <c r="G109" s="67" t="s">
        <v>82</v>
      </c>
      <c r="H109" s="68"/>
      <c r="I109" s="35">
        <v>59</v>
      </c>
      <c r="J109" s="9">
        <f t="shared" si="18"/>
        <v>1.6949152542372881E-2</v>
      </c>
      <c r="K109" s="39">
        <v>1</v>
      </c>
      <c r="L109" s="39"/>
      <c r="M109" s="39"/>
      <c r="N109" s="39"/>
      <c r="O109" s="39"/>
      <c r="P109" s="39"/>
      <c r="Q109" s="39"/>
      <c r="R109" s="39"/>
      <c r="S109" s="10">
        <f t="shared" si="22"/>
        <v>1</v>
      </c>
      <c r="T109" s="10">
        <v>100000</v>
      </c>
      <c r="U109" s="10">
        <f t="shared" si="24"/>
        <v>100000</v>
      </c>
      <c r="V109" s="4"/>
      <c r="Y109" s="4"/>
    </row>
    <row r="110" spans="2:25" ht="37.5" hidden="1">
      <c r="B110" s="58"/>
      <c r="C110" s="60"/>
      <c r="D110" s="52" t="s">
        <v>43</v>
      </c>
      <c r="E110" s="63"/>
      <c r="F110" s="8">
        <v>0.16666666666666666</v>
      </c>
      <c r="G110" s="67" t="s">
        <v>82</v>
      </c>
      <c r="H110" s="68"/>
      <c r="I110" s="35">
        <v>59</v>
      </c>
      <c r="J110" s="9">
        <f t="shared" si="18"/>
        <v>1.6949152542372881E-2</v>
      </c>
      <c r="K110" s="39">
        <v>1</v>
      </c>
      <c r="L110" s="39"/>
      <c r="M110" s="39"/>
      <c r="N110" s="39"/>
      <c r="O110" s="39"/>
      <c r="P110" s="39"/>
      <c r="Q110" s="39"/>
      <c r="R110" s="39"/>
      <c r="S110" s="10">
        <f t="shared" si="22"/>
        <v>1</v>
      </c>
      <c r="T110" s="10">
        <v>100000</v>
      </c>
      <c r="U110" s="10">
        <f t="shared" si="24"/>
        <v>100000</v>
      </c>
      <c r="V110" s="4"/>
      <c r="W110" s="4"/>
      <c r="X110" s="4"/>
      <c r="Y110" s="4"/>
    </row>
    <row r="111" spans="2:25" ht="37.5" hidden="1">
      <c r="B111" s="58"/>
      <c r="C111" s="60"/>
      <c r="D111" s="52" t="s">
        <v>43</v>
      </c>
      <c r="E111" s="63"/>
      <c r="F111" s="8">
        <v>0.25</v>
      </c>
      <c r="G111" s="67" t="s">
        <v>82</v>
      </c>
      <c r="H111" s="68"/>
      <c r="I111" s="35">
        <v>60</v>
      </c>
      <c r="J111" s="9">
        <f t="shared" si="18"/>
        <v>0</v>
      </c>
      <c r="K111" s="39"/>
      <c r="L111" s="39"/>
      <c r="M111" s="39"/>
      <c r="N111" s="39"/>
      <c r="O111" s="39"/>
      <c r="P111" s="39"/>
      <c r="Q111" s="39"/>
      <c r="R111" s="39"/>
      <c r="S111" s="10">
        <f t="shared" si="22"/>
        <v>0</v>
      </c>
      <c r="T111" s="10">
        <v>100000</v>
      </c>
      <c r="U111" s="10">
        <f t="shared" si="24"/>
        <v>0</v>
      </c>
      <c r="V111" s="4"/>
      <c r="Y111" s="4"/>
    </row>
    <row r="112" spans="2:25" ht="37.5" hidden="1">
      <c r="B112" s="58"/>
      <c r="C112" s="60"/>
      <c r="D112" s="53" t="s">
        <v>43</v>
      </c>
      <c r="E112" s="64"/>
      <c r="F112" s="14">
        <v>0.33333333333333331</v>
      </c>
      <c r="G112" s="67" t="s">
        <v>82</v>
      </c>
      <c r="H112" s="68"/>
      <c r="I112" s="37">
        <v>60</v>
      </c>
      <c r="J112" s="9">
        <f t="shared" si="18"/>
        <v>0</v>
      </c>
      <c r="K112" s="40"/>
      <c r="L112" s="40"/>
      <c r="M112" s="40"/>
      <c r="N112" s="40"/>
      <c r="O112" s="40"/>
      <c r="P112" s="40"/>
      <c r="Q112" s="40"/>
      <c r="R112" s="40"/>
      <c r="S112" s="16">
        <f t="shared" si="22"/>
        <v>0</v>
      </c>
      <c r="T112" s="16">
        <v>100000</v>
      </c>
      <c r="U112" s="16">
        <f t="shared" si="24"/>
        <v>0</v>
      </c>
      <c r="V112" s="4"/>
      <c r="W112" s="4"/>
      <c r="X112" s="4"/>
      <c r="Y112" s="4"/>
    </row>
    <row r="113" spans="2:25" ht="39.75" hidden="1" customHeight="1">
      <c r="B113" s="58">
        <v>46090</v>
      </c>
      <c r="C113" s="59" t="s">
        <v>17</v>
      </c>
      <c r="D113" s="51" t="s">
        <v>43</v>
      </c>
      <c r="E113" s="62" t="s">
        <v>101</v>
      </c>
      <c r="F113" s="5">
        <v>0.41666666666666669</v>
      </c>
      <c r="G113" s="65" t="s">
        <v>76</v>
      </c>
      <c r="H113" s="66"/>
      <c r="I113" s="34"/>
      <c r="J113" s="6" t="str">
        <f t="shared" si="18"/>
        <v/>
      </c>
      <c r="K113" s="38"/>
      <c r="L113" s="38"/>
      <c r="M113" s="38"/>
      <c r="N113" s="38"/>
      <c r="O113" s="38"/>
      <c r="P113" s="38"/>
      <c r="Q113" s="38"/>
      <c r="R113" s="38"/>
      <c r="S113" s="7">
        <f>SUM(K113:R113)</f>
        <v>0</v>
      </c>
      <c r="T113" s="7">
        <v>100000</v>
      </c>
      <c r="U113" s="7">
        <f>T113*S113</f>
        <v>0</v>
      </c>
      <c r="V113" s="4"/>
      <c r="W113" s="4"/>
      <c r="X113" s="4"/>
      <c r="Y113" s="4"/>
    </row>
    <row r="114" spans="2:25" ht="37.5" hidden="1">
      <c r="B114" s="58"/>
      <c r="C114" s="60"/>
      <c r="D114" s="52" t="s">
        <v>43</v>
      </c>
      <c r="E114" s="63"/>
      <c r="F114" s="8">
        <v>0.5</v>
      </c>
      <c r="G114" s="67" t="s">
        <v>76</v>
      </c>
      <c r="H114" s="68"/>
      <c r="I114" s="35"/>
      <c r="J114" s="9" t="str">
        <f t="shared" si="18"/>
        <v/>
      </c>
      <c r="K114" s="39"/>
      <c r="L114" s="39"/>
      <c r="M114" s="39"/>
      <c r="N114" s="39"/>
      <c r="O114" s="39"/>
      <c r="P114" s="39"/>
      <c r="Q114" s="39"/>
      <c r="R114" s="39"/>
      <c r="S114" s="10">
        <f t="shared" ref="S114:S124" si="25">SUM(K114:R114)</f>
        <v>0</v>
      </c>
      <c r="T114" s="10">
        <v>100000</v>
      </c>
      <c r="U114" s="10">
        <f t="shared" ref="U114:U115" si="26">T114*S114</f>
        <v>0</v>
      </c>
      <c r="V114" s="4"/>
      <c r="W114" s="4"/>
      <c r="X114" s="4"/>
      <c r="Y114" s="4"/>
    </row>
    <row r="115" spans="2:25" ht="37.5" hidden="1">
      <c r="B115" s="58"/>
      <c r="C115" s="60"/>
      <c r="D115" s="52" t="s">
        <v>43</v>
      </c>
      <c r="E115" s="63"/>
      <c r="F115" s="8">
        <v>0.58333333333333337</v>
      </c>
      <c r="G115" s="67" t="s">
        <v>76</v>
      </c>
      <c r="H115" s="68"/>
      <c r="I115" s="35">
        <v>67</v>
      </c>
      <c r="J115" s="9">
        <f t="shared" si="18"/>
        <v>0.1044776119402985</v>
      </c>
      <c r="K115" s="39"/>
      <c r="L115" s="39"/>
      <c r="M115" s="39"/>
      <c r="N115" s="39"/>
      <c r="O115" s="39"/>
      <c r="P115" s="39"/>
      <c r="Q115" s="39">
        <v>7</v>
      </c>
      <c r="R115" s="39"/>
      <c r="S115" s="10">
        <f t="shared" si="25"/>
        <v>7</v>
      </c>
      <c r="T115" s="10">
        <v>100000</v>
      </c>
      <c r="U115" s="10">
        <f t="shared" si="26"/>
        <v>700000</v>
      </c>
      <c r="V115" s="4"/>
      <c r="W115" s="4"/>
      <c r="X115" s="4"/>
      <c r="Y115" s="4"/>
    </row>
    <row r="116" spans="2:25" ht="37.5" hidden="1">
      <c r="B116" s="58"/>
      <c r="C116" s="60"/>
      <c r="D116" s="52" t="s">
        <v>43</v>
      </c>
      <c r="E116" s="63"/>
      <c r="F116" s="8">
        <v>0.66666666666666663</v>
      </c>
      <c r="G116" s="67" t="s">
        <v>76</v>
      </c>
      <c r="H116" s="68"/>
      <c r="I116" s="35">
        <v>60</v>
      </c>
      <c r="J116" s="9">
        <f t="shared" si="18"/>
        <v>0</v>
      </c>
      <c r="K116" s="39"/>
      <c r="L116" s="39"/>
      <c r="M116" s="39"/>
      <c r="N116" s="39"/>
      <c r="O116" s="39"/>
      <c r="P116" s="39"/>
      <c r="Q116" s="39"/>
      <c r="R116" s="39"/>
      <c r="S116" s="10">
        <f t="shared" si="25"/>
        <v>0</v>
      </c>
      <c r="T116" s="10">
        <v>100000</v>
      </c>
      <c r="U116" s="10">
        <f>T116*S116</f>
        <v>0</v>
      </c>
      <c r="V116" s="4"/>
      <c r="W116" s="4"/>
      <c r="X116" s="4"/>
      <c r="Y116" s="4"/>
    </row>
    <row r="117" spans="2:25" ht="37.5" hidden="1">
      <c r="B117" s="58"/>
      <c r="C117" s="60"/>
      <c r="D117" s="52" t="s">
        <v>43</v>
      </c>
      <c r="E117" s="63"/>
      <c r="F117" s="8">
        <v>0.75</v>
      </c>
      <c r="G117" s="67" t="s">
        <v>76</v>
      </c>
      <c r="H117" s="68"/>
      <c r="I117" s="35">
        <v>60</v>
      </c>
      <c r="J117" s="9">
        <f t="shared" si="18"/>
        <v>0</v>
      </c>
      <c r="K117" s="39"/>
      <c r="L117" s="39"/>
      <c r="M117" s="39"/>
      <c r="N117" s="39"/>
      <c r="O117" s="39"/>
      <c r="P117" s="39"/>
      <c r="Q117" s="39"/>
      <c r="R117" s="39"/>
      <c r="S117" s="10">
        <f t="shared" si="25"/>
        <v>0</v>
      </c>
      <c r="T117" s="10">
        <v>100000</v>
      </c>
      <c r="U117" s="10">
        <f t="shared" ref="U117:U124" si="27">T117*S117</f>
        <v>0</v>
      </c>
      <c r="V117" s="4"/>
      <c r="W117" s="4"/>
      <c r="X117" s="11"/>
      <c r="Y117" s="4"/>
    </row>
    <row r="118" spans="2:25" ht="37.5" hidden="1">
      <c r="B118" s="58"/>
      <c r="C118" s="60"/>
      <c r="D118" s="53" t="s">
        <v>43</v>
      </c>
      <c r="E118" s="64"/>
      <c r="F118" s="12">
        <v>0.83333333333333337</v>
      </c>
      <c r="G118" s="67" t="s">
        <v>76</v>
      </c>
      <c r="H118" s="68"/>
      <c r="I118" s="36">
        <v>60</v>
      </c>
      <c r="J118" s="9">
        <f t="shared" si="18"/>
        <v>0</v>
      </c>
      <c r="K118" s="41"/>
      <c r="L118" s="41"/>
      <c r="M118" s="41"/>
      <c r="N118" s="41"/>
      <c r="O118" s="41"/>
      <c r="P118" s="41"/>
      <c r="Q118" s="41"/>
      <c r="R118" s="41"/>
      <c r="S118" s="13">
        <f t="shared" si="25"/>
        <v>0</v>
      </c>
      <c r="T118" s="13">
        <v>100000</v>
      </c>
      <c r="U118" s="13">
        <f t="shared" si="27"/>
        <v>0</v>
      </c>
      <c r="V118" s="4"/>
      <c r="Y118" s="4"/>
    </row>
    <row r="119" spans="2:25" ht="37.5" hidden="1">
      <c r="B119" s="58"/>
      <c r="C119" s="60"/>
      <c r="D119" s="51" t="s">
        <v>43</v>
      </c>
      <c r="E119" s="62" t="s">
        <v>102</v>
      </c>
      <c r="F119" s="5">
        <v>0.91666666666666663</v>
      </c>
      <c r="G119" s="65" t="s">
        <v>83</v>
      </c>
      <c r="H119" s="66"/>
      <c r="I119" s="34">
        <v>57</v>
      </c>
      <c r="J119" s="6">
        <f t="shared" si="18"/>
        <v>1.7543859649122806E-2</v>
      </c>
      <c r="K119" s="38">
        <v>1</v>
      </c>
      <c r="L119" s="38"/>
      <c r="M119" s="38"/>
      <c r="N119" s="38"/>
      <c r="O119" s="38"/>
      <c r="P119" s="38"/>
      <c r="Q119" s="38"/>
      <c r="R119" s="38"/>
      <c r="S119" s="7">
        <f t="shared" si="25"/>
        <v>1</v>
      </c>
      <c r="T119" s="7">
        <v>100000</v>
      </c>
      <c r="U119" s="7">
        <f t="shared" si="27"/>
        <v>100000</v>
      </c>
      <c r="V119" s="4"/>
      <c r="Y119" s="4"/>
    </row>
    <row r="120" spans="2:25" ht="37.5" hidden="1">
      <c r="B120" s="58"/>
      <c r="C120" s="60"/>
      <c r="D120" s="52" t="s">
        <v>43</v>
      </c>
      <c r="E120" s="63"/>
      <c r="F120" s="8">
        <v>1</v>
      </c>
      <c r="G120" s="67" t="s">
        <v>83</v>
      </c>
      <c r="H120" s="68"/>
      <c r="I120" s="35">
        <v>57</v>
      </c>
      <c r="J120" s="9">
        <f t="shared" si="18"/>
        <v>1.7543859649122806E-2</v>
      </c>
      <c r="K120" s="39">
        <v>1</v>
      </c>
      <c r="L120" s="39"/>
      <c r="M120" s="39"/>
      <c r="N120" s="39"/>
      <c r="O120" s="39"/>
      <c r="P120" s="39"/>
      <c r="Q120" s="39"/>
      <c r="R120" s="39"/>
      <c r="S120" s="10">
        <f t="shared" si="25"/>
        <v>1</v>
      </c>
      <c r="T120" s="10">
        <v>100000</v>
      </c>
      <c r="U120" s="10">
        <f t="shared" si="27"/>
        <v>100000</v>
      </c>
      <c r="V120" s="4"/>
      <c r="Y120" s="4"/>
    </row>
    <row r="121" spans="2:25" ht="37.5" hidden="1">
      <c r="B121" s="58"/>
      <c r="C121" s="60"/>
      <c r="D121" s="52" t="s">
        <v>43</v>
      </c>
      <c r="E121" s="63"/>
      <c r="F121" s="8">
        <v>8.3333333333333329E-2</v>
      </c>
      <c r="G121" s="67" t="s">
        <v>83</v>
      </c>
      <c r="H121" s="68"/>
      <c r="I121" s="35">
        <v>57</v>
      </c>
      <c r="J121" s="9">
        <f t="shared" si="18"/>
        <v>1.7543859649122806E-2</v>
      </c>
      <c r="K121" s="39">
        <v>1</v>
      </c>
      <c r="L121" s="39"/>
      <c r="M121" s="39"/>
      <c r="N121" s="39"/>
      <c r="O121" s="39"/>
      <c r="P121" s="39"/>
      <c r="Q121" s="39"/>
      <c r="R121" s="39"/>
      <c r="S121" s="10">
        <f t="shared" si="25"/>
        <v>1</v>
      </c>
      <c r="T121" s="10">
        <v>100000</v>
      </c>
      <c r="U121" s="10">
        <f t="shared" si="27"/>
        <v>100000</v>
      </c>
      <c r="V121" s="4"/>
      <c r="Y121" s="4"/>
    </row>
    <row r="122" spans="2:25" ht="37.5" hidden="1">
      <c r="B122" s="58"/>
      <c r="C122" s="60"/>
      <c r="D122" s="52" t="s">
        <v>43</v>
      </c>
      <c r="E122" s="63"/>
      <c r="F122" s="8">
        <v>0.16666666666666666</v>
      </c>
      <c r="G122" s="67" t="s">
        <v>83</v>
      </c>
      <c r="H122" s="68"/>
      <c r="I122" s="35">
        <v>57</v>
      </c>
      <c r="J122" s="9">
        <f t="shared" si="18"/>
        <v>0</v>
      </c>
      <c r="K122" s="39"/>
      <c r="L122" s="39"/>
      <c r="M122" s="39"/>
      <c r="N122" s="39"/>
      <c r="O122" s="39"/>
      <c r="P122" s="39"/>
      <c r="Q122" s="39"/>
      <c r="R122" s="39"/>
      <c r="S122" s="10">
        <f t="shared" si="25"/>
        <v>0</v>
      </c>
      <c r="T122" s="10">
        <v>100000</v>
      </c>
      <c r="U122" s="10">
        <f t="shared" si="27"/>
        <v>0</v>
      </c>
      <c r="V122" s="4"/>
      <c r="W122" s="4"/>
      <c r="X122" s="4"/>
      <c r="Y122" s="4"/>
    </row>
    <row r="123" spans="2:25" ht="37.5" hidden="1">
      <c r="B123" s="58"/>
      <c r="C123" s="60"/>
      <c r="D123" s="52" t="s">
        <v>43</v>
      </c>
      <c r="E123" s="63"/>
      <c r="F123" s="8">
        <v>0.25</v>
      </c>
      <c r="G123" s="67" t="s">
        <v>83</v>
      </c>
      <c r="H123" s="68"/>
      <c r="I123" s="35">
        <v>57</v>
      </c>
      <c r="J123" s="9">
        <f t="shared" si="18"/>
        <v>0</v>
      </c>
      <c r="K123" s="39"/>
      <c r="L123" s="39"/>
      <c r="M123" s="39"/>
      <c r="N123" s="39"/>
      <c r="O123" s="39"/>
      <c r="P123" s="39"/>
      <c r="Q123" s="39"/>
      <c r="R123" s="39"/>
      <c r="S123" s="10">
        <f t="shared" si="25"/>
        <v>0</v>
      </c>
      <c r="T123" s="10">
        <v>100000</v>
      </c>
      <c r="U123" s="10">
        <f t="shared" si="27"/>
        <v>0</v>
      </c>
      <c r="V123" s="4"/>
      <c r="Y123" s="4"/>
    </row>
    <row r="124" spans="2:25" ht="37.5" hidden="1">
      <c r="B124" s="58"/>
      <c r="C124" s="60"/>
      <c r="D124" s="53" t="s">
        <v>43</v>
      </c>
      <c r="E124" s="64"/>
      <c r="F124" s="14">
        <v>0.33333333333333331</v>
      </c>
      <c r="G124" s="67" t="s">
        <v>83</v>
      </c>
      <c r="H124" s="68"/>
      <c r="I124" s="37">
        <v>57</v>
      </c>
      <c r="J124" s="9">
        <f t="shared" si="18"/>
        <v>0</v>
      </c>
      <c r="K124" s="40"/>
      <c r="L124" s="40"/>
      <c r="M124" s="40"/>
      <c r="N124" s="40"/>
      <c r="O124" s="40"/>
      <c r="P124" s="40"/>
      <c r="Q124" s="40"/>
      <c r="R124" s="40"/>
      <c r="S124" s="16">
        <f t="shared" si="25"/>
        <v>0</v>
      </c>
      <c r="T124" s="16">
        <v>100000</v>
      </c>
      <c r="U124" s="16">
        <f t="shared" si="27"/>
        <v>0</v>
      </c>
      <c r="V124" s="4"/>
      <c r="W124" s="4"/>
      <c r="X124" s="4"/>
      <c r="Y124" s="4"/>
    </row>
    <row r="125" spans="2:25" ht="38.25" hidden="1" customHeight="1">
      <c r="B125" s="58">
        <v>46091</v>
      </c>
      <c r="C125" s="59" t="s">
        <v>17</v>
      </c>
      <c r="D125" s="51" t="s">
        <v>43</v>
      </c>
      <c r="E125" s="62" t="s">
        <v>101</v>
      </c>
      <c r="F125" s="5">
        <v>0.41666666666666669</v>
      </c>
      <c r="G125" s="65" t="s">
        <v>76</v>
      </c>
      <c r="H125" s="66"/>
      <c r="I125" s="34">
        <v>41</v>
      </c>
      <c r="J125" s="6">
        <f t="shared" si="18"/>
        <v>7.3170731707317069E-2</v>
      </c>
      <c r="K125" s="38"/>
      <c r="L125" s="38"/>
      <c r="M125" s="38"/>
      <c r="N125" s="38"/>
      <c r="O125" s="38"/>
      <c r="P125" s="38"/>
      <c r="Q125" s="38"/>
      <c r="R125" s="38">
        <v>3</v>
      </c>
      <c r="S125" s="7">
        <f>SUM(K125:R125)</f>
        <v>3</v>
      </c>
      <c r="T125" s="7">
        <v>100000</v>
      </c>
      <c r="U125" s="7">
        <f>T125*S125</f>
        <v>300000</v>
      </c>
      <c r="V125" s="4"/>
      <c r="W125" s="4"/>
      <c r="X125" s="4"/>
      <c r="Y125" s="4"/>
    </row>
    <row r="126" spans="2:25" ht="37.5" hidden="1">
      <c r="B126" s="58"/>
      <c r="C126" s="60"/>
      <c r="D126" s="52" t="s">
        <v>43</v>
      </c>
      <c r="E126" s="63"/>
      <c r="F126" s="8">
        <v>0.5</v>
      </c>
      <c r="G126" s="67" t="s">
        <v>76</v>
      </c>
      <c r="H126" s="68"/>
      <c r="I126" s="35">
        <v>50</v>
      </c>
      <c r="J126" s="9">
        <f t="shared" si="18"/>
        <v>0.04</v>
      </c>
      <c r="K126" s="39"/>
      <c r="L126" s="39"/>
      <c r="M126" s="39"/>
      <c r="N126" s="39"/>
      <c r="O126" s="39"/>
      <c r="P126" s="39"/>
      <c r="Q126" s="39"/>
      <c r="R126" s="39">
        <v>2</v>
      </c>
      <c r="S126" s="10">
        <f t="shared" ref="S126:S136" si="28">SUM(K126:R126)</f>
        <v>2</v>
      </c>
      <c r="T126" s="10">
        <v>100000</v>
      </c>
      <c r="U126" s="10">
        <f t="shared" ref="U126:U127" si="29">T126*S126</f>
        <v>200000</v>
      </c>
      <c r="V126" s="4"/>
      <c r="W126" s="4"/>
      <c r="X126" s="4"/>
      <c r="Y126" s="4"/>
    </row>
    <row r="127" spans="2:25" ht="37.5" hidden="1">
      <c r="B127" s="58"/>
      <c r="C127" s="60"/>
      <c r="D127" s="52" t="s">
        <v>43</v>
      </c>
      <c r="E127" s="63"/>
      <c r="F127" s="8">
        <v>0.58333333333333337</v>
      </c>
      <c r="G127" s="67" t="s">
        <v>76</v>
      </c>
      <c r="H127" s="68"/>
      <c r="I127" s="35">
        <v>60</v>
      </c>
      <c r="J127" s="9">
        <f t="shared" si="18"/>
        <v>3.3333333333333333E-2</v>
      </c>
      <c r="K127" s="39">
        <v>2</v>
      </c>
      <c r="L127" s="39"/>
      <c r="M127" s="39"/>
      <c r="N127" s="39"/>
      <c r="O127" s="39"/>
      <c r="P127" s="39"/>
      <c r="Q127" s="39"/>
      <c r="R127" s="39"/>
      <c r="S127" s="10">
        <f t="shared" si="28"/>
        <v>2</v>
      </c>
      <c r="T127" s="10">
        <v>100000</v>
      </c>
      <c r="U127" s="10">
        <f t="shared" si="29"/>
        <v>200000</v>
      </c>
      <c r="V127" s="4"/>
      <c r="W127" s="4"/>
      <c r="X127" s="4"/>
      <c r="Y127" s="4"/>
    </row>
    <row r="128" spans="2:25" ht="37.5" hidden="1">
      <c r="B128" s="58"/>
      <c r="C128" s="60"/>
      <c r="D128" s="52" t="s">
        <v>43</v>
      </c>
      <c r="E128" s="63"/>
      <c r="F128" s="8">
        <v>0.66666666666666663</v>
      </c>
      <c r="G128" s="67" t="s">
        <v>76</v>
      </c>
      <c r="H128" s="68"/>
      <c r="I128" s="35">
        <v>55</v>
      </c>
      <c r="J128" s="9">
        <f t="shared" si="18"/>
        <v>1.8181818181818181E-2</v>
      </c>
      <c r="K128" s="39"/>
      <c r="L128" s="39"/>
      <c r="M128" s="39"/>
      <c r="N128" s="39"/>
      <c r="O128" s="39"/>
      <c r="P128" s="39"/>
      <c r="Q128" s="39">
        <v>1</v>
      </c>
      <c r="R128" s="39"/>
      <c r="S128" s="10">
        <f t="shared" si="28"/>
        <v>1</v>
      </c>
      <c r="T128" s="10">
        <v>100000</v>
      </c>
      <c r="U128" s="10">
        <f>T128*S128</f>
        <v>100000</v>
      </c>
      <c r="V128" s="4"/>
      <c r="W128" s="4"/>
      <c r="X128" s="4"/>
      <c r="Y128" s="4"/>
    </row>
    <row r="129" spans="2:25" ht="37.5" hidden="1">
      <c r="B129" s="58"/>
      <c r="C129" s="60"/>
      <c r="D129" s="52" t="s">
        <v>43</v>
      </c>
      <c r="E129" s="63"/>
      <c r="F129" s="8">
        <v>0.75</v>
      </c>
      <c r="G129" s="67" t="s">
        <v>76</v>
      </c>
      <c r="H129" s="68"/>
      <c r="I129" s="35">
        <v>60</v>
      </c>
      <c r="J129" s="9">
        <f t="shared" si="18"/>
        <v>0</v>
      </c>
      <c r="K129" s="39"/>
      <c r="L129" s="39"/>
      <c r="M129" s="39"/>
      <c r="N129" s="39"/>
      <c r="O129" s="39"/>
      <c r="P129" s="39"/>
      <c r="Q129" s="39"/>
      <c r="R129" s="39"/>
      <c r="S129" s="10">
        <f t="shared" si="28"/>
        <v>0</v>
      </c>
      <c r="T129" s="10">
        <v>100000</v>
      </c>
      <c r="U129" s="10">
        <f t="shared" ref="U129:U136" si="30">T129*S129</f>
        <v>0</v>
      </c>
      <c r="V129" s="4"/>
      <c r="W129" s="4"/>
      <c r="X129" s="11"/>
      <c r="Y129" s="4"/>
    </row>
    <row r="130" spans="2:25" ht="37.5" hidden="1">
      <c r="B130" s="58"/>
      <c r="C130" s="60"/>
      <c r="D130" s="53" t="s">
        <v>43</v>
      </c>
      <c r="E130" s="64"/>
      <c r="F130" s="12">
        <v>0.83333333333333337</v>
      </c>
      <c r="G130" s="67" t="s">
        <v>76</v>
      </c>
      <c r="H130" s="68"/>
      <c r="I130" s="36">
        <v>0</v>
      </c>
      <c r="J130" s="9" t="str">
        <f t="shared" si="18"/>
        <v/>
      </c>
      <c r="K130" s="41"/>
      <c r="L130" s="41"/>
      <c r="M130" s="41"/>
      <c r="N130" s="41"/>
      <c r="O130" s="41"/>
      <c r="P130" s="41"/>
      <c r="Q130" s="41"/>
      <c r="R130" s="41"/>
      <c r="S130" s="13">
        <f t="shared" si="28"/>
        <v>0</v>
      </c>
      <c r="T130" s="13">
        <v>100000</v>
      </c>
      <c r="U130" s="13">
        <f t="shared" si="30"/>
        <v>0</v>
      </c>
      <c r="V130" s="4"/>
      <c r="Y130" s="4"/>
    </row>
    <row r="131" spans="2:25" ht="37.5" hidden="1">
      <c r="B131" s="58"/>
      <c r="C131" s="60"/>
      <c r="D131" s="51" t="s">
        <v>43</v>
      </c>
      <c r="E131" s="62" t="s">
        <v>102</v>
      </c>
      <c r="F131" s="5">
        <v>0.91666666666666663</v>
      </c>
      <c r="G131" s="65" t="s">
        <v>82</v>
      </c>
      <c r="H131" s="66"/>
      <c r="I131" s="34">
        <v>50</v>
      </c>
      <c r="J131" s="6">
        <f t="shared" si="18"/>
        <v>0.1</v>
      </c>
      <c r="K131" s="38">
        <v>1</v>
      </c>
      <c r="L131" s="38"/>
      <c r="M131" s="38"/>
      <c r="N131" s="38"/>
      <c r="O131" s="38"/>
      <c r="P131" s="38"/>
      <c r="Q131" s="38">
        <v>4</v>
      </c>
      <c r="R131" s="38"/>
      <c r="S131" s="7">
        <f t="shared" si="28"/>
        <v>5</v>
      </c>
      <c r="T131" s="7">
        <v>100000</v>
      </c>
      <c r="U131" s="7">
        <f t="shared" si="30"/>
        <v>500000</v>
      </c>
      <c r="V131" s="4"/>
      <c r="Y131" s="4"/>
    </row>
    <row r="132" spans="2:25" ht="37.5" hidden="1">
      <c r="B132" s="58"/>
      <c r="C132" s="60"/>
      <c r="D132" s="52" t="s">
        <v>43</v>
      </c>
      <c r="E132" s="63"/>
      <c r="F132" s="8">
        <v>1</v>
      </c>
      <c r="G132" s="67" t="s">
        <v>82</v>
      </c>
      <c r="H132" s="68"/>
      <c r="I132" s="35">
        <v>50</v>
      </c>
      <c r="J132" s="9">
        <f t="shared" si="18"/>
        <v>0</v>
      </c>
      <c r="K132" s="39"/>
      <c r="L132" s="39"/>
      <c r="M132" s="39"/>
      <c r="N132" s="39"/>
      <c r="O132" s="39"/>
      <c r="P132" s="39"/>
      <c r="Q132" s="39"/>
      <c r="R132" s="39"/>
      <c r="S132" s="10">
        <f t="shared" si="28"/>
        <v>0</v>
      </c>
      <c r="T132" s="10">
        <v>100000</v>
      </c>
      <c r="U132" s="10">
        <f t="shared" si="30"/>
        <v>0</v>
      </c>
      <c r="V132" s="4"/>
      <c r="Y132" s="4"/>
    </row>
    <row r="133" spans="2:25" ht="37.5" hidden="1">
      <c r="B133" s="58"/>
      <c r="C133" s="60"/>
      <c r="D133" s="52" t="s">
        <v>43</v>
      </c>
      <c r="E133" s="63"/>
      <c r="F133" s="8">
        <v>8.3333333333333329E-2</v>
      </c>
      <c r="G133" s="67" t="s">
        <v>82</v>
      </c>
      <c r="H133" s="68"/>
      <c r="I133" s="35">
        <v>50</v>
      </c>
      <c r="J133" s="9">
        <f t="shared" si="18"/>
        <v>0</v>
      </c>
      <c r="K133" s="39"/>
      <c r="L133" s="39"/>
      <c r="M133" s="39"/>
      <c r="N133" s="39"/>
      <c r="O133" s="39"/>
      <c r="P133" s="39"/>
      <c r="Q133" s="39"/>
      <c r="R133" s="39"/>
      <c r="S133" s="10">
        <f t="shared" si="28"/>
        <v>0</v>
      </c>
      <c r="T133" s="10">
        <v>100000</v>
      </c>
      <c r="U133" s="10">
        <f t="shared" si="30"/>
        <v>0</v>
      </c>
      <c r="V133" s="4"/>
      <c r="Y133" s="4"/>
    </row>
    <row r="134" spans="2:25" ht="37.5" hidden="1">
      <c r="B134" s="58"/>
      <c r="C134" s="60"/>
      <c r="D134" s="52" t="s">
        <v>43</v>
      </c>
      <c r="E134" s="63"/>
      <c r="F134" s="8">
        <v>0.16666666666666666</v>
      </c>
      <c r="G134" s="67" t="s">
        <v>82</v>
      </c>
      <c r="H134" s="68"/>
      <c r="I134" s="35">
        <v>50</v>
      </c>
      <c r="J134" s="9">
        <f t="shared" si="18"/>
        <v>0</v>
      </c>
      <c r="K134" s="39"/>
      <c r="L134" s="39"/>
      <c r="M134" s="39"/>
      <c r="N134" s="39"/>
      <c r="O134" s="39"/>
      <c r="P134" s="39"/>
      <c r="Q134" s="39"/>
      <c r="R134" s="39"/>
      <c r="S134" s="10">
        <f t="shared" si="28"/>
        <v>0</v>
      </c>
      <c r="T134" s="10">
        <v>100000</v>
      </c>
      <c r="U134" s="10">
        <f t="shared" si="30"/>
        <v>0</v>
      </c>
      <c r="V134" s="4"/>
      <c r="W134" s="4"/>
      <c r="X134" s="4"/>
      <c r="Y134" s="4"/>
    </row>
    <row r="135" spans="2:25" ht="37.5" hidden="1">
      <c r="B135" s="58"/>
      <c r="C135" s="60"/>
      <c r="D135" s="52" t="s">
        <v>43</v>
      </c>
      <c r="E135" s="63"/>
      <c r="F135" s="8">
        <v>0.25</v>
      </c>
      <c r="G135" s="67" t="s">
        <v>82</v>
      </c>
      <c r="H135" s="68"/>
      <c r="I135" s="35">
        <v>50</v>
      </c>
      <c r="J135" s="9">
        <f t="shared" si="18"/>
        <v>0</v>
      </c>
      <c r="K135" s="39"/>
      <c r="L135" s="39"/>
      <c r="M135" s="39"/>
      <c r="N135" s="39"/>
      <c r="O135" s="39"/>
      <c r="P135" s="39"/>
      <c r="Q135" s="39"/>
      <c r="R135" s="39"/>
      <c r="S135" s="10">
        <f t="shared" si="28"/>
        <v>0</v>
      </c>
      <c r="T135" s="10">
        <v>100000</v>
      </c>
      <c r="U135" s="10">
        <f t="shared" si="30"/>
        <v>0</v>
      </c>
      <c r="V135" s="4"/>
      <c r="Y135" s="4"/>
    </row>
    <row r="136" spans="2:25" ht="37.5" hidden="1">
      <c r="B136" s="58"/>
      <c r="C136" s="61"/>
      <c r="D136" s="53" t="s">
        <v>43</v>
      </c>
      <c r="E136" s="64"/>
      <c r="F136" s="14">
        <v>0.33333333333333331</v>
      </c>
      <c r="G136" s="67" t="s">
        <v>82</v>
      </c>
      <c r="H136" s="68"/>
      <c r="I136" s="37">
        <v>54</v>
      </c>
      <c r="J136" s="15">
        <f t="shared" si="18"/>
        <v>1.8518518518518517E-2</v>
      </c>
      <c r="K136" s="40">
        <v>1</v>
      </c>
      <c r="L136" s="40"/>
      <c r="M136" s="40"/>
      <c r="N136" s="40"/>
      <c r="O136" s="40"/>
      <c r="P136" s="40"/>
      <c r="Q136" s="40"/>
      <c r="R136" s="40"/>
      <c r="S136" s="16">
        <f t="shared" si="28"/>
        <v>1</v>
      </c>
      <c r="T136" s="16">
        <v>100000</v>
      </c>
      <c r="U136" s="16">
        <f t="shared" si="30"/>
        <v>100000</v>
      </c>
      <c r="V136" s="4"/>
      <c r="W136" s="4"/>
      <c r="X136" s="4"/>
      <c r="Y136" s="4"/>
    </row>
    <row r="137" spans="2:25" ht="39" hidden="1" customHeight="1">
      <c r="B137" s="58">
        <v>46092</v>
      </c>
      <c r="C137" s="59" t="s">
        <v>17</v>
      </c>
      <c r="D137" s="51" t="s">
        <v>43</v>
      </c>
      <c r="E137" s="62" t="s">
        <v>101</v>
      </c>
      <c r="F137" s="5">
        <v>0.41666666666666669</v>
      </c>
      <c r="G137" s="65" t="s">
        <v>78</v>
      </c>
      <c r="H137" s="66"/>
      <c r="I137" s="34">
        <v>38</v>
      </c>
      <c r="J137" s="6">
        <f t="shared" ref="J137:J148" si="31">IFERROR(S137/I137,"")</f>
        <v>7.8947368421052627E-2</v>
      </c>
      <c r="K137" s="38"/>
      <c r="L137" s="38"/>
      <c r="M137" s="38"/>
      <c r="N137" s="38"/>
      <c r="O137" s="38"/>
      <c r="P137" s="38"/>
      <c r="Q137" s="38">
        <v>2</v>
      </c>
      <c r="R137" s="38">
        <v>1</v>
      </c>
      <c r="S137" s="7">
        <f>SUM(K137:R137)</f>
        <v>3</v>
      </c>
      <c r="T137" s="7">
        <v>100000</v>
      </c>
      <c r="U137" s="7">
        <f>T137*S137</f>
        <v>300000</v>
      </c>
      <c r="V137" s="4"/>
      <c r="W137" s="4"/>
      <c r="X137" s="4"/>
      <c r="Y137" s="4"/>
    </row>
    <row r="138" spans="2:25" ht="18.75" hidden="1">
      <c r="B138" s="58"/>
      <c r="C138" s="60"/>
      <c r="D138" s="52"/>
      <c r="E138" s="63"/>
      <c r="F138" s="8">
        <v>0.5</v>
      </c>
      <c r="G138" s="67"/>
      <c r="H138" s="68"/>
      <c r="I138" s="35"/>
      <c r="J138" s="9" t="str">
        <f t="shared" si="31"/>
        <v/>
      </c>
      <c r="K138" s="39"/>
      <c r="L138" s="39"/>
      <c r="M138" s="39"/>
      <c r="N138" s="39"/>
      <c r="O138" s="39"/>
      <c r="P138" s="39"/>
      <c r="Q138" s="39"/>
      <c r="R138" s="39"/>
      <c r="S138" s="10">
        <f t="shared" ref="S138:S148" si="32">SUM(K138:R138)</f>
        <v>0</v>
      </c>
      <c r="T138" s="10">
        <v>100000</v>
      </c>
      <c r="U138" s="10">
        <f t="shared" ref="U138:U139" si="33">T138*S138</f>
        <v>0</v>
      </c>
      <c r="V138" s="4"/>
      <c r="W138" s="4"/>
      <c r="X138" s="4"/>
      <c r="Y138" s="4"/>
    </row>
    <row r="139" spans="2:25" ht="18.75" hidden="1">
      <c r="B139" s="58"/>
      <c r="C139" s="60"/>
      <c r="D139" s="52"/>
      <c r="E139" s="63"/>
      <c r="F139" s="8">
        <v>0.58333333333333337</v>
      </c>
      <c r="G139" s="67"/>
      <c r="H139" s="68"/>
      <c r="I139" s="35"/>
      <c r="J139" s="9" t="str">
        <f t="shared" si="31"/>
        <v/>
      </c>
      <c r="K139" s="39"/>
      <c r="L139" s="39"/>
      <c r="M139" s="39"/>
      <c r="N139" s="39"/>
      <c r="O139" s="39"/>
      <c r="P139" s="39"/>
      <c r="Q139" s="39"/>
      <c r="R139" s="39"/>
      <c r="S139" s="10">
        <f t="shared" si="32"/>
        <v>0</v>
      </c>
      <c r="T139" s="10">
        <v>100000</v>
      </c>
      <c r="U139" s="10">
        <f t="shared" si="33"/>
        <v>0</v>
      </c>
      <c r="V139" s="4"/>
      <c r="W139" s="4"/>
      <c r="X139" s="4"/>
      <c r="Y139" s="4"/>
    </row>
    <row r="140" spans="2:25" ht="18.75" hidden="1">
      <c r="B140" s="58"/>
      <c r="C140" s="60"/>
      <c r="D140" s="52"/>
      <c r="E140" s="63"/>
      <c r="F140" s="8">
        <v>0.66666666666666663</v>
      </c>
      <c r="G140" s="67"/>
      <c r="H140" s="68"/>
      <c r="I140" s="35"/>
      <c r="J140" s="9" t="str">
        <f t="shared" si="31"/>
        <v/>
      </c>
      <c r="K140" s="39"/>
      <c r="L140" s="39"/>
      <c r="M140" s="39"/>
      <c r="N140" s="39"/>
      <c r="O140" s="39"/>
      <c r="P140" s="39"/>
      <c r="Q140" s="39"/>
      <c r="R140" s="39"/>
      <c r="S140" s="10">
        <f t="shared" si="32"/>
        <v>0</v>
      </c>
      <c r="T140" s="10">
        <v>100000</v>
      </c>
      <c r="U140" s="10">
        <f>T140*S140</f>
        <v>0</v>
      </c>
      <c r="V140" s="4"/>
      <c r="W140" s="4"/>
      <c r="X140" s="4"/>
      <c r="Y140" s="4"/>
    </row>
    <row r="141" spans="2:25" ht="18.75" hidden="1">
      <c r="B141" s="58"/>
      <c r="C141" s="60"/>
      <c r="D141" s="52"/>
      <c r="E141" s="63"/>
      <c r="F141" s="8">
        <v>0.75</v>
      </c>
      <c r="G141" s="67"/>
      <c r="H141" s="68"/>
      <c r="I141" s="35"/>
      <c r="J141" s="9" t="str">
        <f t="shared" si="31"/>
        <v/>
      </c>
      <c r="K141" s="39"/>
      <c r="L141" s="39"/>
      <c r="M141" s="39"/>
      <c r="N141" s="39"/>
      <c r="O141" s="39"/>
      <c r="P141" s="39"/>
      <c r="Q141" s="39"/>
      <c r="R141" s="39"/>
      <c r="S141" s="10">
        <f t="shared" si="32"/>
        <v>0</v>
      </c>
      <c r="T141" s="10">
        <v>100000</v>
      </c>
      <c r="U141" s="10">
        <f t="shared" ref="U141:U148" si="34">T141*S141</f>
        <v>0</v>
      </c>
      <c r="V141" s="4"/>
      <c r="W141" s="4"/>
      <c r="X141" s="11"/>
      <c r="Y141" s="4"/>
    </row>
    <row r="142" spans="2:25" ht="18.75" hidden="1">
      <c r="B142" s="58"/>
      <c r="C142" s="60"/>
      <c r="D142" s="53"/>
      <c r="E142" s="64"/>
      <c r="F142" s="12">
        <v>0.83333333333333337</v>
      </c>
      <c r="G142" s="67"/>
      <c r="H142" s="68"/>
      <c r="I142" s="36"/>
      <c r="J142" s="9" t="str">
        <f t="shared" si="31"/>
        <v/>
      </c>
      <c r="K142" s="41"/>
      <c r="L142" s="41"/>
      <c r="M142" s="41"/>
      <c r="N142" s="41"/>
      <c r="O142" s="41"/>
      <c r="P142" s="41"/>
      <c r="Q142" s="41"/>
      <c r="R142" s="41"/>
      <c r="S142" s="13">
        <f t="shared" si="32"/>
        <v>0</v>
      </c>
      <c r="T142" s="13">
        <v>100000</v>
      </c>
      <c r="U142" s="13">
        <f t="shared" si="34"/>
        <v>0</v>
      </c>
      <c r="V142" s="4"/>
      <c r="Y142" s="4"/>
    </row>
    <row r="143" spans="2:25" ht="37.5" hidden="1">
      <c r="B143" s="58"/>
      <c r="C143" s="60"/>
      <c r="D143" s="51" t="s">
        <v>43</v>
      </c>
      <c r="E143" s="62" t="s">
        <v>102</v>
      </c>
      <c r="F143" s="5">
        <v>0.91666666666666663</v>
      </c>
      <c r="G143" s="65" t="s">
        <v>82</v>
      </c>
      <c r="H143" s="66"/>
      <c r="I143" s="34">
        <v>53</v>
      </c>
      <c r="J143" s="6">
        <f t="shared" si="31"/>
        <v>1.8867924528301886E-2</v>
      </c>
      <c r="K143" s="38">
        <v>1</v>
      </c>
      <c r="L143" s="38"/>
      <c r="M143" s="38"/>
      <c r="N143" s="38"/>
      <c r="O143" s="38"/>
      <c r="P143" s="38"/>
      <c r="Q143" s="38"/>
      <c r="R143" s="38"/>
      <c r="S143" s="7">
        <f t="shared" si="32"/>
        <v>1</v>
      </c>
      <c r="T143" s="7">
        <v>100000</v>
      </c>
      <c r="U143" s="7">
        <f t="shared" si="34"/>
        <v>100000</v>
      </c>
      <c r="V143" s="4"/>
      <c r="Y143" s="4"/>
    </row>
    <row r="144" spans="2:25" ht="37.5" hidden="1">
      <c r="B144" s="58"/>
      <c r="C144" s="60"/>
      <c r="D144" s="52" t="s">
        <v>43</v>
      </c>
      <c r="E144" s="63"/>
      <c r="F144" s="8">
        <v>1</v>
      </c>
      <c r="G144" s="67" t="s">
        <v>82</v>
      </c>
      <c r="H144" s="68"/>
      <c r="I144" s="35">
        <v>53</v>
      </c>
      <c r="J144" s="9">
        <f t="shared" si="31"/>
        <v>1.8867924528301886E-2</v>
      </c>
      <c r="K144" s="39">
        <v>1</v>
      </c>
      <c r="L144" s="39"/>
      <c r="M144" s="39"/>
      <c r="N144" s="39"/>
      <c r="O144" s="39"/>
      <c r="P144" s="39"/>
      <c r="Q144" s="39"/>
      <c r="R144" s="39"/>
      <c r="S144" s="10">
        <f t="shared" si="32"/>
        <v>1</v>
      </c>
      <c r="T144" s="10">
        <v>100000</v>
      </c>
      <c r="U144" s="10">
        <f t="shared" si="34"/>
        <v>100000</v>
      </c>
      <c r="V144" s="4"/>
      <c r="Y144" s="4"/>
    </row>
    <row r="145" spans="2:25" ht="37.5" hidden="1">
      <c r="B145" s="58"/>
      <c r="C145" s="60"/>
      <c r="D145" s="52" t="s">
        <v>43</v>
      </c>
      <c r="E145" s="63"/>
      <c r="F145" s="8">
        <v>8.3333333333333329E-2</v>
      </c>
      <c r="G145" s="67" t="s">
        <v>82</v>
      </c>
      <c r="H145" s="68"/>
      <c r="I145" s="35">
        <v>53</v>
      </c>
      <c r="J145" s="9">
        <f t="shared" si="31"/>
        <v>1.8867924528301886E-2</v>
      </c>
      <c r="K145" s="39">
        <v>1</v>
      </c>
      <c r="L145" s="39"/>
      <c r="M145" s="39"/>
      <c r="N145" s="39"/>
      <c r="O145" s="39"/>
      <c r="P145" s="39"/>
      <c r="Q145" s="39"/>
      <c r="R145" s="39"/>
      <c r="S145" s="10">
        <f t="shared" si="32"/>
        <v>1</v>
      </c>
      <c r="T145" s="10">
        <v>100000</v>
      </c>
      <c r="U145" s="10">
        <f t="shared" si="34"/>
        <v>100000</v>
      </c>
      <c r="V145" s="4"/>
      <c r="Y145" s="4"/>
    </row>
    <row r="146" spans="2:25" ht="37.5" hidden="1">
      <c r="B146" s="58"/>
      <c r="C146" s="60"/>
      <c r="D146" s="52" t="s">
        <v>43</v>
      </c>
      <c r="E146" s="63"/>
      <c r="F146" s="8">
        <v>0.16666666666666666</v>
      </c>
      <c r="G146" s="67" t="s">
        <v>82</v>
      </c>
      <c r="H146" s="68"/>
      <c r="I146" s="35">
        <v>54</v>
      </c>
      <c r="J146" s="9">
        <f t="shared" si="31"/>
        <v>0</v>
      </c>
      <c r="K146" s="39"/>
      <c r="L146" s="39"/>
      <c r="M146" s="39"/>
      <c r="N146" s="39"/>
      <c r="O146" s="39"/>
      <c r="P146" s="39"/>
      <c r="Q146" s="39"/>
      <c r="R146" s="39"/>
      <c r="S146" s="10">
        <f t="shared" si="32"/>
        <v>0</v>
      </c>
      <c r="T146" s="10">
        <v>100000</v>
      </c>
      <c r="U146" s="10">
        <f t="shared" si="34"/>
        <v>0</v>
      </c>
      <c r="V146" s="4"/>
      <c r="W146" s="4"/>
      <c r="X146" s="4"/>
      <c r="Y146" s="4"/>
    </row>
    <row r="147" spans="2:25" ht="37.5" hidden="1">
      <c r="B147" s="58"/>
      <c r="C147" s="60"/>
      <c r="D147" s="52" t="s">
        <v>43</v>
      </c>
      <c r="E147" s="63"/>
      <c r="F147" s="8">
        <v>0.25</v>
      </c>
      <c r="G147" s="67" t="s">
        <v>82</v>
      </c>
      <c r="H147" s="68"/>
      <c r="I147" s="35">
        <v>54</v>
      </c>
      <c r="J147" s="9">
        <f t="shared" si="31"/>
        <v>0</v>
      </c>
      <c r="K147" s="39"/>
      <c r="L147" s="39"/>
      <c r="M147" s="39"/>
      <c r="N147" s="39"/>
      <c r="O147" s="39"/>
      <c r="P147" s="39"/>
      <c r="Q147" s="39"/>
      <c r="R147" s="39"/>
      <c r="S147" s="10">
        <f t="shared" si="32"/>
        <v>0</v>
      </c>
      <c r="T147" s="10">
        <v>100000</v>
      </c>
      <c r="U147" s="10">
        <f t="shared" si="34"/>
        <v>0</v>
      </c>
      <c r="V147" s="4"/>
      <c r="Y147" s="4"/>
    </row>
    <row r="148" spans="2:25" ht="37.5" hidden="1">
      <c r="B148" s="58"/>
      <c r="C148" s="61"/>
      <c r="D148" s="53" t="s">
        <v>43</v>
      </c>
      <c r="E148" s="69"/>
      <c r="F148" s="14">
        <v>0.33333333333333331</v>
      </c>
      <c r="G148" s="67" t="s">
        <v>82</v>
      </c>
      <c r="H148" s="68"/>
      <c r="I148" s="37">
        <v>56</v>
      </c>
      <c r="J148" s="15">
        <f t="shared" si="31"/>
        <v>0</v>
      </c>
      <c r="K148" s="40"/>
      <c r="L148" s="40"/>
      <c r="M148" s="40"/>
      <c r="N148" s="40"/>
      <c r="O148" s="40"/>
      <c r="P148" s="40"/>
      <c r="Q148" s="40"/>
      <c r="R148" s="40"/>
      <c r="S148" s="16">
        <f t="shared" si="32"/>
        <v>0</v>
      </c>
      <c r="T148" s="16">
        <v>100000</v>
      </c>
      <c r="U148" s="16">
        <f t="shared" si="34"/>
        <v>0</v>
      </c>
      <c r="V148" s="4"/>
      <c r="W148" s="4"/>
      <c r="X148" s="4"/>
      <c r="Y148" s="4"/>
    </row>
    <row r="149" spans="2:25" ht="39" hidden="1" customHeight="1">
      <c r="B149" s="58">
        <v>46093</v>
      </c>
      <c r="C149" s="59" t="s">
        <v>17</v>
      </c>
      <c r="D149" s="51"/>
      <c r="E149" s="62" t="s">
        <v>101</v>
      </c>
      <c r="F149" s="5">
        <v>0.41666666666666669</v>
      </c>
      <c r="G149" s="65"/>
      <c r="H149" s="66"/>
      <c r="I149" s="34"/>
      <c r="J149" s="6" t="str">
        <f t="shared" ref="J149:J160" si="35">IFERROR(S149/I149,"")</f>
        <v/>
      </c>
      <c r="K149" s="38"/>
      <c r="L149" s="38"/>
      <c r="M149" s="38"/>
      <c r="N149" s="38"/>
      <c r="O149" s="38"/>
      <c r="P149" s="38"/>
      <c r="Q149" s="38"/>
      <c r="R149" s="38"/>
      <c r="S149" s="7">
        <f>SUM(K149:R149)</f>
        <v>0</v>
      </c>
      <c r="T149" s="7">
        <v>100000</v>
      </c>
      <c r="U149" s="7">
        <f>T149*S149</f>
        <v>0</v>
      </c>
      <c r="V149" s="4"/>
      <c r="W149" s="4"/>
      <c r="X149" s="4"/>
      <c r="Y149" s="4"/>
    </row>
    <row r="150" spans="2:25" ht="18.75" hidden="1">
      <c r="B150" s="58"/>
      <c r="C150" s="60"/>
      <c r="D150" s="52"/>
      <c r="E150" s="63"/>
      <c r="F150" s="8">
        <v>0.5</v>
      </c>
      <c r="G150" s="67"/>
      <c r="H150" s="68"/>
      <c r="I150" s="35"/>
      <c r="J150" s="9" t="str">
        <f t="shared" si="35"/>
        <v/>
      </c>
      <c r="K150" s="39"/>
      <c r="L150" s="39"/>
      <c r="M150" s="39"/>
      <c r="N150" s="39"/>
      <c r="O150" s="39"/>
      <c r="P150" s="39"/>
      <c r="Q150" s="39"/>
      <c r="R150" s="39"/>
      <c r="S150" s="10">
        <f t="shared" ref="S150:S160" si="36">SUM(K150:R150)</f>
        <v>0</v>
      </c>
      <c r="T150" s="10">
        <v>100000</v>
      </c>
      <c r="U150" s="10">
        <f t="shared" ref="U150:U151" si="37">T150*S150</f>
        <v>0</v>
      </c>
      <c r="V150" s="4"/>
      <c r="W150" s="4"/>
      <c r="X150" s="4"/>
      <c r="Y150" s="4"/>
    </row>
    <row r="151" spans="2:25" ht="18.75" hidden="1">
      <c r="B151" s="58"/>
      <c r="C151" s="60"/>
      <c r="D151" s="52"/>
      <c r="E151" s="63"/>
      <c r="F151" s="8">
        <v>0.58333333333333337</v>
      </c>
      <c r="G151" s="67"/>
      <c r="H151" s="68"/>
      <c r="I151" s="35"/>
      <c r="J151" s="9" t="str">
        <f t="shared" si="35"/>
        <v/>
      </c>
      <c r="K151" s="39"/>
      <c r="L151" s="39"/>
      <c r="M151" s="39"/>
      <c r="N151" s="39"/>
      <c r="O151" s="39"/>
      <c r="P151" s="39"/>
      <c r="Q151" s="39"/>
      <c r="R151" s="39"/>
      <c r="S151" s="10">
        <f t="shared" si="36"/>
        <v>0</v>
      </c>
      <c r="T151" s="10">
        <v>100000</v>
      </c>
      <c r="U151" s="10">
        <f t="shared" si="37"/>
        <v>0</v>
      </c>
      <c r="V151" s="4"/>
      <c r="W151" s="4"/>
      <c r="X151" s="4"/>
      <c r="Y151" s="4"/>
    </row>
    <row r="152" spans="2:25" ht="18.75" hidden="1">
      <c r="B152" s="58"/>
      <c r="C152" s="60"/>
      <c r="D152" s="52"/>
      <c r="E152" s="63"/>
      <c r="F152" s="8">
        <v>0.66666666666666663</v>
      </c>
      <c r="G152" s="67"/>
      <c r="H152" s="68"/>
      <c r="I152" s="35"/>
      <c r="J152" s="9" t="str">
        <f t="shared" si="35"/>
        <v/>
      </c>
      <c r="K152" s="39"/>
      <c r="L152" s="39"/>
      <c r="M152" s="39"/>
      <c r="N152" s="39"/>
      <c r="O152" s="39"/>
      <c r="P152" s="39"/>
      <c r="Q152" s="39"/>
      <c r="R152" s="39"/>
      <c r="S152" s="10">
        <f t="shared" si="36"/>
        <v>0</v>
      </c>
      <c r="T152" s="10">
        <v>100000</v>
      </c>
      <c r="U152" s="10">
        <f>T152*S152</f>
        <v>0</v>
      </c>
      <c r="V152" s="4"/>
      <c r="W152" s="4"/>
      <c r="X152" s="4"/>
      <c r="Y152" s="4"/>
    </row>
    <row r="153" spans="2:25" ht="18.75" hidden="1">
      <c r="B153" s="58"/>
      <c r="C153" s="60"/>
      <c r="D153" s="52"/>
      <c r="E153" s="63"/>
      <c r="F153" s="8">
        <v>0.75</v>
      </c>
      <c r="G153" s="67"/>
      <c r="H153" s="68"/>
      <c r="I153" s="35"/>
      <c r="J153" s="9" t="str">
        <f t="shared" si="35"/>
        <v/>
      </c>
      <c r="K153" s="39"/>
      <c r="L153" s="39"/>
      <c r="M153" s="39"/>
      <c r="N153" s="39"/>
      <c r="O153" s="39"/>
      <c r="P153" s="39"/>
      <c r="Q153" s="39"/>
      <c r="R153" s="39"/>
      <c r="S153" s="10">
        <f t="shared" si="36"/>
        <v>0</v>
      </c>
      <c r="T153" s="10">
        <v>100000</v>
      </c>
      <c r="U153" s="10">
        <f t="shared" ref="U153:U160" si="38">T153*S153</f>
        <v>0</v>
      </c>
      <c r="V153" s="4"/>
      <c r="W153" s="4"/>
      <c r="X153" s="11"/>
      <c r="Y153" s="4"/>
    </row>
    <row r="154" spans="2:25" ht="18.75" hidden="1">
      <c r="B154" s="58"/>
      <c r="C154" s="60"/>
      <c r="D154" s="53"/>
      <c r="E154" s="64"/>
      <c r="F154" s="12">
        <v>0.83333333333333337</v>
      </c>
      <c r="G154" s="67"/>
      <c r="H154" s="68"/>
      <c r="I154" s="36"/>
      <c r="J154" s="9" t="str">
        <f t="shared" si="35"/>
        <v/>
      </c>
      <c r="K154" s="41"/>
      <c r="L154" s="41"/>
      <c r="M154" s="41"/>
      <c r="N154" s="41"/>
      <c r="O154" s="41"/>
      <c r="P154" s="41"/>
      <c r="Q154" s="41"/>
      <c r="R154" s="41"/>
      <c r="S154" s="13">
        <f t="shared" si="36"/>
        <v>0</v>
      </c>
      <c r="T154" s="13">
        <v>100000</v>
      </c>
      <c r="U154" s="13">
        <f t="shared" si="38"/>
        <v>0</v>
      </c>
      <c r="V154" s="4"/>
      <c r="Y154" s="4"/>
    </row>
    <row r="155" spans="2:25" ht="18.75" hidden="1">
      <c r="B155" s="58"/>
      <c r="C155" s="60"/>
      <c r="D155" s="51"/>
      <c r="E155" s="62" t="s">
        <v>102</v>
      </c>
      <c r="F155" s="5">
        <v>0.91666666666666663</v>
      </c>
      <c r="G155" s="65"/>
      <c r="H155" s="66"/>
      <c r="I155" s="34"/>
      <c r="J155" s="6" t="str">
        <f t="shared" si="35"/>
        <v/>
      </c>
      <c r="K155" s="38"/>
      <c r="L155" s="38"/>
      <c r="M155" s="38"/>
      <c r="N155" s="38"/>
      <c r="O155" s="38"/>
      <c r="P155" s="38"/>
      <c r="Q155" s="38"/>
      <c r="R155" s="38"/>
      <c r="S155" s="7">
        <f t="shared" si="36"/>
        <v>0</v>
      </c>
      <c r="T155" s="7">
        <v>100000</v>
      </c>
      <c r="U155" s="7">
        <f t="shared" si="38"/>
        <v>0</v>
      </c>
      <c r="V155" s="4"/>
      <c r="Y155" s="4"/>
    </row>
    <row r="156" spans="2:25" ht="18.75" hidden="1">
      <c r="B156" s="58"/>
      <c r="C156" s="60"/>
      <c r="D156" s="52"/>
      <c r="E156" s="63"/>
      <c r="F156" s="8">
        <v>1</v>
      </c>
      <c r="G156" s="67"/>
      <c r="H156" s="68"/>
      <c r="I156" s="35"/>
      <c r="J156" s="9" t="str">
        <f t="shared" si="35"/>
        <v/>
      </c>
      <c r="K156" s="39"/>
      <c r="L156" s="39"/>
      <c r="M156" s="39"/>
      <c r="N156" s="39"/>
      <c r="O156" s="39"/>
      <c r="P156" s="39"/>
      <c r="Q156" s="39"/>
      <c r="R156" s="39"/>
      <c r="S156" s="10">
        <f t="shared" si="36"/>
        <v>0</v>
      </c>
      <c r="T156" s="10">
        <v>100000</v>
      </c>
      <c r="U156" s="10">
        <f t="shared" si="38"/>
        <v>0</v>
      </c>
      <c r="V156" s="4"/>
      <c r="Y156" s="4"/>
    </row>
    <row r="157" spans="2:25" ht="18.75" hidden="1">
      <c r="B157" s="58"/>
      <c r="C157" s="60"/>
      <c r="D157" s="52"/>
      <c r="E157" s="63"/>
      <c r="F157" s="8">
        <v>8.3333333333333329E-2</v>
      </c>
      <c r="G157" s="67"/>
      <c r="H157" s="68"/>
      <c r="I157" s="35"/>
      <c r="J157" s="9" t="str">
        <f t="shared" si="35"/>
        <v/>
      </c>
      <c r="K157" s="39"/>
      <c r="L157" s="39"/>
      <c r="M157" s="39"/>
      <c r="N157" s="39"/>
      <c r="O157" s="39"/>
      <c r="P157" s="39"/>
      <c r="Q157" s="39"/>
      <c r="R157" s="39"/>
      <c r="S157" s="10">
        <f t="shared" si="36"/>
        <v>0</v>
      </c>
      <c r="T157" s="10">
        <v>100000</v>
      </c>
      <c r="U157" s="10">
        <f t="shared" si="38"/>
        <v>0</v>
      </c>
      <c r="V157" s="4"/>
      <c r="Y157" s="4"/>
    </row>
    <row r="158" spans="2:25" ht="18.75" hidden="1">
      <c r="B158" s="58"/>
      <c r="C158" s="60"/>
      <c r="D158" s="52"/>
      <c r="E158" s="63"/>
      <c r="F158" s="8">
        <v>0.16666666666666666</v>
      </c>
      <c r="G158" s="67"/>
      <c r="H158" s="68"/>
      <c r="I158" s="35"/>
      <c r="J158" s="9" t="str">
        <f t="shared" si="35"/>
        <v/>
      </c>
      <c r="K158" s="39"/>
      <c r="L158" s="39"/>
      <c r="M158" s="39"/>
      <c r="N158" s="39"/>
      <c r="O158" s="39"/>
      <c r="P158" s="39"/>
      <c r="Q158" s="39"/>
      <c r="R158" s="39"/>
      <c r="S158" s="10">
        <f t="shared" si="36"/>
        <v>0</v>
      </c>
      <c r="T158" s="10">
        <v>100000</v>
      </c>
      <c r="U158" s="10">
        <f t="shared" si="38"/>
        <v>0</v>
      </c>
      <c r="V158" s="4"/>
      <c r="W158" s="4"/>
      <c r="X158" s="4"/>
      <c r="Y158" s="4"/>
    </row>
    <row r="159" spans="2:25" ht="18.75" hidden="1">
      <c r="B159" s="58"/>
      <c r="C159" s="60"/>
      <c r="D159" s="52"/>
      <c r="E159" s="63"/>
      <c r="F159" s="8">
        <v>0.25</v>
      </c>
      <c r="G159" s="67"/>
      <c r="H159" s="68"/>
      <c r="I159" s="35"/>
      <c r="J159" s="9" t="str">
        <f t="shared" si="35"/>
        <v/>
      </c>
      <c r="K159" s="39"/>
      <c r="L159" s="39"/>
      <c r="M159" s="39"/>
      <c r="N159" s="39"/>
      <c r="O159" s="39"/>
      <c r="P159" s="39"/>
      <c r="Q159" s="39"/>
      <c r="R159" s="39"/>
      <c r="S159" s="10">
        <f t="shared" si="36"/>
        <v>0</v>
      </c>
      <c r="T159" s="10">
        <v>100000</v>
      </c>
      <c r="U159" s="10">
        <f t="shared" si="38"/>
        <v>0</v>
      </c>
      <c r="V159" s="4"/>
      <c r="Y159" s="4"/>
    </row>
    <row r="160" spans="2:25" ht="18.75" hidden="1">
      <c r="B160" s="58"/>
      <c r="C160" s="61"/>
      <c r="D160" s="53"/>
      <c r="E160" s="69"/>
      <c r="F160" s="14">
        <v>0.33333333333333331</v>
      </c>
      <c r="G160" s="67"/>
      <c r="H160" s="68"/>
      <c r="I160" s="37"/>
      <c r="J160" s="15" t="str">
        <f t="shared" si="35"/>
        <v/>
      </c>
      <c r="K160" s="40"/>
      <c r="L160" s="40"/>
      <c r="M160" s="40"/>
      <c r="N160" s="40"/>
      <c r="O160" s="40"/>
      <c r="P160" s="40"/>
      <c r="Q160" s="40"/>
      <c r="R160" s="40"/>
      <c r="S160" s="16">
        <f t="shared" si="36"/>
        <v>0</v>
      </c>
      <c r="T160" s="16">
        <v>100000</v>
      </c>
      <c r="U160" s="16">
        <f t="shared" si="38"/>
        <v>0</v>
      </c>
      <c r="V160" s="4"/>
      <c r="W160" s="4"/>
      <c r="X160" s="4"/>
      <c r="Y160" s="4"/>
    </row>
    <row r="161" spans="2:25" ht="39.75" hidden="1" customHeight="1">
      <c r="B161" s="58">
        <v>46094</v>
      </c>
      <c r="C161" s="59" t="s">
        <v>17</v>
      </c>
      <c r="D161" s="51" t="s">
        <v>43</v>
      </c>
      <c r="E161" s="62" t="s">
        <v>101</v>
      </c>
      <c r="F161" s="5">
        <v>0.41666666666666669</v>
      </c>
      <c r="G161" s="65" t="s">
        <v>74</v>
      </c>
      <c r="H161" s="66"/>
      <c r="I161" s="34">
        <v>30</v>
      </c>
      <c r="J161" s="6">
        <f t="shared" ref="J161:J208" si="39">IFERROR(S161/I161,"")</f>
        <v>0.23333333333333334</v>
      </c>
      <c r="K161" s="38"/>
      <c r="L161" s="38"/>
      <c r="M161" s="38"/>
      <c r="N161" s="38"/>
      <c r="O161" s="38"/>
      <c r="P161" s="38"/>
      <c r="Q161" s="38">
        <v>4</v>
      </c>
      <c r="R161" s="38">
        <v>3</v>
      </c>
      <c r="S161" s="7">
        <f>SUM(K161:R161)</f>
        <v>7</v>
      </c>
      <c r="T161" s="7">
        <v>100000</v>
      </c>
      <c r="U161" s="7">
        <f>T161*S161</f>
        <v>700000</v>
      </c>
      <c r="V161" s="4"/>
      <c r="W161" s="4"/>
      <c r="X161" s="4"/>
      <c r="Y161" s="4"/>
    </row>
    <row r="162" spans="2:25" ht="37.5" hidden="1">
      <c r="B162" s="58"/>
      <c r="C162" s="60"/>
      <c r="D162" s="52" t="s">
        <v>43</v>
      </c>
      <c r="E162" s="63"/>
      <c r="F162" s="8">
        <v>0.5</v>
      </c>
      <c r="G162" s="67" t="s">
        <v>74</v>
      </c>
      <c r="H162" s="68"/>
      <c r="I162" s="35">
        <v>26</v>
      </c>
      <c r="J162" s="9">
        <f t="shared" si="39"/>
        <v>0</v>
      </c>
      <c r="K162" s="39"/>
      <c r="L162" s="39"/>
      <c r="M162" s="39"/>
      <c r="N162" s="39"/>
      <c r="O162" s="39"/>
      <c r="P162" s="39"/>
      <c r="Q162" s="39"/>
      <c r="R162" s="39"/>
      <c r="S162" s="10">
        <f t="shared" ref="S162:S172" si="40">SUM(K162:R162)</f>
        <v>0</v>
      </c>
      <c r="T162" s="10">
        <v>100000</v>
      </c>
      <c r="U162" s="10">
        <f t="shared" ref="U162:U163" si="41">T162*S162</f>
        <v>0</v>
      </c>
      <c r="V162" s="4"/>
      <c r="W162" s="4"/>
      <c r="X162" s="4"/>
      <c r="Y162" s="4"/>
    </row>
    <row r="163" spans="2:25" ht="37.5" hidden="1">
      <c r="B163" s="58"/>
      <c r="C163" s="60"/>
      <c r="D163" s="52" t="s">
        <v>43</v>
      </c>
      <c r="E163" s="63"/>
      <c r="F163" s="8">
        <v>0.58333333333333337</v>
      </c>
      <c r="G163" s="67" t="s">
        <v>74</v>
      </c>
      <c r="H163" s="68"/>
      <c r="I163" s="35">
        <v>60</v>
      </c>
      <c r="J163" s="9">
        <f t="shared" si="39"/>
        <v>0</v>
      </c>
      <c r="K163" s="39"/>
      <c r="L163" s="39"/>
      <c r="M163" s="39"/>
      <c r="N163" s="39"/>
      <c r="O163" s="39"/>
      <c r="P163" s="39"/>
      <c r="Q163" s="39"/>
      <c r="R163" s="39"/>
      <c r="S163" s="10">
        <f t="shared" si="40"/>
        <v>0</v>
      </c>
      <c r="T163" s="10">
        <v>100000</v>
      </c>
      <c r="U163" s="10">
        <f t="shared" si="41"/>
        <v>0</v>
      </c>
      <c r="V163" s="4"/>
      <c r="W163" s="4"/>
      <c r="X163" s="4"/>
      <c r="Y163" s="4"/>
    </row>
    <row r="164" spans="2:25" ht="37.5" hidden="1">
      <c r="B164" s="58"/>
      <c r="C164" s="60"/>
      <c r="D164" s="52" t="s">
        <v>43</v>
      </c>
      <c r="E164" s="63"/>
      <c r="F164" s="8">
        <v>0.66666666666666663</v>
      </c>
      <c r="G164" s="67" t="s">
        <v>74</v>
      </c>
      <c r="H164" s="68"/>
      <c r="I164" s="35">
        <v>50</v>
      </c>
      <c r="J164" s="9">
        <f t="shared" si="39"/>
        <v>0</v>
      </c>
      <c r="K164" s="39"/>
      <c r="L164" s="39"/>
      <c r="M164" s="39"/>
      <c r="N164" s="39"/>
      <c r="O164" s="39"/>
      <c r="P164" s="39"/>
      <c r="Q164" s="39"/>
      <c r="R164" s="39"/>
      <c r="S164" s="10">
        <f t="shared" si="40"/>
        <v>0</v>
      </c>
      <c r="T164" s="10">
        <v>100000</v>
      </c>
      <c r="U164" s="10">
        <f>T164*S164</f>
        <v>0</v>
      </c>
      <c r="V164" s="4"/>
      <c r="W164" s="4"/>
      <c r="X164" s="4"/>
      <c r="Y164" s="4"/>
    </row>
    <row r="165" spans="2:25" ht="37.5" hidden="1">
      <c r="B165" s="58"/>
      <c r="C165" s="60"/>
      <c r="D165" s="52" t="s">
        <v>43</v>
      </c>
      <c r="E165" s="63"/>
      <c r="F165" s="8">
        <v>0.75</v>
      </c>
      <c r="G165" s="67" t="s">
        <v>74</v>
      </c>
      <c r="H165" s="68"/>
      <c r="I165" s="35">
        <v>40</v>
      </c>
      <c r="J165" s="9">
        <f t="shared" si="39"/>
        <v>0</v>
      </c>
      <c r="K165" s="39"/>
      <c r="L165" s="39"/>
      <c r="M165" s="39"/>
      <c r="N165" s="39"/>
      <c r="O165" s="39"/>
      <c r="P165" s="39"/>
      <c r="Q165" s="39"/>
      <c r="R165" s="39"/>
      <c r="S165" s="10">
        <f t="shared" si="40"/>
        <v>0</v>
      </c>
      <c r="T165" s="10">
        <v>100000</v>
      </c>
      <c r="U165" s="10">
        <f t="shared" ref="U165:U172" si="42">T165*S165</f>
        <v>0</v>
      </c>
      <c r="V165" s="4"/>
      <c r="W165" s="4"/>
      <c r="X165" s="11"/>
      <c r="Y165" s="4"/>
    </row>
    <row r="166" spans="2:25" ht="37.5" hidden="1">
      <c r="B166" s="58"/>
      <c r="C166" s="60"/>
      <c r="D166" s="53" t="s">
        <v>43</v>
      </c>
      <c r="E166" s="64"/>
      <c r="F166" s="12">
        <v>0.83333333333333337</v>
      </c>
      <c r="G166" s="67" t="s">
        <v>74</v>
      </c>
      <c r="H166" s="68"/>
      <c r="I166" s="36">
        <v>60</v>
      </c>
      <c r="J166" s="9">
        <f t="shared" si="39"/>
        <v>0</v>
      </c>
      <c r="K166" s="41"/>
      <c r="L166" s="41"/>
      <c r="M166" s="41"/>
      <c r="N166" s="41"/>
      <c r="O166" s="41"/>
      <c r="P166" s="41"/>
      <c r="Q166" s="41"/>
      <c r="R166" s="41"/>
      <c r="S166" s="13">
        <f t="shared" si="40"/>
        <v>0</v>
      </c>
      <c r="T166" s="13">
        <v>100000</v>
      </c>
      <c r="U166" s="13">
        <f t="shared" si="42"/>
        <v>0</v>
      </c>
      <c r="V166" s="4"/>
      <c r="Y166" s="4"/>
    </row>
    <row r="167" spans="2:25" ht="37.5" hidden="1">
      <c r="B167" s="58"/>
      <c r="C167" s="60"/>
      <c r="D167" s="51" t="s">
        <v>43</v>
      </c>
      <c r="E167" s="62" t="s">
        <v>102</v>
      </c>
      <c r="F167" s="5">
        <v>0.91666666666666663</v>
      </c>
      <c r="G167" s="65" t="s">
        <v>82</v>
      </c>
      <c r="H167" s="66"/>
      <c r="I167" s="34">
        <v>53</v>
      </c>
      <c r="J167" s="6">
        <f t="shared" si="39"/>
        <v>1.8867924528301886E-2</v>
      </c>
      <c r="K167" s="38">
        <v>1</v>
      </c>
      <c r="L167" s="38"/>
      <c r="M167" s="38"/>
      <c r="N167" s="38"/>
      <c r="O167" s="38"/>
      <c r="P167" s="38"/>
      <c r="Q167" s="38"/>
      <c r="R167" s="38"/>
      <c r="S167" s="7">
        <f t="shared" si="40"/>
        <v>1</v>
      </c>
      <c r="T167" s="7">
        <v>100000</v>
      </c>
      <c r="U167" s="7">
        <f t="shared" si="42"/>
        <v>100000</v>
      </c>
      <c r="V167" s="4"/>
      <c r="Y167" s="4"/>
    </row>
    <row r="168" spans="2:25" ht="37.5" hidden="1">
      <c r="B168" s="58"/>
      <c r="C168" s="60"/>
      <c r="D168" s="52" t="s">
        <v>43</v>
      </c>
      <c r="E168" s="63"/>
      <c r="F168" s="8">
        <v>1</v>
      </c>
      <c r="G168" s="67" t="s">
        <v>82</v>
      </c>
      <c r="H168" s="68"/>
      <c r="I168" s="35">
        <v>53</v>
      </c>
      <c r="J168" s="9">
        <f t="shared" si="39"/>
        <v>1.8867924528301886E-2</v>
      </c>
      <c r="K168" s="39">
        <v>1</v>
      </c>
      <c r="L168" s="39"/>
      <c r="M168" s="39"/>
      <c r="N168" s="39"/>
      <c r="O168" s="39"/>
      <c r="P168" s="39"/>
      <c r="Q168" s="39"/>
      <c r="R168" s="39"/>
      <c r="S168" s="10">
        <f t="shared" si="40"/>
        <v>1</v>
      </c>
      <c r="T168" s="10">
        <v>100000</v>
      </c>
      <c r="U168" s="10">
        <f t="shared" si="42"/>
        <v>100000</v>
      </c>
      <c r="V168" s="4"/>
      <c r="Y168" s="4"/>
    </row>
    <row r="169" spans="2:25" ht="37.5" hidden="1">
      <c r="B169" s="58"/>
      <c r="C169" s="60"/>
      <c r="D169" s="52" t="s">
        <v>43</v>
      </c>
      <c r="E169" s="63"/>
      <c r="F169" s="8">
        <v>8.3333333333333329E-2</v>
      </c>
      <c r="G169" s="67" t="s">
        <v>82</v>
      </c>
      <c r="H169" s="68"/>
      <c r="I169" s="35">
        <v>53</v>
      </c>
      <c r="J169" s="9">
        <f t="shared" si="39"/>
        <v>1.8867924528301886E-2</v>
      </c>
      <c r="K169" s="39">
        <v>1</v>
      </c>
      <c r="L169" s="39"/>
      <c r="M169" s="39"/>
      <c r="N169" s="39"/>
      <c r="O169" s="39"/>
      <c r="P169" s="39"/>
      <c r="Q169" s="39"/>
      <c r="R169" s="39"/>
      <c r="S169" s="10">
        <f t="shared" si="40"/>
        <v>1</v>
      </c>
      <c r="T169" s="10">
        <v>100000</v>
      </c>
      <c r="U169" s="10">
        <f t="shared" si="42"/>
        <v>100000</v>
      </c>
      <c r="V169" s="4"/>
      <c r="Y169" s="4"/>
    </row>
    <row r="170" spans="2:25" ht="37.5" hidden="1">
      <c r="B170" s="58"/>
      <c r="C170" s="60"/>
      <c r="D170" s="52" t="s">
        <v>43</v>
      </c>
      <c r="E170" s="63"/>
      <c r="F170" s="8">
        <v>0.16666666666666666</v>
      </c>
      <c r="G170" s="67" t="s">
        <v>82</v>
      </c>
      <c r="H170" s="68"/>
      <c r="I170" s="35">
        <v>42</v>
      </c>
      <c r="J170" s="9">
        <f t="shared" si="39"/>
        <v>2.3809523809523808E-2</v>
      </c>
      <c r="K170" s="39">
        <v>1</v>
      </c>
      <c r="L170" s="39"/>
      <c r="M170" s="39"/>
      <c r="N170" s="39"/>
      <c r="O170" s="39"/>
      <c r="P170" s="39"/>
      <c r="Q170" s="39"/>
      <c r="R170" s="39"/>
      <c r="S170" s="10">
        <f t="shared" si="40"/>
        <v>1</v>
      </c>
      <c r="T170" s="10">
        <v>100000</v>
      </c>
      <c r="U170" s="10">
        <f t="shared" si="42"/>
        <v>100000</v>
      </c>
      <c r="V170" s="4"/>
      <c r="W170" s="4"/>
      <c r="X170" s="4"/>
      <c r="Y170" s="4"/>
    </row>
    <row r="171" spans="2:25" ht="37.5" hidden="1">
      <c r="B171" s="58"/>
      <c r="C171" s="60"/>
      <c r="D171" s="52" t="s">
        <v>43</v>
      </c>
      <c r="E171" s="63"/>
      <c r="F171" s="8">
        <v>0.25</v>
      </c>
      <c r="G171" s="67" t="s">
        <v>82</v>
      </c>
      <c r="H171" s="68"/>
      <c r="I171" s="35">
        <v>55</v>
      </c>
      <c r="J171" s="9">
        <f t="shared" si="39"/>
        <v>1.8181818181818181E-2</v>
      </c>
      <c r="K171" s="39">
        <v>1</v>
      </c>
      <c r="L171" s="39"/>
      <c r="M171" s="39"/>
      <c r="N171" s="39"/>
      <c r="O171" s="39"/>
      <c r="P171" s="39"/>
      <c r="Q171" s="39"/>
      <c r="R171" s="39"/>
      <c r="S171" s="10">
        <f t="shared" si="40"/>
        <v>1</v>
      </c>
      <c r="T171" s="10">
        <v>100000</v>
      </c>
      <c r="U171" s="10">
        <f t="shared" si="42"/>
        <v>100000</v>
      </c>
      <c r="V171" s="4"/>
      <c r="Y171" s="4"/>
    </row>
    <row r="172" spans="2:25" ht="37.5" hidden="1">
      <c r="B172" s="58"/>
      <c r="C172" s="61"/>
      <c r="D172" s="53" t="s">
        <v>43</v>
      </c>
      <c r="E172" s="69"/>
      <c r="F172" s="14">
        <v>0.33333333333333331</v>
      </c>
      <c r="G172" s="67" t="s">
        <v>82</v>
      </c>
      <c r="H172" s="68"/>
      <c r="I172" s="37">
        <v>56</v>
      </c>
      <c r="J172" s="15">
        <f t="shared" si="39"/>
        <v>1.7857142857142856E-2</v>
      </c>
      <c r="K172" s="40">
        <v>1</v>
      </c>
      <c r="L172" s="40"/>
      <c r="M172" s="40"/>
      <c r="N172" s="40"/>
      <c r="O172" s="40"/>
      <c r="P172" s="40"/>
      <c r="Q172" s="40"/>
      <c r="R172" s="40"/>
      <c r="S172" s="16">
        <f t="shared" si="40"/>
        <v>1</v>
      </c>
      <c r="T172" s="16">
        <v>100000</v>
      </c>
      <c r="U172" s="16">
        <f t="shared" si="42"/>
        <v>100000</v>
      </c>
      <c r="V172" s="4"/>
      <c r="W172" s="4"/>
      <c r="X172" s="4"/>
      <c r="Y172" s="4"/>
    </row>
    <row r="173" spans="2:25" ht="36.75" hidden="1" customHeight="1">
      <c r="B173" s="58">
        <v>46095</v>
      </c>
      <c r="C173" s="59" t="s">
        <v>17</v>
      </c>
      <c r="D173" s="55" t="s">
        <v>43</v>
      </c>
      <c r="E173" s="62" t="s">
        <v>101</v>
      </c>
      <c r="F173" s="5">
        <v>0.41666666666666669</v>
      </c>
      <c r="G173" s="95" t="s">
        <v>77</v>
      </c>
      <c r="H173" s="96"/>
      <c r="I173" s="34">
        <v>60</v>
      </c>
      <c r="J173" s="6">
        <f t="shared" si="39"/>
        <v>8.3333333333333329E-2</v>
      </c>
      <c r="K173" s="38"/>
      <c r="L173" s="38"/>
      <c r="M173" s="38"/>
      <c r="N173" s="38"/>
      <c r="O173" s="38"/>
      <c r="P173" s="38"/>
      <c r="Q173" s="38">
        <v>5</v>
      </c>
      <c r="R173" s="38"/>
      <c r="S173" s="7">
        <f>SUM(K173:R173)</f>
        <v>5</v>
      </c>
      <c r="T173" s="7">
        <v>100000</v>
      </c>
      <c r="U173" s="7">
        <f>T173*S173</f>
        <v>500000</v>
      </c>
      <c r="V173" s="4"/>
      <c r="W173" s="4"/>
      <c r="X173" s="4"/>
      <c r="Y173" s="4"/>
    </row>
    <row r="174" spans="2:25" ht="37.5" hidden="1">
      <c r="B174" s="58"/>
      <c r="C174" s="60"/>
      <c r="D174" s="56" t="s">
        <v>43</v>
      </c>
      <c r="E174" s="63"/>
      <c r="F174" s="8">
        <v>0.5</v>
      </c>
      <c r="G174" s="97" t="s">
        <v>77</v>
      </c>
      <c r="H174" s="98"/>
      <c r="I174" s="35"/>
      <c r="J174" s="9" t="str">
        <f t="shared" si="39"/>
        <v/>
      </c>
      <c r="K174" s="39"/>
      <c r="L174" s="39"/>
      <c r="M174" s="39"/>
      <c r="N174" s="39"/>
      <c r="O174" s="39"/>
      <c r="P174" s="39"/>
      <c r="Q174" s="39"/>
      <c r="R174" s="39"/>
      <c r="S174" s="10">
        <f t="shared" ref="S174:S184" si="43">SUM(K174:R174)</f>
        <v>0</v>
      </c>
      <c r="T174" s="10">
        <v>100000</v>
      </c>
      <c r="U174" s="10">
        <f t="shared" ref="U174:U175" si="44">T174*S174</f>
        <v>0</v>
      </c>
      <c r="V174" s="4"/>
      <c r="W174" s="4"/>
      <c r="X174" s="4"/>
      <c r="Y174" s="4"/>
    </row>
    <row r="175" spans="2:25" ht="37.5" hidden="1">
      <c r="B175" s="58"/>
      <c r="C175" s="60"/>
      <c r="D175" s="56" t="s">
        <v>43</v>
      </c>
      <c r="E175" s="63"/>
      <c r="F175" s="8">
        <v>0.58333333333333337</v>
      </c>
      <c r="G175" s="97" t="s">
        <v>77</v>
      </c>
      <c r="H175" s="98"/>
      <c r="I175" s="35"/>
      <c r="J175" s="9" t="str">
        <f t="shared" si="39"/>
        <v/>
      </c>
      <c r="K175" s="39"/>
      <c r="L175" s="39"/>
      <c r="M175" s="39"/>
      <c r="N175" s="39"/>
      <c r="O175" s="39"/>
      <c r="P175" s="39"/>
      <c r="Q175" s="39"/>
      <c r="R175" s="39"/>
      <c r="S175" s="10">
        <f t="shared" si="43"/>
        <v>0</v>
      </c>
      <c r="T175" s="10">
        <v>100000</v>
      </c>
      <c r="U175" s="10">
        <f t="shared" si="44"/>
        <v>0</v>
      </c>
      <c r="V175" s="4"/>
      <c r="W175" s="4"/>
      <c r="X175" s="4"/>
      <c r="Y175" s="4"/>
    </row>
    <row r="176" spans="2:25" ht="37.5" hidden="1">
      <c r="B176" s="58"/>
      <c r="C176" s="60"/>
      <c r="D176" s="56" t="s">
        <v>43</v>
      </c>
      <c r="E176" s="63"/>
      <c r="F176" s="8">
        <v>0.66666666666666663</v>
      </c>
      <c r="G176" s="97" t="s">
        <v>77</v>
      </c>
      <c r="H176" s="98"/>
      <c r="I176" s="35">
        <v>58</v>
      </c>
      <c r="J176" s="9">
        <f t="shared" si="39"/>
        <v>0</v>
      </c>
      <c r="K176" s="39"/>
      <c r="L176" s="39"/>
      <c r="M176" s="39"/>
      <c r="N176" s="39"/>
      <c r="O176" s="39"/>
      <c r="P176" s="39"/>
      <c r="Q176" s="39"/>
      <c r="R176" s="39"/>
      <c r="S176" s="10">
        <f t="shared" si="43"/>
        <v>0</v>
      </c>
      <c r="T176" s="10">
        <v>100000</v>
      </c>
      <c r="U176" s="10">
        <f>T176*S176</f>
        <v>0</v>
      </c>
      <c r="V176" s="4"/>
      <c r="W176" s="4"/>
      <c r="X176" s="4"/>
      <c r="Y176" s="4"/>
    </row>
    <row r="177" spans="2:25" ht="37.5" hidden="1">
      <c r="B177" s="58"/>
      <c r="C177" s="60"/>
      <c r="D177" s="56" t="s">
        <v>43</v>
      </c>
      <c r="E177" s="63"/>
      <c r="F177" s="8">
        <v>0.75</v>
      </c>
      <c r="G177" s="97" t="s">
        <v>77</v>
      </c>
      <c r="H177" s="98"/>
      <c r="I177" s="35">
        <v>23</v>
      </c>
      <c r="J177" s="9">
        <f t="shared" si="39"/>
        <v>0</v>
      </c>
      <c r="K177" s="39"/>
      <c r="L177" s="39"/>
      <c r="M177" s="39"/>
      <c r="N177" s="39"/>
      <c r="O177" s="39"/>
      <c r="P177" s="39"/>
      <c r="Q177" s="39"/>
      <c r="R177" s="39"/>
      <c r="S177" s="10">
        <f t="shared" si="43"/>
        <v>0</v>
      </c>
      <c r="T177" s="10">
        <v>100000</v>
      </c>
      <c r="U177" s="10">
        <f t="shared" ref="U177:U184" si="45">T177*S177</f>
        <v>0</v>
      </c>
      <c r="V177" s="4"/>
      <c r="W177" s="4"/>
      <c r="X177" s="11"/>
      <c r="Y177" s="4"/>
    </row>
    <row r="178" spans="2:25" ht="37.5" hidden="1">
      <c r="B178" s="58"/>
      <c r="C178" s="60"/>
      <c r="D178" s="57" t="s">
        <v>43</v>
      </c>
      <c r="E178" s="64"/>
      <c r="F178" s="12">
        <v>0.83333333333333337</v>
      </c>
      <c r="G178" s="99" t="s">
        <v>77</v>
      </c>
      <c r="H178" s="100"/>
      <c r="I178" s="36">
        <v>30</v>
      </c>
      <c r="J178" s="9">
        <f t="shared" si="39"/>
        <v>0</v>
      </c>
      <c r="K178" s="41"/>
      <c r="L178" s="41"/>
      <c r="M178" s="41"/>
      <c r="N178" s="41"/>
      <c r="O178" s="41"/>
      <c r="P178" s="41"/>
      <c r="Q178" s="41"/>
      <c r="R178" s="41"/>
      <c r="S178" s="13">
        <f t="shared" si="43"/>
        <v>0</v>
      </c>
      <c r="T178" s="13">
        <v>100000</v>
      </c>
      <c r="U178" s="13">
        <f t="shared" si="45"/>
        <v>0</v>
      </c>
      <c r="V178" s="4"/>
      <c r="Y178" s="4"/>
    </row>
    <row r="179" spans="2:25" ht="37.5" hidden="1">
      <c r="B179" s="58"/>
      <c r="C179" s="60"/>
      <c r="D179" s="55" t="s">
        <v>43</v>
      </c>
      <c r="E179" s="62" t="s">
        <v>102</v>
      </c>
      <c r="F179" s="5">
        <v>0.91666666666666663</v>
      </c>
      <c r="G179" s="65" t="s">
        <v>82</v>
      </c>
      <c r="H179" s="66"/>
      <c r="I179" s="34">
        <v>57</v>
      </c>
      <c r="J179" s="6">
        <f t="shared" si="39"/>
        <v>1.7543859649122806E-2</v>
      </c>
      <c r="K179" s="38">
        <v>1</v>
      </c>
      <c r="L179" s="38"/>
      <c r="M179" s="38"/>
      <c r="N179" s="38"/>
      <c r="O179" s="38"/>
      <c r="P179" s="38"/>
      <c r="Q179" s="38"/>
      <c r="R179" s="38"/>
      <c r="S179" s="7">
        <f t="shared" si="43"/>
        <v>1</v>
      </c>
      <c r="T179" s="7">
        <v>100000</v>
      </c>
      <c r="U179" s="7">
        <f t="shared" si="45"/>
        <v>100000</v>
      </c>
      <c r="V179" s="4"/>
      <c r="Y179" s="4"/>
    </row>
    <row r="180" spans="2:25" ht="37.5" hidden="1">
      <c r="B180" s="58"/>
      <c r="C180" s="60"/>
      <c r="D180" s="56" t="s">
        <v>43</v>
      </c>
      <c r="E180" s="63"/>
      <c r="F180" s="8">
        <v>1</v>
      </c>
      <c r="G180" s="67" t="s">
        <v>82</v>
      </c>
      <c r="H180" s="68"/>
      <c r="I180" s="35">
        <v>57</v>
      </c>
      <c r="J180" s="9">
        <f t="shared" si="39"/>
        <v>0</v>
      </c>
      <c r="K180" s="39"/>
      <c r="L180" s="39"/>
      <c r="M180" s="39"/>
      <c r="N180" s="39"/>
      <c r="O180" s="39"/>
      <c r="P180" s="39"/>
      <c r="Q180" s="39"/>
      <c r="R180" s="39"/>
      <c r="S180" s="10">
        <f t="shared" si="43"/>
        <v>0</v>
      </c>
      <c r="T180" s="10">
        <v>100000</v>
      </c>
      <c r="U180" s="10">
        <f t="shared" si="45"/>
        <v>0</v>
      </c>
      <c r="V180" s="4"/>
      <c r="Y180" s="4"/>
    </row>
    <row r="181" spans="2:25" ht="37.5" hidden="1">
      <c r="B181" s="58"/>
      <c r="C181" s="60"/>
      <c r="D181" s="56" t="s">
        <v>43</v>
      </c>
      <c r="E181" s="63"/>
      <c r="F181" s="8">
        <v>8.3333333333333329E-2</v>
      </c>
      <c r="G181" s="67" t="s">
        <v>82</v>
      </c>
      <c r="H181" s="68"/>
      <c r="I181" s="35">
        <v>57</v>
      </c>
      <c r="J181" s="9">
        <f t="shared" si="39"/>
        <v>0</v>
      </c>
      <c r="K181" s="39"/>
      <c r="L181" s="39"/>
      <c r="M181" s="39"/>
      <c r="N181" s="39"/>
      <c r="O181" s="39"/>
      <c r="P181" s="39"/>
      <c r="Q181" s="39"/>
      <c r="R181" s="39"/>
      <c r="S181" s="10">
        <f t="shared" si="43"/>
        <v>0</v>
      </c>
      <c r="T181" s="10">
        <v>100000</v>
      </c>
      <c r="U181" s="10">
        <f t="shared" si="45"/>
        <v>0</v>
      </c>
      <c r="V181" s="4"/>
      <c r="Y181" s="4"/>
    </row>
    <row r="182" spans="2:25" ht="37.5" hidden="1">
      <c r="B182" s="58"/>
      <c r="C182" s="60"/>
      <c r="D182" s="56" t="s">
        <v>43</v>
      </c>
      <c r="E182" s="63"/>
      <c r="F182" s="8">
        <v>0.16666666666666666</v>
      </c>
      <c r="G182" s="67" t="s">
        <v>82</v>
      </c>
      <c r="H182" s="68"/>
      <c r="I182" s="35">
        <v>57</v>
      </c>
      <c r="J182" s="9">
        <f t="shared" si="39"/>
        <v>0</v>
      </c>
      <c r="K182" s="39"/>
      <c r="L182" s="39"/>
      <c r="M182" s="39"/>
      <c r="N182" s="39"/>
      <c r="O182" s="39"/>
      <c r="P182" s="39"/>
      <c r="Q182" s="39"/>
      <c r="R182" s="39"/>
      <c r="S182" s="10">
        <f t="shared" si="43"/>
        <v>0</v>
      </c>
      <c r="T182" s="10">
        <v>100000</v>
      </c>
      <c r="U182" s="10">
        <f t="shared" si="45"/>
        <v>0</v>
      </c>
      <c r="V182" s="4"/>
      <c r="W182" s="4"/>
      <c r="X182" s="4"/>
      <c r="Y182" s="4"/>
    </row>
    <row r="183" spans="2:25" ht="37.5" hidden="1">
      <c r="B183" s="58"/>
      <c r="C183" s="60"/>
      <c r="D183" s="56" t="s">
        <v>43</v>
      </c>
      <c r="E183" s="63"/>
      <c r="F183" s="8">
        <v>0.25</v>
      </c>
      <c r="G183" s="67" t="s">
        <v>82</v>
      </c>
      <c r="H183" s="68"/>
      <c r="I183" s="35">
        <v>57</v>
      </c>
      <c r="J183" s="9">
        <f t="shared" si="39"/>
        <v>0</v>
      </c>
      <c r="K183" s="39"/>
      <c r="L183" s="39"/>
      <c r="M183" s="39"/>
      <c r="N183" s="39"/>
      <c r="O183" s="39"/>
      <c r="P183" s="39"/>
      <c r="Q183" s="39"/>
      <c r="R183" s="39"/>
      <c r="S183" s="10">
        <f t="shared" si="43"/>
        <v>0</v>
      </c>
      <c r="T183" s="10">
        <v>100000</v>
      </c>
      <c r="U183" s="10">
        <f t="shared" si="45"/>
        <v>0</v>
      </c>
      <c r="V183" s="4"/>
      <c r="Y183" s="4"/>
    </row>
    <row r="184" spans="2:25" ht="37.5" hidden="1">
      <c r="B184" s="58"/>
      <c r="C184" s="61"/>
      <c r="D184" s="57" t="s">
        <v>43</v>
      </c>
      <c r="E184" s="69"/>
      <c r="F184" s="14">
        <v>0.33333333333333331</v>
      </c>
      <c r="G184" s="67" t="s">
        <v>82</v>
      </c>
      <c r="H184" s="68"/>
      <c r="I184" s="37"/>
      <c r="J184" s="15" t="str">
        <f t="shared" si="39"/>
        <v/>
      </c>
      <c r="K184" s="40"/>
      <c r="L184" s="40"/>
      <c r="M184" s="40"/>
      <c r="N184" s="40"/>
      <c r="O184" s="40"/>
      <c r="P184" s="40"/>
      <c r="Q184" s="40"/>
      <c r="R184" s="40"/>
      <c r="S184" s="16">
        <f t="shared" si="43"/>
        <v>0</v>
      </c>
      <c r="T184" s="16">
        <v>100000</v>
      </c>
      <c r="U184" s="16">
        <f t="shared" si="45"/>
        <v>0</v>
      </c>
      <c r="V184" s="4"/>
      <c r="W184" s="4"/>
      <c r="X184" s="4"/>
      <c r="Y184" s="4"/>
    </row>
    <row r="185" spans="2:25" ht="31.5" hidden="1" customHeight="1">
      <c r="B185" s="58">
        <v>46096</v>
      </c>
      <c r="C185" s="59" t="s">
        <v>17</v>
      </c>
      <c r="D185" s="51"/>
      <c r="E185" s="62" t="s">
        <v>101</v>
      </c>
      <c r="F185" s="5">
        <v>0.41666666666666669</v>
      </c>
      <c r="G185" s="65"/>
      <c r="H185" s="66"/>
      <c r="I185" s="34"/>
      <c r="J185" s="6" t="str">
        <f t="shared" si="39"/>
        <v/>
      </c>
      <c r="K185" s="38"/>
      <c r="L185" s="38"/>
      <c r="M185" s="38"/>
      <c r="N185" s="38"/>
      <c r="O185" s="38"/>
      <c r="P185" s="38"/>
      <c r="Q185" s="38"/>
      <c r="R185" s="38"/>
      <c r="S185" s="7">
        <f>SUM(K185:R185)</f>
        <v>0</v>
      </c>
      <c r="T185" s="7">
        <v>100000</v>
      </c>
      <c r="U185" s="7">
        <f>T185*S185</f>
        <v>0</v>
      </c>
      <c r="V185" s="4"/>
      <c r="W185" s="4"/>
      <c r="X185" s="4"/>
      <c r="Y185" s="4"/>
    </row>
    <row r="186" spans="2:25" ht="18.75" hidden="1">
      <c r="B186" s="58"/>
      <c r="C186" s="60"/>
      <c r="D186" s="52"/>
      <c r="E186" s="63"/>
      <c r="F186" s="8">
        <v>0.5</v>
      </c>
      <c r="G186" s="67"/>
      <c r="H186" s="68"/>
      <c r="I186" s="35"/>
      <c r="J186" s="9" t="str">
        <f t="shared" si="39"/>
        <v/>
      </c>
      <c r="K186" s="39"/>
      <c r="L186" s="39"/>
      <c r="M186" s="39"/>
      <c r="N186" s="39"/>
      <c r="O186" s="39"/>
      <c r="P186" s="39"/>
      <c r="Q186" s="39"/>
      <c r="R186" s="39"/>
      <c r="S186" s="10">
        <f t="shared" ref="S186:S196" si="46">SUM(K186:R186)</f>
        <v>0</v>
      </c>
      <c r="T186" s="10">
        <v>100000</v>
      </c>
      <c r="U186" s="10">
        <f t="shared" ref="U186:U187" si="47">T186*S186</f>
        <v>0</v>
      </c>
      <c r="V186" s="4"/>
      <c r="W186" s="4"/>
      <c r="X186" s="4"/>
      <c r="Y186" s="4"/>
    </row>
    <row r="187" spans="2:25" ht="18.75" hidden="1">
      <c r="B187" s="58"/>
      <c r="C187" s="60"/>
      <c r="D187" s="52"/>
      <c r="E187" s="63"/>
      <c r="F187" s="8">
        <v>0.58333333333333337</v>
      </c>
      <c r="G187" s="67"/>
      <c r="H187" s="68"/>
      <c r="I187" s="35"/>
      <c r="J187" s="9" t="str">
        <f t="shared" si="39"/>
        <v/>
      </c>
      <c r="K187" s="39"/>
      <c r="L187" s="39"/>
      <c r="M187" s="39"/>
      <c r="N187" s="39"/>
      <c r="O187" s="39"/>
      <c r="P187" s="39"/>
      <c r="Q187" s="39"/>
      <c r="R187" s="39"/>
      <c r="S187" s="10">
        <f t="shared" si="46"/>
        <v>0</v>
      </c>
      <c r="T187" s="10">
        <v>100000</v>
      </c>
      <c r="U187" s="10">
        <f t="shared" si="47"/>
        <v>0</v>
      </c>
      <c r="V187" s="4"/>
      <c r="W187" s="4"/>
      <c r="X187" s="4"/>
      <c r="Y187" s="4"/>
    </row>
    <row r="188" spans="2:25" ht="18.75" hidden="1">
      <c r="B188" s="58"/>
      <c r="C188" s="60"/>
      <c r="D188" s="52"/>
      <c r="E188" s="63"/>
      <c r="F188" s="8">
        <v>0.66666666666666663</v>
      </c>
      <c r="G188" s="67"/>
      <c r="H188" s="68"/>
      <c r="I188" s="35"/>
      <c r="J188" s="9" t="str">
        <f t="shared" si="39"/>
        <v/>
      </c>
      <c r="K188" s="39"/>
      <c r="L188" s="39"/>
      <c r="M188" s="39"/>
      <c r="N188" s="39"/>
      <c r="O188" s="39"/>
      <c r="P188" s="39"/>
      <c r="Q188" s="39"/>
      <c r="R188" s="39"/>
      <c r="S188" s="10">
        <f t="shared" si="46"/>
        <v>0</v>
      </c>
      <c r="T188" s="10">
        <v>100000</v>
      </c>
      <c r="U188" s="10">
        <f>T188*S188</f>
        <v>0</v>
      </c>
      <c r="V188" s="4"/>
      <c r="W188" s="4"/>
      <c r="X188" s="4"/>
      <c r="Y188" s="4"/>
    </row>
    <row r="189" spans="2:25" ht="18.75" hidden="1">
      <c r="B189" s="58"/>
      <c r="C189" s="60"/>
      <c r="D189" s="52"/>
      <c r="E189" s="63"/>
      <c r="F189" s="8">
        <v>0.75</v>
      </c>
      <c r="G189" s="67"/>
      <c r="H189" s="68"/>
      <c r="I189" s="35"/>
      <c r="J189" s="9" t="str">
        <f t="shared" si="39"/>
        <v/>
      </c>
      <c r="K189" s="39"/>
      <c r="L189" s="39"/>
      <c r="M189" s="39"/>
      <c r="N189" s="39"/>
      <c r="O189" s="39"/>
      <c r="P189" s="39"/>
      <c r="Q189" s="39"/>
      <c r="R189" s="39"/>
      <c r="S189" s="10">
        <f t="shared" si="46"/>
        <v>0</v>
      </c>
      <c r="T189" s="10">
        <v>100000</v>
      </c>
      <c r="U189" s="10">
        <f t="shared" ref="U189:U196" si="48">T189*S189</f>
        <v>0</v>
      </c>
      <c r="V189" s="4"/>
      <c r="W189" s="4"/>
      <c r="X189" s="11"/>
      <c r="Y189" s="4"/>
    </row>
    <row r="190" spans="2:25" ht="18.75" hidden="1">
      <c r="B190" s="58"/>
      <c r="C190" s="60"/>
      <c r="D190" s="53"/>
      <c r="E190" s="64"/>
      <c r="F190" s="12">
        <v>0.83333333333333337</v>
      </c>
      <c r="G190" s="67"/>
      <c r="H190" s="68"/>
      <c r="I190" s="36"/>
      <c r="J190" s="9" t="str">
        <f t="shared" si="39"/>
        <v/>
      </c>
      <c r="K190" s="41"/>
      <c r="L190" s="41"/>
      <c r="M190" s="41"/>
      <c r="N190" s="41"/>
      <c r="O190" s="41"/>
      <c r="P190" s="41"/>
      <c r="Q190" s="41"/>
      <c r="R190" s="41"/>
      <c r="S190" s="13">
        <f t="shared" si="46"/>
        <v>0</v>
      </c>
      <c r="T190" s="13">
        <v>100000</v>
      </c>
      <c r="U190" s="13">
        <f t="shared" si="48"/>
        <v>0</v>
      </c>
      <c r="V190" s="4"/>
      <c r="Y190" s="4"/>
    </row>
    <row r="191" spans="2:25" ht="18.75" hidden="1">
      <c r="B191" s="58"/>
      <c r="C191" s="60"/>
      <c r="D191" s="51"/>
      <c r="E191" s="62" t="s">
        <v>102</v>
      </c>
      <c r="F191" s="5">
        <v>0.91666666666666663</v>
      </c>
      <c r="G191" s="65"/>
      <c r="H191" s="66"/>
      <c r="I191" s="34"/>
      <c r="J191" s="6" t="str">
        <f t="shared" si="39"/>
        <v/>
      </c>
      <c r="K191" s="38"/>
      <c r="L191" s="38"/>
      <c r="M191" s="38"/>
      <c r="N191" s="38"/>
      <c r="O191" s="38"/>
      <c r="P191" s="38"/>
      <c r="Q191" s="38"/>
      <c r="R191" s="38"/>
      <c r="S191" s="7">
        <f t="shared" si="46"/>
        <v>0</v>
      </c>
      <c r="T191" s="7">
        <v>100000</v>
      </c>
      <c r="U191" s="7">
        <f t="shared" si="48"/>
        <v>0</v>
      </c>
      <c r="V191" s="4"/>
      <c r="Y191" s="4"/>
    </row>
    <row r="192" spans="2:25" ht="18.75" hidden="1">
      <c r="B192" s="58"/>
      <c r="C192" s="60"/>
      <c r="D192" s="52"/>
      <c r="E192" s="63"/>
      <c r="F192" s="8">
        <v>1</v>
      </c>
      <c r="G192" s="67"/>
      <c r="H192" s="68"/>
      <c r="I192" s="35"/>
      <c r="J192" s="9" t="str">
        <f t="shared" si="39"/>
        <v/>
      </c>
      <c r="K192" s="39"/>
      <c r="L192" s="39"/>
      <c r="M192" s="39"/>
      <c r="N192" s="39"/>
      <c r="O192" s="39"/>
      <c r="P192" s="39"/>
      <c r="Q192" s="39"/>
      <c r="R192" s="39"/>
      <c r="S192" s="10">
        <f t="shared" si="46"/>
        <v>0</v>
      </c>
      <c r="T192" s="10">
        <v>100000</v>
      </c>
      <c r="U192" s="10">
        <f t="shared" si="48"/>
        <v>0</v>
      </c>
      <c r="V192" s="4"/>
      <c r="Y192" s="4"/>
    </row>
    <row r="193" spans="2:25" ht="18.75" hidden="1">
      <c r="B193" s="58"/>
      <c r="C193" s="60"/>
      <c r="D193" s="52"/>
      <c r="E193" s="63"/>
      <c r="F193" s="8">
        <v>8.3333333333333329E-2</v>
      </c>
      <c r="G193" s="67"/>
      <c r="H193" s="68"/>
      <c r="I193" s="35"/>
      <c r="J193" s="9" t="str">
        <f t="shared" si="39"/>
        <v/>
      </c>
      <c r="K193" s="39"/>
      <c r="L193" s="39"/>
      <c r="M193" s="39"/>
      <c r="N193" s="39"/>
      <c r="O193" s="39"/>
      <c r="P193" s="39"/>
      <c r="Q193" s="39"/>
      <c r="R193" s="39"/>
      <c r="S193" s="10">
        <f t="shared" si="46"/>
        <v>0</v>
      </c>
      <c r="T193" s="10">
        <v>100000</v>
      </c>
      <c r="U193" s="10">
        <f t="shared" si="48"/>
        <v>0</v>
      </c>
      <c r="V193" s="4"/>
      <c r="Y193" s="4"/>
    </row>
    <row r="194" spans="2:25" ht="18.75" hidden="1">
      <c r="B194" s="58"/>
      <c r="C194" s="60"/>
      <c r="D194" s="52"/>
      <c r="E194" s="63"/>
      <c r="F194" s="8">
        <v>0.16666666666666666</v>
      </c>
      <c r="G194" s="67"/>
      <c r="H194" s="68"/>
      <c r="I194" s="35"/>
      <c r="J194" s="9" t="str">
        <f t="shared" si="39"/>
        <v/>
      </c>
      <c r="K194" s="39"/>
      <c r="L194" s="39"/>
      <c r="M194" s="39"/>
      <c r="N194" s="39"/>
      <c r="O194" s="39"/>
      <c r="P194" s="39"/>
      <c r="Q194" s="39"/>
      <c r="R194" s="39"/>
      <c r="S194" s="10">
        <f t="shared" si="46"/>
        <v>0</v>
      </c>
      <c r="T194" s="10">
        <v>100000</v>
      </c>
      <c r="U194" s="10">
        <f t="shared" si="48"/>
        <v>0</v>
      </c>
      <c r="V194" s="4"/>
      <c r="W194" s="4"/>
      <c r="X194" s="4"/>
      <c r="Y194" s="4"/>
    </row>
    <row r="195" spans="2:25" ht="18.75" hidden="1">
      <c r="B195" s="58"/>
      <c r="C195" s="60"/>
      <c r="D195" s="52"/>
      <c r="E195" s="63"/>
      <c r="F195" s="8">
        <v>0.25</v>
      </c>
      <c r="G195" s="67"/>
      <c r="H195" s="68"/>
      <c r="I195" s="35"/>
      <c r="J195" s="9" t="str">
        <f t="shared" si="39"/>
        <v/>
      </c>
      <c r="K195" s="39"/>
      <c r="L195" s="39"/>
      <c r="M195" s="39"/>
      <c r="N195" s="39"/>
      <c r="O195" s="39"/>
      <c r="P195" s="39"/>
      <c r="Q195" s="39"/>
      <c r="R195" s="39"/>
      <c r="S195" s="10">
        <f t="shared" si="46"/>
        <v>0</v>
      </c>
      <c r="T195" s="10">
        <v>100000</v>
      </c>
      <c r="U195" s="10">
        <f t="shared" si="48"/>
        <v>0</v>
      </c>
      <c r="V195" s="4"/>
      <c r="Y195" s="4"/>
    </row>
    <row r="196" spans="2:25" ht="18.75" hidden="1">
      <c r="B196" s="58"/>
      <c r="C196" s="61"/>
      <c r="D196" s="53"/>
      <c r="E196" s="69"/>
      <c r="F196" s="14">
        <v>0.33333333333333331</v>
      </c>
      <c r="G196" s="67"/>
      <c r="H196" s="68"/>
      <c r="I196" s="37"/>
      <c r="J196" s="15" t="str">
        <f t="shared" si="39"/>
        <v/>
      </c>
      <c r="K196" s="40"/>
      <c r="L196" s="40"/>
      <c r="M196" s="40"/>
      <c r="N196" s="40"/>
      <c r="O196" s="40"/>
      <c r="P196" s="40"/>
      <c r="Q196" s="40"/>
      <c r="R196" s="40"/>
      <c r="S196" s="16">
        <f t="shared" si="46"/>
        <v>0</v>
      </c>
      <c r="T196" s="16">
        <v>100000</v>
      </c>
      <c r="U196" s="16">
        <f t="shared" si="48"/>
        <v>0</v>
      </c>
      <c r="V196" s="4"/>
      <c r="W196" s="4"/>
      <c r="X196" s="4"/>
      <c r="Y196" s="4"/>
    </row>
    <row r="197" spans="2:25" ht="36.75" hidden="1" customHeight="1">
      <c r="B197" s="58">
        <v>46097</v>
      </c>
      <c r="C197" s="59" t="s">
        <v>17</v>
      </c>
      <c r="D197" s="51" t="s">
        <v>42</v>
      </c>
      <c r="E197" s="62" t="s">
        <v>101</v>
      </c>
      <c r="F197" s="5">
        <v>0.41666666666666669</v>
      </c>
      <c r="G197" s="65" t="s">
        <v>79</v>
      </c>
      <c r="H197" s="66"/>
      <c r="I197" s="34">
        <v>20</v>
      </c>
      <c r="J197" s="6">
        <f t="shared" si="39"/>
        <v>0.4</v>
      </c>
      <c r="K197" s="38"/>
      <c r="L197" s="38"/>
      <c r="M197" s="38">
        <v>1</v>
      </c>
      <c r="N197" s="38"/>
      <c r="O197" s="38"/>
      <c r="P197" s="38"/>
      <c r="Q197" s="38">
        <v>7</v>
      </c>
      <c r="R197" s="38"/>
      <c r="S197" s="7">
        <f>SUM(K197:R197)</f>
        <v>8</v>
      </c>
      <c r="T197" s="7">
        <v>100000</v>
      </c>
      <c r="U197" s="7">
        <f>T197*S197</f>
        <v>800000</v>
      </c>
      <c r="V197" s="4"/>
      <c r="W197" s="4"/>
      <c r="X197" s="4"/>
      <c r="Y197" s="4"/>
    </row>
    <row r="198" spans="2:25" ht="37.5" hidden="1">
      <c r="B198" s="58"/>
      <c r="C198" s="60"/>
      <c r="D198" s="52" t="s">
        <v>42</v>
      </c>
      <c r="E198" s="63"/>
      <c r="F198" s="8">
        <v>0.5</v>
      </c>
      <c r="G198" s="67" t="s">
        <v>79</v>
      </c>
      <c r="H198" s="68"/>
      <c r="I198" s="35">
        <v>40</v>
      </c>
      <c r="J198" s="9">
        <f t="shared" si="39"/>
        <v>0</v>
      </c>
      <c r="K198" s="39"/>
      <c r="L198" s="39"/>
      <c r="M198" s="39"/>
      <c r="N198" s="39"/>
      <c r="O198" s="39"/>
      <c r="P198" s="39"/>
      <c r="Q198" s="39"/>
      <c r="R198" s="39"/>
      <c r="S198" s="10">
        <f t="shared" ref="S198:S208" si="49">SUM(K198:R198)</f>
        <v>0</v>
      </c>
      <c r="T198" s="10">
        <v>100000</v>
      </c>
      <c r="U198" s="10">
        <f t="shared" ref="U198:U199" si="50">T198*S198</f>
        <v>0</v>
      </c>
      <c r="V198" s="4"/>
      <c r="W198" s="4"/>
      <c r="X198" s="4"/>
      <c r="Y198" s="4"/>
    </row>
    <row r="199" spans="2:25" ht="37.5" hidden="1">
      <c r="B199" s="58"/>
      <c r="C199" s="60"/>
      <c r="D199" s="52" t="s">
        <v>42</v>
      </c>
      <c r="E199" s="63"/>
      <c r="F199" s="8">
        <v>0.58333333333333337</v>
      </c>
      <c r="G199" s="67" t="s">
        <v>79</v>
      </c>
      <c r="H199" s="68"/>
      <c r="I199" s="35">
        <v>78</v>
      </c>
      <c r="J199" s="9">
        <f t="shared" si="39"/>
        <v>0</v>
      </c>
      <c r="K199" s="39"/>
      <c r="L199" s="39"/>
      <c r="M199" s="39"/>
      <c r="N199" s="39"/>
      <c r="O199" s="39"/>
      <c r="P199" s="39"/>
      <c r="Q199" s="39"/>
      <c r="R199" s="39"/>
      <c r="S199" s="10">
        <f t="shared" si="49"/>
        <v>0</v>
      </c>
      <c r="T199" s="10">
        <v>100000</v>
      </c>
      <c r="U199" s="10">
        <f t="shared" si="50"/>
        <v>0</v>
      </c>
      <c r="V199" s="4"/>
      <c r="W199" s="4"/>
      <c r="X199" s="4"/>
      <c r="Y199" s="4"/>
    </row>
    <row r="200" spans="2:25" ht="37.5" hidden="1">
      <c r="B200" s="58"/>
      <c r="C200" s="60"/>
      <c r="D200" s="52" t="s">
        <v>42</v>
      </c>
      <c r="E200" s="63"/>
      <c r="F200" s="8">
        <v>0.66666666666666663</v>
      </c>
      <c r="G200" s="67" t="s">
        <v>79</v>
      </c>
      <c r="H200" s="68"/>
      <c r="I200" s="35">
        <v>70</v>
      </c>
      <c r="J200" s="9">
        <f t="shared" si="39"/>
        <v>0</v>
      </c>
      <c r="K200" s="39"/>
      <c r="L200" s="39"/>
      <c r="M200" s="39"/>
      <c r="N200" s="39"/>
      <c r="O200" s="39"/>
      <c r="P200" s="39"/>
      <c r="Q200" s="39"/>
      <c r="R200" s="39"/>
      <c r="S200" s="10">
        <f t="shared" si="49"/>
        <v>0</v>
      </c>
      <c r="T200" s="10">
        <v>100000</v>
      </c>
      <c r="U200" s="10">
        <f>T200*S200</f>
        <v>0</v>
      </c>
      <c r="V200" s="4"/>
      <c r="W200" s="4"/>
      <c r="X200" s="4"/>
      <c r="Y200" s="4"/>
    </row>
    <row r="201" spans="2:25" ht="37.5" hidden="1">
      <c r="B201" s="58"/>
      <c r="C201" s="60"/>
      <c r="D201" s="52" t="s">
        <v>42</v>
      </c>
      <c r="E201" s="63"/>
      <c r="F201" s="8">
        <v>0.75</v>
      </c>
      <c r="G201" s="67" t="s">
        <v>79</v>
      </c>
      <c r="H201" s="68"/>
      <c r="I201" s="35">
        <v>55</v>
      </c>
      <c r="J201" s="9">
        <f t="shared" si="39"/>
        <v>0</v>
      </c>
      <c r="K201" s="39"/>
      <c r="L201" s="39"/>
      <c r="M201" s="39"/>
      <c r="N201" s="39"/>
      <c r="O201" s="39"/>
      <c r="P201" s="39"/>
      <c r="Q201" s="39"/>
      <c r="R201" s="39"/>
      <c r="S201" s="10">
        <f t="shared" si="49"/>
        <v>0</v>
      </c>
      <c r="T201" s="10">
        <v>100000</v>
      </c>
      <c r="U201" s="10">
        <f t="shared" ref="U201:U208" si="51">T201*S201</f>
        <v>0</v>
      </c>
      <c r="V201" s="4"/>
      <c r="W201" s="4"/>
      <c r="X201" s="11"/>
      <c r="Y201" s="4"/>
    </row>
    <row r="202" spans="2:25" ht="37.5" hidden="1">
      <c r="B202" s="58"/>
      <c r="C202" s="60"/>
      <c r="D202" s="53" t="s">
        <v>42</v>
      </c>
      <c r="E202" s="64"/>
      <c r="F202" s="12">
        <v>0.83333333333333337</v>
      </c>
      <c r="G202" s="67" t="s">
        <v>79</v>
      </c>
      <c r="H202" s="68"/>
      <c r="I202" s="36">
        <v>60</v>
      </c>
      <c r="J202" s="9">
        <f t="shared" si="39"/>
        <v>0</v>
      </c>
      <c r="K202" s="41"/>
      <c r="L202" s="41"/>
      <c r="M202" s="41"/>
      <c r="N202" s="41"/>
      <c r="O202" s="41"/>
      <c r="P202" s="41"/>
      <c r="Q202" s="41"/>
      <c r="R202" s="41"/>
      <c r="S202" s="13">
        <f t="shared" si="49"/>
        <v>0</v>
      </c>
      <c r="T202" s="13">
        <v>100000</v>
      </c>
      <c r="U202" s="13">
        <f t="shared" si="51"/>
        <v>0</v>
      </c>
      <c r="V202" s="4"/>
      <c r="Y202" s="4"/>
    </row>
    <row r="203" spans="2:25" ht="18.75" hidden="1">
      <c r="B203" s="58"/>
      <c r="C203" s="60"/>
      <c r="D203" s="51"/>
      <c r="E203" s="62" t="s">
        <v>102</v>
      </c>
      <c r="F203" s="5">
        <v>0.91666666666666663</v>
      </c>
      <c r="G203" s="65"/>
      <c r="H203" s="66"/>
      <c r="I203" s="34"/>
      <c r="J203" s="6" t="str">
        <f t="shared" si="39"/>
        <v/>
      </c>
      <c r="K203" s="38"/>
      <c r="L203" s="38"/>
      <c r="M203" s="38"/>
      <c r="N203" s="38"/>
      <c r="O203" s="38"/>
      <c r="P203" s="38"/>
      <c r="Q203" s="38"/>
      <c r="R203" s="38"/>
      <c r="S203" s="7">
        <f t="shared" si="49"/>
        <v>0</v>
      </c>
      <c r="T203" s="7">
        <v>100000</v>
      </c>
      <c r="U203" s="7">
        <f t="shared" si="51"/>
        <v>0</v>
      </c>
      <c r="V203" s="4"/>
      <c r="Y203" s="4"/>
    </row>
    <row r="204" spans="2:25" ht="18.75" hidden="1">
      <c r="B204" s="58"/>
      <c r="C204" s="60"/>
      <c r="D204" s="52"/>
      <c r="E204" s="63"/>
      <c r="F204" s="8">
        <v>1</v>
      </c>
      <c r="G204" s="67"/>
      <c r="H204" s="68"/>
      <c r="I204" s="35"/>
      <c r="J204" s="9" t="str">
        <f t="shared" si="39"/>
        <v/>
      </c>
      <c r="K204" s="39"/>
      <c r="L204" s="39"/>
      <c r="M204" s="39"/>
      <c r="N204" s="39"/>
      <c r="O204" s="39"/>
      <c r="P204" s="39"/>
      <c r="Q204" s="39"/>
      <c r="R204" s="39"/>
      <c r="S204" s="10">
        <f t="shared" si="49"/>
        <v>0</v>
      </c>
      <c r="T204" s="10">
        <v>100000</v>
      </c>
      <c r="U204" s="10">
        <f t="shared" si="51"/>
        <v>0</v>
      </c>
      <c r="V204" s="4"/>
      <c r="Y204" s="4"/>
    </row>
    <row r="205" spans="2:25" ht="18.75" hidden="1">
      <c r="B205" s="58"/>
      <c r="C205" s="60"/>
      <c r="D205" s="52"/>
      <c r="E205" s="63"/>
      <c r="F205" s="8">
        <v>8.3333333333333329E-2</v>
      </c>
      <c r="G205" s="67"/>
      <c r="H205" s="68"/>
      <c r="I205" s="35"/>
      <c r="J205" s="9" t="str">
        <f t="shared" si="39"/>
        <v/>
      </c>
      <c r="K205" s="39"/>
      <c r="L205" s="39"/>
      <c r="M205" s="39"/>
      <c r="N205" s="39"/>
      <c r="O205" s="39"/>
      <c r="P205" s="39"/>
      <c r="Q205" s="39"/>
      <c r="R205" s="39"/>
      <c r="S205" s="10">
        <f t="shared" si="49"/>
        <v>0</v>
      </c>
      <c r="T205" s="10">
        <v>100000</v>
      </c>
      <c r="U205" s="10">
        <f t="shared" si="51"/>
        <v>0</v>
      </c>
      <c r="V205" s="4"/>
      <c r="Y205" s="4"/>
    </row>
    <row r="206" spans="2:25" ht="18.75" hidden="1">
      <c r="B206" s="58"/>
      <c r="C206" s="60"/>
      <c r="D206" s="52"/>
      <c r="E206" s="63"/>
      <c r="F206" s="8">
        <v>0.16666666666666666</v>
      </c>
      <c r="G206" s="67"/>
      <c r="H206" s="68"/>
      <c r="I206" s="35"/>
      <c r="J206" s="9" t="str">
        <f t="shared" si="39"/>
        <v/>
      </c>
      <c r="K206" s="39"/>
      <c r="L206" s="39"/>
      <c r="M206" s="39"/>
      <c r="N206" s="39"/>
      <c r="O206" s="39"/>
      <c r="P206" s="39"/>
      <c r="Q206" s="39"/>
      <c r="R206" s="39"/>
      <c r="S206" s="10">
        <f t="shared" si="49"/>
        <v>0</v>
      </c>
      <c r="T206" s="10">
        <v>100000</v>
      </c>
      <c r="U206" s="10">
        <f t="shared" si="51"/>
        <v>0</v>
      </c>
      <c r="V206" s="4"/>
      <c r="W206" s="4"/>
      <c r="X206" s="4"/>
      <c r="Y206" s="4"/>
    </row>
    <row r="207" spans="2:25" ht="18.75" hidden="1">
      <c r="B207" s="58"/>
      <c r="C207" s="60"/>
      <c r="D207" s="52"/>
      <c r="E207" s="63"/>
      <c r="F207" s="8">
        <v>0.25</v>
      </c>
      <c r="G207" s="67"/>
      <c r="H207" s="68"/>
      <c r="I207" s="35"/>
      <c r="J207" s="9" t="str">
        <f t="shared" si="39"/>
        <v/>
      </c>
      <c r="K207" s="39"/>
      <c r="L207" s="39"/>
      <c r="M207" s="39"/>
      <c r="N207" s="39"/>
      <c r="O207" s="39"/>
      <c r="P207" s="39"/>
      <c r="Q207" s="39"/>
      <c r="R207" s="39"/>
      <c r="S207" s="10">
        <f t="shared" si="49"/>
        <v>0</v>
      </c>
      <c r="T207" s="10">
        <v>100000</v>
      </c>
      <c r="U207" s="10">
        <f t="shared" si="51"/>
        <v>0</v>
      </c>
      <c r="V207" s="4"/>
      <c r="Y207" s="4"/>
    </row>
    <row r="208" spans="2:25" ht="18.75" hidden="1">
      <c r="B208" s="58"/>
      <c r="C208" s="61"/>
      <c r="D208" s="53"/>
      <c r="E208" s="69"/>
      <c r="F208" s="14">
        <v>0.33333333333333331</v>
      </c>
      <c r="G208" s="67"/>
      <c r="H208" s="68"/>
      <c r="I208" s="37"/>
      <c r="J208" s="15" t="str">
        <f t="shared" si="39"/>
        <v/>
      </c>
      <c r="K208" s="40"/>
      <c r="L208" s="40"/>
      <c r="M208" s="40"/>
      <c r="N208" s="40"/>
      <c r="O208" s="40"/>
      <c r="P208" s="40"/>
      <c r="Q208" s="40"/>
      <c r="R208" s="40"/>
      <c r="S208" s="16">
        <f t="shared" si="49"/>
        <v>0</v>
      </c>
      <c r="T208" s="16">
        <v>100000</v>
      </c>
      <c r="U208" s="16">
        <f t="shared" si="51"/>
        <v>0</v>
      </c>
      <c r="V208" s="4"/>
      <c r="W208" s="4"/>
      <c r="X208" s="4"/>
      <c r="Y208" s="4"/>
    </row>
    <row r="209" spans="2:25" ht="34.5" hidden="1" customHeight="1">
      <c r="B209" s="58">
        <v>46098</v>
      </c>
      <c r="C209" s="59" t="s">
        <v>17</v>
      </c>
      <c r="D209" s="51" t="s">
        <v>42</v>
      </c>
      <c r="E209" s="62" t="s">
        <v>101</v>
      </c>
      <c r="F209" s="5">
        <v>0.41666666666666669</v>
      </c>
      <c r="G209" s="65" t="s">
        <v>79</v>
      </c>
      <c r="H209" s="66"/>
      <c r="I209" s="34">
        <v>60</v>
      </c>
      <c r="J209" s="6">
        <f t="shared" ref="J209:J232" si="52">IFERROR(S209/I209,"")</f>
        <v>8.3333333333333329E-2</v>
      </c>
      <c r="K209" s="38"/>
      <c r="L209" s="38"/>
      <c r="M209" s="38">
        <v>5</v>
      </c>
      <c r="N209" s="38"/>
      <c r="O209" s="38"/>
      <c r="P209" s="38"/>
      <c r="Q209" s="38"/>
      <c r="R209" s="38"/>
      <c r="S209" s="7">
        <f>SUM(K209:R209)</f>
        <v>5</v>
      </c>
      <c r="T209" s="7">
        <v>100000</v>
      </c>
      <c r="U209" s="7">
        <f>T209*S209</f>
        <v>500000</v>
      </c>
      <c r="V209" s="4"/>
      <c r="W209" s="4"/>
      <c r="X209" s="4"/>
      <c r="Y209" s="4"/>
    </row>
    <row r="210" spans="2:25" ht="37.5" hidden="1">
      <c r="B210" s="58"/>
      <c r="C210" s="60"/>
      <c r="D210" s="52" t="s">
        <v>42</v>
      </c>
      <c r="E210" s="63"/>
      <c r="F210" s="8">
        <v>0.5</v>
      </c>
      <c r="G210" s="67" t="s">
        <v>79</v>
      </c>
      <c r="H210" s="68"/>
      <c r="I210" s="35">
        <v>30</v>
      </c>
      <c r="J210" s="9">
        <f t="shared" si="52"/>
        <v>6.6666666666666666E-2</v>
      </c>
      <c r="K210" s="39"/>
      <c r="L210" s="39"/>
      <c r="M210" s="39"/>
      <c r="N210" s="39"/>
      <c r="O210" s="39"/>
      <c r="P210" s="39"/>
      <c r="Q210" s="39">
        <v>2</v>
      </c>
      <c r="R210" s="39"/>
      <c r="S210" s="10">
        <f t="shared" ref="S210:S220" si="53">SUM(K210:R210)</f>
        <v>2</v>
      </c>
      <c r="T210" s="10">
        <v>100000</v>
      </c>
      <c r="U210" s="10">
        <f t="shared" ref="U210:U211" si="54">T210*S210</f>
        <v>200000</v>
      </c>
      <c r="V210" s="4"/>
      <c r="W210" s="4"/>
      <c r="X210" s="4"/>
      <c r="Y210" s="4"/>
    </row>
    <row r="211" spans="2:25" ht="37.5" hidden="1">
      <c r="B211" s="58"/>
      <c r="C211" s="60"/>
      <c r="D211" s="52" t="s">
        <v>42</v>
      </c>
      <c r="E211" s="63"/>
      <c r="F211" s="8">
        <v>0.58333333333333337</v>
      </c>
      <c r="G211" s="67" t="s">
        <v>79</v>
      </c>
      <c r="H211" s="68"/>
      <c r="I211" s="35">
        <v>75</v>
      </c>
      <c r="J211" s="9">
        <f t="shared" si="52"/>
        <v>1.3333333333333334E-2</v>
      </c>
      <c r="K211" s="39"/>
      <c r="L211" s="39"/>
      <c r="M211" s="39">
        <v>1</v>
      </c>
      <c r="N211" s="39"/>
      <c r="O211" s="39"/>
      <c r="P211" s="39"/>
      <c r="Q211" s="39"/>
      <c r="R211" s="39"/>
      <c r="S211" s="10">
        <f t="shared" si="53"/>
        <v>1</v>
      </c>
      <c r="T211" s="10">
        <v>100000</v>
      </c>
      <c r="U211" s="10">
        <f t="shared" si="54"/>
        <v>100000</v>
      </c>
      <c r="V211" s="4"/>
      <c r="W211" s="4"/>
      <c r="X211" s="4"/>
      <c r="Y211" s="4"/>
    </row>
    <row r="212" spans="2:25" ht="37.5" hidden="1">
      <c r="B212" s="58"/>
      <c r="C212" s="60"/>
      <c r="D212" s="52" t="s">
        <v>42</v>
      </c>
      <c r="E212" s="63"/>
      <c r="F212" s="8">
        <v>0.66666666666666663</v>
      </c>
      <c r="G212" s="67" t="s">
        <v>79</v>
      </c>
      <c r="H212" s="68"/>
      <c r="I212" s="35">
        <v>70</v>
      </c>
      <c r="J212" s="9">
        <f t="shared" si="52"/>
        <v>1.4285714285714285E-2</v>
      </c>
      <c r="K212" s="39"/>
      <c r="L212" s="39"/>
      <c r="M212" s="39"/>
      <c r="N212" s="39"/>
      <c r="O212" s="39"/>
      <c r="P212" s="39"/>
      <c r="Q212" s="39">
        <v>1</v>
      </c>
      <c r="R212" s="39"/>
      <c r="S212" s="10">
        <f t="shared" si="53"/>
        <v>1</v>
      </c>
      <c r="T212" s="10">
        <v>100000</v>
      </c>
      <c r="U212" s="10">
        <f>T212*S212</f>
        <v>100000</v>
      </c>
      <c r="V212" s="4"/>
      <c r="W212" s="4"/>
      <c r="X212" s="4"/>
      <c r="Y212" s="4"/>
    </row>
    <row r="213" spans="2:25" ht="37.5" hidden="1">
      <c r="B213" s="58"/>
      <c r="C213" s="60"/>
      <c r="D213" s="52" t="s">
        <v>42</v>
      </c>
      <c r="E213" s="63"/>
      <c r="F213" s="8">
        <v>0.75</v>
      </c>
      <c r="G213" s="67" t="s">
        <v>79</v>
      </c>
      <c r="H213" s="68"/>
      <c r="I213" s="35">
        <v>78</v>
      </c>
      <c r="J213" s="9">
        <f t="shared" si="52"/>
        <v>2.564102564102564E-2</v>
      </c>
      <c r="K213" s="39"/>
      <c r="L213" s="39"/>
      <c r="M213" s="39"/>
      <c r="N213" s="39"/>
      <c r="O213" s="39"/>
      <c r="P213" s="39"/>
      <c r="Q213" s="39">
        <v>2</v>
      </c>
      <c r="R213" s="39"/>
      <c r="S213" s="10">
        <f t="shared" si="53"/>
        <v>2</v>
      </c>
      <c r="T213" s="10">
        <v>100000</v>
      </c>
      <c r="U213" s="10">
        <f t="shared" ref="U213:U220" si="55">T213*S213</f>
        <v>200000</v>
      </c>
      <c r="V213" s="4"/>
      <c r="W213" s="4"/>
      <c r="X213" s="11"/>
      <c r="Y213" s="4"/>
    </row>
    <row r="214" spans="2:25" ht="37.5" hidden="1">
      <c r="B214" s="58"/>
      <c r="C214" s="60"/>
      <c r="D214" s="53" t="s">
        <v>42</v>
      </c>
      <c r="E214" s="64"/>
      <c r="F214" s="12">
        <v>0.83333333333333337</v>
      </c>
      <c r="G214" s="67" t="s">
        <v>79</v>
      </c>
      <c r="H214" s="68"/>
      <c r="I214" s="36">
        <v>78</v>
      </c>
      <c r="J214" s="9">
        <f t="shared" si="52"/>
        <v>0</v>
      </c>
      <c r="K214" s="41"/>
      <c r="L214" s="41"/>
      <c r="M214" s="41"/>
      <c r="N214" s="41"/>
      <c r="O214" s="41"/>
      <c r="P214" s="41"/>
      <c r="Q214" s="41"/>
      <c r="R214" s="41"/>
      <c r="S214" s="13">
        <f t="shared" si="53"/>
        <v>0</v>
      </c>
      <c r="T214" s="13">
        <v>100000</v>
      </c>
      <c r="U214" s="13">
        <f t="shared" si="55"/>
        <v>0</v>
      </c>
      <c r="V214" s="4"/>
      <c r="Y214" s="4"/>
    </row>
    <row r="215" spans="2:25" ht="37.5" hidden="1">
      <c r="B215" s="58"/>
      <c r="C215" s="60"/>
      <c r="D215" s="51" t="s">
        <v>42</v>
      </c>
      <c r="E215" s="62" t="s">
        <v>102</v>
      </c>
      <c r="F215" s="5">
        <v>0.91666666666666663</v>
      </c>
      <c r="G215" s="65" t="s">
        <v>82</v>
      </c>
      <c r="H215" s="66"/>
      <c r="I215" s="34">
        <v>75</v>
      </c>
      <c r="J215" s="6">
        <f t="shared" si="52"/>
        <v>0.12</v>
      </c>
      <c r="K215" s="38"/>
      <c r="L215" s="38"/>
      <c r="M215" s="38">
        <v>2</v>
      </c>
      <c r="N215" s="38"/>
      <c r="O215" s="38"/>
      <c r="P215" s="38"/>
      <c r="Q215" s="38">
        <v>4</v>
      </c>
      <c r="R215" s="38">
        <v>3</v>
      </c>
      <c r="S215" s="7">
        <f t="shared" si="53"/>
        <v>9</v>
      </c>
      <c r="T215" s="7">
        <v>100000</v>
      </c>
      <c r="U215" s="7">
        <f t="shared" si="55"/>
        <v>900000</v>
      </c>
      <c r="V215" s="4"/>
      <c r="Y215" s="4"/>
    </row>
    <row r="216" spans="2:25" ht="37.5" hidden="1">
      <c r="B216" s="58"/>
      <c r="C216" s="60"/>
      <c r="D216" s="52" t="s">
        <v>42</v>
      </c>
      <c r="E216" s="63"/>
      <c r="F216" s="8">
        <v>1</v>
      </c>
      <c r="G216" s="67" t="s">
        <v>82</v>
      </c>
      <c r="H216" s="68"/>
      <c r="I216" s="35">
        <v>38</v>
      </c>
      <c r="J216" s="9">
        <f t="shared" si="52"/>
        <v>0.13157894736842105</v>
      </c>
      <c r="K216" s="39"/>
      <c r="L216" s="39"/>
      <c r="M216" s="39">
        <v>2</v>
      </c>
      <c r="N216" s="39"/>
      <c r="O216" s="39"/>
      <c r="P216" s="39"/>
      <c r="Q216" s="39"/>
      <c r="R216" s="39">
        <v>3</v>
      </c>
      <c r="S216" s="10">
        <f t="shared" si="53"/>
        <v>5</v>
      </c>
      <c r="T216" s="10">
        <v>100000</v>
      </c>
      <c r="U216" s="10">
        <f t="shared" si="55"/>
        <v>500000</v>
      </c>
      <c r="V216" s="4"/>
      <c r="Y216" s="4"/>
    </row>
    <row r="217" spans="2:25" ht="37.5" hidden="1">
      <c r="B217" s="58"/>
      <c r="C217" s="60"/>
      <c r="D217" s="52" t="s">
        <v>42</v>
      </c>
      <c r="E217" s="63"/>
      <c r="F217" s="8">
        <v>8.3333333333333329E-2</v>
      </c>
      <c r="G217" s="67" t="s">
        <v>82</v>
      </c>
      <c r="H217" s="68"/>
      <c r="I217" s="35">
        <v>75</v>
      </c>
      <c r="J217" s="9">
        <f t="shared" si="52"/>
        <v>5.3333333333333337E-2</v>
      </c>
      <c r="K217" s="39">
        <v>1</v>
      </c>
      <c r="L217" s="39"/>
      <c r="M217" s="39"/>
      <c r="N217" s="39"/>
      <c r="O217" s="39"/>
      <c r="P217" s="39"/>
      <c r="Q217" s="39"/>
      <c r="R217" s="39">
        <v>3</v>
      </c>
      <c r="S217" s="10">
        <f t="shared" si="53"/>
        <v>4</v>
      </c>
      <c r="T217" s="10">
        <v>100000</v>
      </c>
      <c r="U217" s="10">
        <f t="shared" si="55"/>
        <v>400000</v>
      </c>
      <c r="V217" s="4"/>
      <c r="Y217" s="4"/>
    </row>
    <row r="218" spans="2:25" ht="37.5" hidden="1">
      <c r="B218" s="58"/>
      <c r="C218" s="60"/>
      <c r="D218" s="52" t="s">
        <v>42</v>
      </c>
      <c r="E218" s="63"/>
      <c r="F218" s="8">
        <v>0.16666666666666666</v>
      </c>
      <c r="G218" s="67" t="s">
        <v>82</v>
      </c>
      <c r="H218" s="68"/>
      <c r="I218" s="35">
        <v>75</v>
      </c>
      <c r="J218" s="9">
        <f t="shared" si="52"/>
        <v>0.04</v>
      </c>
      <c r="K218" s="39"/>
      <c r="L218" s="39"/>
      <c r="M218" s="39"/>
      <c r="N218" s="39"/>
      <c r="O218" s="39"/>
      <c r="P218" s="39"/>
      <c r="Q218" s="39"/>
      <c r="R218" s="39">
        <v>3</v>
      </c>
      <c r="S218" s="10">
        <f t="shared" si="53"/>
        <v>3</v>
      </c>
      <c r="T218" s="10">
        <v>100000</v>
      </c>
      <c r="U218" s="10">
        <f t="shared" si="55"/>
        <v>300000</v>
      </c>
      <c r="V218" s="4"/>
      <c r="W218" s="4"/>
      <c r="X218" s="4"/>
      <c r="Y218" s="4"/>
    </row>
    <row r="219" spans="2:25" ht="37.5" hidden="1">
      <c r="B219" s="58"/>
      <c r="C219" s="60"/>
      <c r="D219" s="52" t="s">
        <v>42</v>
      </c>
      <c r="E219" s="63"/>
      <c r="F219" s="8">
        <v>0.25</v>
      </c>
      <c r="G219" s="67" t="s">
        <v>82</v>
      </c>
      <c r="H219" s="68"/>
      <c r="I219" s="35">
        <v>75</v>
      </c>
      <c r="J219" s="9">
        <f t="shared" si="52"/>
        <v>0.04</v>
      </c>
      <c r="K219" s="39"/>
      <c r="L219" s="39"/>
      <c r="M219" s="39"/>
      <c r="N219" s="39"/>
      <c r="O219" s="39"/>
      <c r="P219" s="39"/>
      <c r="Q219" s="39"/>
      <c r="R219" s="39">
        <v>3</v>
      </c>
      <c r="S219" s="10">
        <f t="shared" si="53"/>
        <v>3</v>
      </c>
      <c r="T219" s="10">
        <v>100000</v>
      </c>
      <c r="U219" s="10">
        <f t="shared" si="55"/>
        <v>300000</v>
      </c>
      <c r="V219" s="4"/>
      <c r="Y219" s="4"/>
    </row>
    <row r="220" spans="2:25" ht="37.5" hidden="1">
      <c r="B220" s="58"/>
      <c r="C220" s="61"/>
      <c r="D220" s="53" t="s">
        <v>42</v>
      </c>
      <c r="E220" s="69"/>
      <c r="F220" s="14">
        <v>0.33333333333333331</v>
      </c>
      <c r="G220" s="67" t="s">
        <v>82</v>
      </c>
      <c r="H220" s="68"/>
      <c r="I220" s="37">
        <v>80</v>
      </c>
      <c r="J220" s="15">
        <f t="shared" si="52"/>
        <v>0</v>
      </c>
      <c r="K220" s="40"/>
      <c r="L220" s="40"/>
      <c r="M220" s="40"/>
      <c r="N220" s="40"/>
      <c r="O220" s="40"/>
      <c r="P220" s="40"/>
      <c r="Q220" s="40"/>
      <c r="R220" s="40"/>
      <c r="S220" s="16">
        <f t="shared" si="53"/>
        <v>0</v>
      </c>
      <c r="T220" s="16">
        <v>100000</v>
      </c>
      <c r="U220" s="16">
        <f t="shared" si="55"/>
        <v>0</v>
      </c>
      <c r="V220" s="4"/>
      <c r="W220" s="4"/>
      <c r="X220" s="4"/>
      <c r="Y220" s="4"/>
    </row>
    <row r="221" spans="2:25" ht="38.25" hidden="1" customHeight="1">
      <c r="B221" s="58">
        <v>46099</v>
      </c>
      <c r="C221" s="59" t="s">
        <v>17</v>
      </c>
      <c r="D221" s="55" t="s">
        <v>43</v>
      </c>
      <c r="E221" s="62" t="s">
        <v>101</v>
      </c>
      <c r="F221" s="5">
        <v>0.41666666666666669</v>
      </c>
      <c r="G221" s="65" t="s">
        <v>79</v>
      </c>
      <c r="H221" s="66"/>
      <c r="I221" s="34"/>
      <c r="J221" s="6" t="str">
        <f t="shared" si="52"/>
        <v/>
      </c>
      <c r="K221" s="38"/>
      <c r="L221" s="38"/>
      <c r="M221" s="38"/>
      <c r="N221" s="38"/>
      <c r="O221" s="38"/>
      <c r="P221" s="38"/>
      <c r="Q221" s="38">
        <v>13</v>
      </c>
      <c r="R221" s="38"/>
      <c r="S221" s="7">
        <f>SUM(K221:R221)</f>
        <v>13</v>
      </c>
      <c r="T221" s="7">
        <v>100000</v>
      </c>
      <c r="U221" s="7">
        <f>T221*S221</f>
        <v>1300000</v>
      </c>
      <c r="V221" s="4"/>
      <c r="W221" s="4"/>
      <c r="X221" s="4"/>
      <c r="Y221" s="4"/>
    </row>
    <row r="222" spans="2:25" ht="37.5" hidden="1">
      <c r="B222" s="58"/>
      <c r="C222" s="60"/>
      <c r="D222" s="56" t="s">
        <v>43</v>
      </c>
      <c r="E222" s="63"/>
      <c r="F222" s="8">
        <v>0.5</v>
      </c>
      <c r="G222" s="67" t="s">
        <v>79</v>
      </c>
      <c r="H222" s="68"/>
      <c r="I222" s="35">
        <v>57</v>
      </c>
      <c r="J222" s="9">
        <f t="shared" si="52"/>
        <v>3.5087719298245612E-2</v>
      </c>
      <c r="K222" s="39"/>
      <c r="L222" s="39"/>
      <c r="M222" s="39"/>
      <c r="N222" s="39"/>
      <c r="O222" s="39"/>
      <c r="P222" s="39"/>
      <c r="Q222" s="39"/>
      <c r="R222" s="39">
        <v>2</v>
      </c>
      <c r="S222" s="10">
        <f t="shared" ref="S222:S232" si="56">SUM(K222:R222)</f>
        <v>2</v>
      </c>
      <c r="T222" s="10">
        <v>100000</v>
      </c>
      <c r="U222" s="10">
        <f t="shared" ref="U222:U223" si="57">T222*S222</f>
        <v>200000</v>
      </c>
      <c r="V222" s="4"/>
      <c r="W222" s="4"/>
      <c r="X222" s="4"/>
      <c r="Y222" s="4"/>
    </row>
    <row r="223" spans="2:25" ht="37.5" hidden="1">
      <c r="B223" s="58"/>
      <c r="C223" s="60"/>
      <c r="D223" s="56" t="s">
        <v>43</v>
      </c>
      <c r="E223" s="63"/>
      <c r="F223" s="8">
        <v>0.58333333333333337</v>
      </c>
      <c r="G223" s="67" t="s">
        <v>79</v>
      </c>
      <c r="H223" s="68"/>
      <c r="I223" s="35">
        <v>57</v>
      </c>
      <c r="J223" s="9">
        <f t="shared" si="52"/>
        <v>5.2631578947368418E-2</v>
      </c>
      <c r="K223" s="39"/>
      <c r="L223" s="39"/>
      <c r="M223" s="39"/>
      <c r="N223" s="39"/>
      <c r="O223" s="39"/>
      <c r="P223" s="39"/>
      <c r="Q223" s="39"/>
      <c r="R223" s="39">
        <v>3</v>
      </c>
      <c r="S223" s="10">
        <f t="shared" si="56"/>
        <v>3</v>
      </c>
      <c r="T223" s="10">
        <v>100000</v>
      </c>
      <c r="U223" s="10">
        <f t="shared" si="57"/>
        <v>300000</v>
      </c>
      <c r="V223" s="4"/>
      <c r="W223" s="4"/>
      <c r="X223" s="4"/>
      <c r="Y223" s="4"/>
    </row>
    <row r="224" spans="2:25" ht="37.5" hidden="1">
      <c r="B224" s="58"/>
      <c r="C224" s="60"/>
      <c r="D224" s="56" t="s">
        <v>43</v>
      </c>
      <c r="E224" s="63"/>
      <c r="F224" s="8">
        <v>0.66666666666666663</v>
      </c>
      <c r="G224" s="67" t="s">
        <v>79</v>
      </c>
      <c r="H224" s="68"/>
      <c r="I224" s="35">
        <v>59</v>
      </c>
      <c r="J224" s="9">
        <f t="shared" si="52"/>
        <v>0</v>
      </c>
      <c r="K224" s="39"/>
      <c r="L224" s="39"/>
      <c r="M224" s="39"/>
      <c r="N224" s="39"/>
      <c r="O224" s="39"/>
      <c r="P224" s="39"/>
      <c r="Q224" s="39"/>
      <c r="R224" s="39"/>
      <c r="S224" s="10">
        <f t="shared" si="56"/>
        <v>0</v>
      </c>
      <c r="T224" s="10">
        <v>100000</v>
      </c>
      <c r="U224" s="10">
        <f>T224*S224</f>
        <v>0</v>
      </c>
      <c r="V224" s="4"/>
      <c r="W224" s="4"/>
      <c r="X224" s="4"/>
      <c r="Y224" s="4"/>
    </row>
    <row r="225" spans="2:25" ht="37.5" hidden="1">
      <c r="B225" s="58"/>
      <c r="C225" s="60"/>
      <c r="D225" s="56" t="s">
        <v>43</v>
      </c>
      <c r="E225" s="63"/>
      <c r="F225" s="8">
        <v>0.75</v>
      </c>
      <c r="G225" s="67" t="s">
        <v>79</v>
      </c>
      <c r="H225" s="68"/>
      <c r="I225" s="35">
        <v>56</v>
      </c>
      <c r="J225" s="9">
        <f t="shared" si="52"/>
        <v>0</v>
      </c>
      <c r="K225" s="39"/>
      <c r="L225" s="39"/>
      <c r="M225" s="39"/>
      <c r="N225" s="39"/>
      <c r="O225" s="39"/>
      <c r="P225" s="39"/>
      <c r="Q225" s="39"/>
      <c r="R225" s="39"/>
      <c r="S225" s="10">
        <f t="shared" si="56"/>
        <v>0</v>
      </c>
      <c r="T225" s="10">
        <v>100000</v>
      </c>
      <c r="U225" s="10">
        <f t="shared" ref="U225:U232" si="58">T225*S225</f>
        <v>0</v>
      </c>
      <c r="V225" s="4"/>
      <c r="W225" s="4"/>
      <c r="X225" s="11"/>
      <c r="Y225" s="4"/>
    </row>
    <row r="226" spans="2:25" ht="37.5" hidden="1">
      <c r="B226" s="58"/>
      <c r="C226" s="60"/>
      <c r="D226" s="57" t="s">
        <v>43</v>
      </c>
      <c r="E226" s="64"/>
      <c r="F226" s="12">
        <v>0.83333333333333337</v>
      </c>
      <c r="G226" s="67" t="s">
        <v>79</v>
      </c>
      <c r="H226" s="68"/>
      <c r="I226" s="36">
        <v>56</v>
      </c>
      <c r="J226" s="9">
        <f t="shared" si="52"/>
        <v>0</v>
      </c>
      <c r="K226" s="41"/>
      <c r="L226" s="41"/>
      <c r="M226" s="41"/>
      <c r="N226" s="41"/>
      <c r="O226" s="41"/>
      <c r="P226" s="41"/>
      <c r="Q226" s="41"/>
      <c r="R226" s="41"/>
      <c r="S226" s="13">
        <f t="shared" si="56"/>
        <v>0</v>
      </c>
      <c r="T226" s="13">
        <v>100000</v>
      </c>
      <c r="U226" s="13">
        <f t="shared" si="58"/>
        <v>0</v>
      </c>
      <c r="V226" s="4"/>
      <c r="Y226" s="4"/>
    </row>
    <row r="227" spans="2:25" ht="37.5" hidden="1">
      <c r="B227" s="58"/>
      <c r="C227" s="60"/>
      <c r="D227" s="51" t="s">
        <v>42</v>
      </c>
      <c r="E227" s="62" t="s">
        <v>102</v>
      </c>
      <c r="F227" s="5">
        <v>0.91666666666666663</v>
      </c>
      <c r="G227" s="65" t="s">
        <v>107</v>
      </c>
      <c r="H227" s="66"/>
      <c r="I227" s="34">
        <v>76</v>
      </c>
      <c r="J227" s="6">
        <f t="shared" si="52"/>
        <v>2.6315789473684209E-2</v>
      </c>
      <c r="K227" s="38">
        <v>2</v>
      </c>
      <c r="L227" s="38"/>
      <c r="M227" s="38"/>
      <c r="N227" s="38"/>
      <c r="O227" s="38"/>
      <c r="P227" s="38"/>
      <c r="Q227" s="38"/>
      <c r="R227" s="38"/>
      <c r="S227" s="7">
        <f t="shared" si="56"/>
        <v>2</v>
      </c>
      <c r="T227" s="7">
        <v>100000</v>
      </c>
      <c r="U227" s="7">
        <f t="shared" si="58"/>
        <v>200000</v>
      </c>
      <c r="V227" s="4"/>
      <c r="Y227" s="4"/>
    </row>
    <row r="228" spans="2:25" ht="37.5" hidden="1">
      <c r="B228" s="58"/>
      <c r="C228" s="60"/>
      <c r="D228" s="52" t="s">
        <v>42</v>
      </c>
      <c r="E228" s="63"/>
      <c r="F228" s="8">
        <v>1</v>
      </c>
      <c r="G228" s="67" t="s">
        <v>107</v>
      </c>
      <c r="H228" s="68"/>
      <c r="I228" s="35">
        <v>76</v>
      </c>
      <c r="J228" s="9">
        <f t="shared" si="52"/>
        <v>2.6315789473684209E-2</v>
      </c>
      <c r="K228" s="39"/>
      <c r="L228" s="39"/>
      <c r="M228" s="39">
        <v>2</v>
      </c>
      <c r="N228" s="39"/>
      <c r="O228" s="39"/>
      <c r="P228" s="39"/>
      <c r="Q228" s="39"/>
      <c r="R228" s="39"/>
      <c r="S228" s="10">
        <f t="shared" si="56"/>
        <v>2</v>
      </c>
      <c r="T228" s="10">
        <v>100000</v>
      </c>
      <c r="U228" s="10">
        <f t="shared" si="58"/>
        <v>200000</v>
      </c>
      <c r="V228" s="4"/>
      <c r="Y228" s="4"/>
    </row>
    <row r="229" spans="2:25" ht="37.5" hidden="1">
      <c r="B229" s="58"/>
      <c r="C229" s="60"/>
      <c r="D229" s="52" t="s">
        <v>42</v>
      </c>
      <c r="E229" s="63"/>
      <c r="F229" s="8">
        <v>8.3333333333333329E-2</v>
      </c>
      <c r="G229" s="67" t="s">
        <v>107</v>
      </c>
      <c r="H229" s="68"/>
      <c r="I229" s="35">
        <v>76</v>
      </c>
      <c r="J229" s="9">
        <f t="shared" si="52"/>
        <v>2.6315789473684209E-2</v>
      </c>
      <c r="K229" s="39">
        <v>1</v>
      </c>
      <c r="L229" s="39"/>
      <c r="M229" s="39">
        <v>1</v>
      </c>
      <c r="N229" s="39"/>
      <c r="O229" s="39"/>
      <c r="P229" s="39"/>
      <c r="Q229" s="39"/>
      <c r="R229" s="39"/>
      <c r="S229" s="10">
        <f t="shared" si="56"/>
        <v>2</v>
      </c>
      <c r="T229" s="10">
        <v>100000</v>
      </c>
      <c r="U229" s="10">
        <f t="shared" si="58"/>
        <v>200000</v>
      </c>
      <c r="V229" s="4"/>
      <c r="Y229" s="4"/>
    </row>
    <row r="230" spans="2:25" ht="37.5" hidden="1">
      <c r="B230" s="58"/>
      <c r="C230" s="60"/>
      <c r="D230" s="52" t="s">
        <v>42</v>
      </c>
      <c r="E230" s="63"/>
      <c r="F230" s="8">
        <v>0.16666666666666666</v>
      </c>
      <c r="G230" s="67" t="s">
        <v>107</v>
      </c>
      <c r="H230" s="68"/>
      <c r="I230" s="35">
        <v>76</v>
      </c>
      <c r="J230" s="9">
        <f t="shared" si="52"/>
        <v>2.6315789473684209E-2</v>
      </c>
      <c r="K230" s="39">
        <v>2</v>
      </c>
      <c r="L230" s="39"/>
      <c r="M230" s="39"/>
      <c r="N230" s="39"/>
      <c r="O230" s="39"/>
      <c r="P230" s="39"/>
      <c r="Q230" s="39"/>
      <c r="R230" s="39"/>
      <c r="S230" s="10">
        <f t="shared" si="56"/>
        <v>2</v>
      </c>
      <c r="T230" s="10">
        <v>100000</v>
      </c>
      <c r="U230" s="10">
        <f t="shared" si="58"/>
        <v>200000</v>
      </c>
      <c r="V230" s="4"/>
      <c r="W230" s="4"/>
      <c r="X230" s="4"/>
      <c r="Y230" s="4"/>
    </row>
    <row r="231" spans="2:25" ht="37.5" hidden="1">
      <c r="B231" s="58"/>
      <c r="C231" s="60"/>
      <c r="D231" s="52" t="s">
        <v>42</v>
      </c>
      <c r="E231" s="63"/>
      <c r="F231" s="8">
        <v>0.25</v>
      </c>
      <c r="G231" s="67" t="s">
        <v>107</v>
      </c>
      <c r="H231" s="68"/>
      <c r="I231" s="35">
        <v>76</v>
      </c>
      <c r="J231" s="9">
        <f t="shared" si="52"/>
        <v>2.6315789473684209E-2</v>
      </c>
      <c r="K231" s="39"/>
      <c r="L231" s="39"/>
      <c r="M231" s="39">
        <v>2</v>
      </c>
      <c r="N231" s="39"/>
      <c r="O231" s="39"/>
      <c r="P231" s="39"/>
      <c r="Q231" s="39"/>
      <c r="R231" s="39"/>
      <c r="S231" s="10">
        <f t="shared" si="56"/>
        <v>2</v>
      </c>
      <c r="T231" s="10">
        <v>100000</v>
      </c>
      <c r="U231" s="10">
        <f t="shared" si="58"/>
        <v>200000</v>
      </c>
      <c r="V231" s="4"/>
      <c r="Y231" s="4"/>
    </row>
    <row r="232" spans="2:25" ht="37.5" hidden="1">
      <c r="B232" s="58"/>
      <c r="C232" s="61"/>
      <c r="D232" s="53" t="s">
        <v>42</v>
      </c>
      <c r="E232" s="69"/>
      <c r="F232" s="14">
        <v>0.33333333333333331</v>
      </c>
      <c r="G232" s="67" t="s">
        <v>107</v>
      </c>
      <c r="H232" s="68"/>
      <c r="I232" s="37">
        <v>57</v>
      </c>
      <c r="J232" s="15">
        <f t="shared" si="52"/>
        <v>0</v>
      </c>
      <c r="K232" s="40"/>
      <c r="L232" s="40"/>
      <c r="M232" s="40"/>
      <c r="N232" s="40"/>
      <c r="O232" s="40"/>
      <c r="P232" s="40"/>
      <c r="Q232" s="40"/>
      <c r="R232" s="40"/>
      <c r="S232" s="16">
        <f t="shared" si="56"/>
        <v>0</v>
      </c>
      <c r="T232" s="16">
        <v>100000</v>
      </c>
      <c r="U232" s="16">
        <f t="shared" si="58"/>
        <v>0</v>
      </c>
      <c r="V232" s="4"/>
      <c r="W232" s="4"/>
      <c r="X232" s="4"/>
      <c r="Y232" s="4"/>
    </row>
    <row r="233" spans="2:25" ht="38.25" hidden="1" customHeight="1">
      <c r="B233" s="58">
        <v>46100</v>
      </c>
      <c r="C233" s="59" t="s">
        <v>17</v>
      </c>
      <c r="D233" s="51" t="s">
        <v>43</v>
      </c>
      <c r="E233" s="62" t="s">
        <v>101</v>
      </c>
      <c r="F233" s="5">
        <v>0.41666666666666669</v>
      </c>
      <c r="G233" s="65" t="s">
        <v>76</v>
      </c>
      <c r="H233" s="66"/>
      <c r="I233" s="34">
        <v>60</v>
      </c>
      <c r="J233" s="6">
        <f t="shared" ref="J233:J244" si="59">IFERROR(S233/I233,"")</f>
        <v>0</v>
      </c>
      <c r="K233" s="38"/>
      <c r="L233" s="38"/>
      <c r="M233" s="38"/>
      <c r="N233" s="38"/>
      <c r="O233" s="38"/>
      <c r="P233" s="38"/>
      <c r="Q233" s="38"/>
      <c r="R233" s="38"/>
      <c r="S233" s="7">
        <f>SUM(K233:R233)</f>
        <v>0</v>
      </c>
      <c r="T233" s="7">
        <v>100000</v>
      </c>
      <c r="U233" s="7">
        <f>T233*S233</f>
        <v>0</v>
      </c>
      <c r="V233" s="4"/>
      <c r="W233" s="4"/>
      <c r="X233" s="4"/>
      <c r="Y233" s="4"/>
    </row>
    <row r="234" spans="2:25" ht="37.5" hidden="1">
      <c r="B234" s="58"/>
      <c r="C234" s="60"/>
      <c r="D234" s="52" t="s">
        <v>43</v>
      </c>
      <c r="E234" s="63"/>
      <c r="F234" s="8">
        <v>0.5</v>
      </c>
      <c r="G234" s="67" t="s">
        <v>76</v>
      </c>
      <c r="H234" s="68"/>
      <c r="I234" s="35">
        <v>16</v>
      </c>
      <c r="J234" s="9">
        <f t="shared" si="59"/>
        <v>0</v>
      </c>
      <c r="K234" s="39"/>
      <c r="L234" s="39"/>
      <c r="M234" s="39"/>
      <c r="N234" s="39"/>
      <c r="O234" s="39"/>
      <c r="P234" s="39"/>
      <c r="Q234" s="39"/>
      <c r="R234" s="39"/>
      <c r="S234" s="10">
        <f t="shared" ref="S234:S244" si="60">SUM(K234:R234)</f>
        <v>0</v>
      </c>
      <c r="T234" s="10">
        <v>100000</v>
      </c>
      <c r="U234" s="10">
        <f t="shared" ref="U234:U235" si="61">T234*S234</f>
        <v>0</v>
      </c>
      <c r="V234" s="4"/>
      <c r="W234" s="4"/>
      <c r="X234" s="4"/>
      <c r="Y234" s="4"/>
    </row>
    <row r="235" spans="2:25" ht="18.75" hidden="1">
      <c r="B235" s="58"/>
      <c r="C235" s="60"/>
      <c r="D235" s="52"/>
      <c r="E235" s="63"/>
      <c r="F235" s="8">
        <v>0.58333333333333337</v>
      </c>
      <c r="G235" s="67"/>
      <c r="H235" s="68"/>
      <c r="I235" s="35"/>
      <c r="J235" s="9" t="str">
        <f t="shared" si="59"/>
        <v/>
      </c>
      <c r="K235" s="39"/>
      <c r="L235" s="39"/>
      <c r="M235" s="39"/>
      <c r="N235" s="39"/>
      <c r="O235" s="39"/>
      <c r="P235" s="39"/>
      <c r="Q235" s="39"/>
      <c r="R235" s="39"/>
      <c r="S235" s="10">
        <f t="shared" si="60"/>
        <v>0</v>
      </c>
      <c r="T235" s="10">
        <v>100000</v>
      </c>
      <c r="U235" s="10">
        <f t="shared" si="61"/>
        <v>0</v>
      </c>
      <c r="V235" s="4"/>
      <c r="W235" s="4"/>
      <c r="X235" s="4"/>
      <c r="Y235" s="4"/>
    </row>
    <row r="236" spans="2:25" ht="18.75" hidden="1">
      <c r="B236" s="58"/>
      <c r="C236" s="60"/>
      <c r="D236" s="52"/>
      <c r="E236" s="63"/>
      <c r="F236" s="8">
        <v>0.66666666666666663</v>
      </c>
      <c r="G236" s="67"/>
      <c r="H236" s="68"/>
      <c r="I236" s="35"/>
      <c r="J236" s="9" t="str">
        <f t="shared" si="59"/>
        <v/>
      </c>
      <c r="K236" s="39"/>
      <c r="L236" s="39"/>
      <c r="M236" s="39"/>
      <c r="N236" s="39"/>
      <c r="O236" s="39"/>
      <c r="P236" s="39"/>
      <c r="Q236" s="39"/>
      <c r="R236" s="39"/>
      <c r="S236" s="10">
        <f t="shared" si="60"/>
        <v>0</v>
      </c>
      <c r="T236" s="10">
        <v>100000</v>
      </c>
      <c r="U236" s="10">
        <f>T236*S236</f>
        <v>0</v>
      </c>
      <c r="V236" s="4"/>
      <c r="W236" s="4"/>
      <c r="X236" s="4"/>
      <c r="Y236" s="4"/>
    </row>
    <row r="237" spans="2:25" ht="18.75" hidden="1">
      <c r="B237" s="58"/>
      <c r="C237" s="60"/>
      <c r="D237" s="52"/>
      <c r="E237" s="63"/>
      <c r="F237" s="8">
        <v>0.75</v>
      </c>
      <c r="G237" s="67"/>
      <c r="H237" s="68"/>
      <c r="I237" s="35"/>
      <c r="J237" s="9" t="str">
        <f t="shared" si="59"/>
        <v/>
      </c>
      <c r="K237" s="39"/>
      <c r="L237" s="39"/>
      <c r="M237" s="39"/>
      <c r="N237" s="39"/>
      <c r="O237" s="39"/>
      <c r="P237" s="39"/>
      <c r="Q237" s="39"/>
      <c r="R237" s="39"/>
      <c r="S237" s="10">
        <f t="shared" si="60"/>
        <v>0</v>
      </c>
      <c r="T237" s="10">
        <v>100000</v>
      </c>
      <c r="U237" s="10">
        <f t="shared" ref="U237:U244" si="62">T237*S237</f>
        <v>0</v>
      </c>
      <c r="V237" s="4"/>
      <c r="W237" s="4"/>
      <c r="X237" s="11"/>
      <c r="Y237" s="4"/>
    </row>
    <row r="238" spans="2:25" ht="18.75" hidden="1">
      <c r="B238" s="58"/>
      <c r="C238" s="60"/>
      <c r="D238" s="53"/>
      <c r="E238" s="64"/>
      <c r="F238" s="12">
        <v>0.83333333333333337</v>
      </c>
      <c r="G238" s="67"/>
      <c r="H238" s="68"/>
      <c r="I238" s="36"/>
      <c r="J238" s="9" t="str">
        <f t="shared" si="59"/>
        <v/>
      </c>
      <c r="K238" s="41"/>
      <c r="L238" s="41"/>
      <c r="M238" s="41"/>
      <c r="N238" s="41"/>
      <c r="O238" s="41"/>
      <c r="P238" s="41"/>
      <c r="Q238" s="41"/>
      <c r="R238" s="41"/>
      <c r="S238" s="13">
        <f t="shared" si="60"/>
        <v>0</v>
      </c>
      <c r="T238" s="13">
        <v>100000</v>
      </c>
      <c r="U238" s="13">
        <f t="shared" si="62"/>
        <v>0</v>
      </c>
      <c r="V238" s="4"/>
      <c r="Y238" s="4"/>
    </row>
    <row r="239" spans="2:25" ht="37.5" hidden="1">
      <c r="B239" s="58"/>
      <c r="C239" s="60"/>
      <c r="D239" s="51" t="s">
        <v>43</v>
      </c>
      <c r="E239" s="62" t="s">
        <v>102</v>
      </c>
      <c r="F239" s="5">
        <v>0.91666666666666663</v>
      </c>
      <c r="G239" s="65" t="s">
        <v>107</v>
      </c>
      <c r="H239" s="66"/>
      <c r="I239" s="34">
        <v>57</v>
      </c>
      <c r="J239" s="6">
        <f t="shared" si="59"/>
        <v>5.2631578947368418E-2</v>
      </c>
      <c r="K239" s="38"/>
      <c r="L239" s="38"/>
      <c r="M239" s="38"/>
      <c r="N239" s="38"/>
      <c r="O239" s="38"/>
      <c r="P239" s="38"/>
      <c r="Q239" s="38"/>
      <c r="R239" s="38">
        <v>3</v>
      </c>
      <c r="S239" s="7">
        <f t="shared" si="60"/>
        <v>3</v>
      </c>
      <c r="T239" s="7">
        <v>100000</v>
      </c>
      <c r="U239" s="7">
        <f t="shared" si="62"/>
        <v>300000</v>
      </c>
      <c r="V239" s="4"/>
      <c r="Y239" s="4"/>
    </row>
    <row r="240" spans="2:25" ht="37.5" hidden="1">
      <c r="B240" s="58"/>
      <c r="C240" s="60"/>
      <c r="D240" s="52" t="s">
        <v>43</v>
      </c>
      <c r="E240" s="63"/>
      <c r="F240" s="8">
        <v>1</v>
      </c>
      <c r="G240" s="67" t="s">
        <v>107</v>
      </c>
      <c r="H240" s="68"/>
      <c r="I240" s="35">
        <v>57</v>
      </c>
      <c r="J240" s="9">
        <f t="shared" si="59"/>
        <v>5.2631578947368418E-2</v>
      </c>
      <c r="K240" s="39"/>
      <c r="L240" s="39"/>
      <c r="M240" s="39"/>
      <c r="N240" s="39"/>
      <c r="O240" s="39"/>
      <c r="P240" s="39"/>
      <c r="Q240" s="39"/>
      <c r="R240" s="39">
        <v>3</v>
      </c>
      <c r="S240" s="10">
        <f t="shared" si="60"/>
        <v>3</v>
      </c>
      <c r="T240" s="10">
        <v>100000</v>
      </c>
      <c r="U240" s="10">
        <f t="shared" si="62"/>
        <v>300000</v>
      </c>
      <c r="V240" s="4"/>
      <c r="Y240" s="4"/>
    </row>
    <row r="241" spans="2:25" ht="37.5" hidden="1">
      <c r="B241" s="58"/>
      <c r="C241" s="60"/>
      <c r="D241" s="52" t="s">
        <v>43</v>
      </c>
      <c r="E241" s="63"/>
      <c r="F241" s="8">
        <v>8.3333333333333329E-2</v>
      </c>
      <c r="G241" s="67" t="s">
        <v>107</v>
      </c>
      <c r="H241" s="68"/>
      <c r="I241" s="35">
        <v>57</v>
      </c>
      <c r="J241" s="9">
        <f t="shared" si="59"/>
        <v>5.2631578947368418E-2</v>
      </c>
      <c r="K241" s="39"/>
      <c r="L241" s="39"/>
      <c r="M241" s="39"/>
      <c r="N241" s="39"/>
      <c r="O241" s="39"/>
      <c r="P241" s="39"/>
      <c r="Q241" s="39"/>
      <c r="R241" s="39">
        <v>3</v>
      </c>
      <c r="S241" s="10">
        <f t="shared" si="60"/>
        <v>3</v>
      </c>
      <c r="T241" s="10">
        <v>100000</v>
      </c>
      <c r="U241" s="10">
        <f t="shared" si="62"/>
        <v>300000</v>
      </c>
      <c r="V241" s="4"/>
      <c r="Y241" s="4"/>
    </row>
    <row r="242" spans="2:25" ht="37.5" hidden="1">
      <c r="B242" s="58"/>
      <c r="C242" s="60"/>
      <c r="D242" s="52" t="s">
        <v>43</v>
      </c>
      <c r="E242" s="63"/>
      <c r="F242" s="8">
        <v>0.16666666666666666</v>
      </c>
      <c r="G242" s="67" t="s">
        <v>105</v>
      </c>
      <c r="H242" s="68"/>
      <c r="I242" s="35">
        <v>57</v>
      </c>
      <c r="J242" s="9">
        <f t="shared" si="59"/>
        <v>5.2631578947368418E-2</v>
      </c>
      <c r="K242" s="39"/>
      <c r="L242" s="39"/>
      <c r="M242" s="39"/>
      <c r="N242" s="39"/>
      <c r="O242" s="39"/>
      <c r="P242" s="39"/>
      <c r="Q242" s="39"/>
      <c r="R242" s="39">
        <v>3</v>
      </c>
      <c r="S242" s="10">
        <f t="shared" si="60"/>
        <v>3</v>
      </c>
      <c r="T242" s="10">
        <v>100000</v>
      </c>
      <c r="U242" s="10">
        <f t="shared" si="62"/>
        <v>300000</v>
      </c>
      <c r="V242" s="4"/>
      <c r="W242" s="4"/>
      <c r="X242" s="4"/>
      <c r="Y242" s="4"/>
    </row>
    <row r="243" spans="2:25" ht="37.5" hidden="1">
      <c r="B243" s="58"/>
      <c r="C243" s="60"/>
      <c r="D243" s="52" t="s">
        <v>43</v>
      </c>
      <c r="E243" s="63"/>
      <c r="F243" s="8">
        <v>0.25</v>
      </c>
      <c r="G243" s="67" t="s">
        <v>105</v>
      </c>
      <c r="H243" s="68"/>
      <c r="I243" s="35">
        <v>57</v>
      </c>
      <c r="J243" s="9">
        <f t="shared" si="59"/>
        <v>5.2631578947368418E-2</v>
      </c>
      <c r="K243" s="39"/>
      <c r="L243" s="39"/>
      <c r="M243" s="39"/>
      <c r="N243" s="39"/>
      <c r="O243" s="39"/>
      <c r="P243" s="39"/>
      <c r="Q243" s="39"/>
      <c r="R243" s="39">
        <v>3</v>
      </c>
      <c r="S243" s="10">
        <f t="shared" si="60"/>
        <v>3</v>
      </c>
      <c r="T243" s="10">
        <v>100000</v>
      </c>
      <c r="U243" s="10">
        <f t="shared" si="62"/>
        <v>300000</v>
      </c>
      <c r="V243" s="4"/>
      <c r="Y243" s="4"/>
    </row>
    <row r="244" spans="2:25" ht="37.5" hidden="1">
      <c r="B244" s="58"/>
      <c r="C244" s="61"/>
      <c r="D244" s="53" t="s">
        <v>43</v>
      </c>
      <c r="E244" s="69"/>
      <c r="F244" s="14">
        <v>0.33333333333333331</v>
      </c>
      <c r="G244" s="67" t="s">
        <v>105</v>
      </c>
      <c r="H244" s="68"/>
      <c r="I244" s="37">
        <v>57</v>
      </c>
      <c r="J244" s="15">
        <f t="shared" si="59"/>
        <v>5.2631578947368418E-2</v>
      </c>
      <c r="K244" s="40"/>
      <c r="L244" s="40"/>
      <c r="M244" s="40"/>
      <c r="N244" s="40"/>
      <c r="O244" s="40"/>
      <c r="P244" s="40"/>
      <c r="Q244" s="40"/>
      <c r="R244" s="40">
        <v>3</v>
      </c>
      <c r="S244" s="16">
        <f t="shared" si="60"/>
        <v>3</v>
      </c>
      <c r="T244" s="16">
        <v>100000</v>
      </c>
      <c r="U244" s="16">
        <f t="shared" si="62"/>
        <v>300000</v>
      </c>
      <c r="V244" s="4"/>
      <c r="W244" s="4"/>
      <c r="X244" s="4"/>
      <c r="Y244" s="4"/>
    </row>
    <row r="245" spans="2:25" ht="38.25" hidden="1" customHeight="1">
      <c r="B245" s="58">
        <v>46101</v>
      </c>
      <c r="C245" s="59" t="s">
        <v>17</v>
      </c>
      <c r="D245" s="51" t="s">
        <v>43</v>
      </c>
      <c r="E245" s="62" t="s">
        <v>101</v>
      </c>
      <c r="F245" s="5">
        <v>0.41666666666666669</v>
      </c>
      <c r="G245" s="65" t="s">
        <v>75</v>
      </c>
      <c r="H245" s="66"/>
      <c r="I245" s="34">
        <v>57</v>
      </c>
      <c r="J245" s="6">
        <f t="shared" ref="J245:J280" si="63">IFERROR(S245/I245,"")</f>
        <v>5.2631578947368418E-2</v>
      </c>
      <c r="K245" s="38"/>
      <c r="L245" s="38"/>
      <c r="M245" s="38"/>
      <c r="N245" s="38"/>
      <c r="O245" s="38"/>
      <c r="P245" s="38"/>
      <c r="Q245" s="38"/>
      <c r="R245" s="38">
        <v>3</v>
      </c>
      <c r="S245" s="7">
        <f>SUM(K245:R245)</f>
        <v>3</v>
      </c>
      <c r="T245" s="7">
        <v>100000</v>
      </c>
      <c r="U245" s="7">
        <f>T245*S245</f>
        <v>300000</v>
      </c>
      <c r="V245" s="4"/>
      <c r="W245" s="4"/>
      <c r="X245" s="4"/>
      <c r="Y245" s="4"/>
    </row>
    <row r="246" spans="2:25" ht="37.5" hidden="1">
      <c r="B246" s="58"/>
      <c r="C246" s="60"/>
      <c r="D246" s="52" t="s">
        <v>43</v>
      </c>
      <c r="E246" s="63"/>
      <c r="F246" s="8">
        <v>0.5</v>
      </c>
      <c r="G246" s="67" t="s">
        <v>75</v>
      </c>
      <c r="H246" s="68"/>
      <c r="I246" s="35">
        <v>60</v>
      </c>
      <c r="J246" s="9">
        <f t="shared" si="63"/>
        <v>0</v>
      </c>
      <c r="K246" s="39"/>
      <c r="L246" s="39"/>
      <c r="M246" s="39"/>
      <c r="N246" s="39"/>
      <c r="O246" s="39"/>
      <c r="P246" s="39"/>
      <c r="Q246" s="39"/>
      <c r="R246" s="39"/>
      <c r="S246" s="10">
        <f t="shared" ref="S246:S256" si="64">SUM(K246:R246)</f>
        <v>0</v>
      </c>
      <c r="T246" s="10">
        <v>100000</v>
      </c>
      <c r="U246" s="10">
        <f t="shared" ref="U246:U247" si="65">T246*S246</f>
        <v>0</v>
      </c>
      <c r="V246" s="4"/>
      <c r="W246" s="4"/>
      <c r="X246" s="4"/>
      <c r="Y246" s="4"/>
    </row>
    <row r="247" spans="2:25" ht="37.5" hidden="1">
      <c r="B247" s="58"/>
      <c r="C247" s="60"/>
      <c r="D247" s="52" t="s">
        <v>43</v>
      </c>
      <c r="E247" s="63"/>
      <c r="F247" s="8">
        <v>0.58333333333333337</v>
      </c>
      <c r="G247" s="67" t="s">
        <v>75</v>
      </c>
      <c r="H247" s="68"/>
      <c r="I247" s="35">
        <v>60</v>
      </c>
      <c r="J247" s="9">
        <f t="shared" si="63"/>
        <v>0</v>
      </c>
      <c r="K247" s="39"/>
      <c r="L247" s="39"/>
      <c r="M247" s="39"/>
      <c r="N247" s="39"/>
      <c r="O247" s="39"/>
      <c r="P247" s="39"/>
      <c r="Q247" s="39"/>
      <c r="R247" s="39"/>
      <c r="S247" s="10">
        <f t="shared" si="64"/>
        <v>0</v>
      </c>
      <c r="T247" s="10">
        <v>100000</v>
      </c>
      <c r="U247" s="10">
        <f t="shared" si="65"/>
        <v>0</v>
      </c>
      <c r="V247" s="4"/>
      <c r="W247" s="4"/>
      <c r="X247" s="4"/>
      <c r="Y247" s="4"/>
    </row>
    <row r="248" spans="2:25" ht="37.5" hidden="1">
      <c r="B248" s="58"/>
      <c r="C248" s="60"/>
      <c r="D248" s="52" t="s">
        <v>43</v>
      </c>
      <c r="E248" s="63"/>
      <c r="F248" s="8">
        <v>0.66666666666666663</v>
      </c>
      <c r="G248" s="67" t="s">
        <v>75</v>
      </c>
      <c r="H248" s="68"/>
      <c r="I248" s="35">
        <v>60</v>
      </c>
      <c r="J248" s="9">
        <f t="shared" si="63"/>
        <v>0</v>
      </c>
      <c r="K248" s="39"/>
      <c r="L248" s="39"/>
      <c r="M248" s="39"/>
      <c r="N248" s="39"/>
      <c r="O248" s="39"/>
      <c r="P248" s="39"/>
      <c r="Q248" s="39"/>
      <c r="R248" s="39"/>
      <c r="S248" s="10">
        <f t="shared" si="64"/>
        <v>0</v>
      </c>
      <c r="T248" s="10">
        <v>100000</v>
      </c>
      <c r="U248" s="10">
        <f>T248*S248</f>
        <v>0</v>
      </c>
      <c r="V248" s="4"/>
      <c r="W248" s="4"/>
      <c r="X248" s="4"/>
      <c r="Y248" s="4"/>
    </row>
    <row r="249" spans="2:25" ht="37.5" hidden="1">
      <c r="B249" s="58"/>
      <c r="C249" s="60"/>
      <c r="D249" s="52" t="s">
        <v>43</v>
      </c>
      <c r="E249" s="63"/>
      <c r="F249" s="8">
        <v>0.75</v>
      </c>
      <c r="G249" s="67" t="s">
        <v>75</v>
      </c>
      <c r="H249" s="68"/>
      <c r="I249" s="35">
        <v>60</v>
      </c>
      <c r="J249" s="9">
        <f t="shared" si="63"/>
        <v>0</v>
      </c>
      <c r="K249" s="39"/>
      <c r="L249" s="39"/>
      <c r="M249" s="39"/>
      <c r="N249" s="39"/>
      <c r="O249" s="39"/>
      <c r="P249" s="39"/>
      <c r="Q249" s="39"/>
      <c r="R249" s="39"/>
      <c r="S249" s="10">
        <f t="shared" si="64"/>
        <v>0</v>
      </c>
      <c r="T249" s="10">
        <v>100000</v>
      </c>
      <c r="U249" s="10">
        <f t="shared" ref="U249:U256" si="66">T249*S249</f>
        <v>0</v>
      </c>
      <c r="V249" s="4"/>
      <c r="W249" s="4"/>
      <c r="X249" s="11"/>
      <c r="Y249" s="4"/>
    </row>
    <row r="250" spans="2:25" ht="37.5" hidden="1">
      <c r="B250" s="58"/>
      <c r="C250" s="60"/>
      <c r="D250" s="53" t="s">
        <v>43</v>
      </c>
      <c r="E250" s="64"/>
      <c r="F250" s="12">
        <v>0.83333333333333337</v>
      </c>
      <c r="G250" s="67" t="s">
        <v>75</v>
      </c>
      <c r="H250" s="68"/>
      <c r="I250" s="36">
        <v>45</v>
      </c>
      <c r="J250" s="9">
        <f t="shared" si="63"/>
        <v>0</v>
      </c>
      <c r="K250" s="41"/>
      <c r="L250" s="41"/>
      <c r="M250" s="41"/>
      <c r="N250" s="41"/>
      <c r="O250" s="41"/>
      <c r="P250" s="41"/>
      <c r="Q250" s="41"/>
      <c r="R250" s="41"/>
      <c r="S250" s="13">
        <f t="shared" si="64"/>
        <v>0</v>
      </c>
      <c r="T250" s="13">
        <v>100000</v>
      </c>
      <c r="U250" s="13">
        <f t="shared" si="66"/>
        <v>0</v>
      </c>
      <c r="V250" s="4"/>
      <c r="Y250" s="4"/>
    </row>
    <row r="251" spans="2:25" ht="37.5" hidden="1" customHeight="1">
      <c r="B251" s="58"/>
      <c r="C251" s="60"/>
      <c r="D251" s="51" t="s">
        <v>43</v>
      </c>
      <c r="E251" s="62" t="s">
        <v>102</v>
      </c>
      <c r="F251" s="5">
        <v>0.91666666666666663</v>
      </c>
      <c r="G251" s="65" t="s">
        <v>82</v>
      </c>
      <c r="H251" s="66"/>
      <c r="I251" s="34">
        <v>15</v>
      </c>
      <c r="J251" s="6">
        <f t="shared" si="63"/>
        <v>0.66666666666666663</v>
      </c>
      <c r="K251" s="38"/>
      <c r="L251" s="38"/>
      <c r="M251" s="38"/>
      <c r="N251" s="38"/>
      <c r="O251" s="38"/>
      <c r="P251" s="38"/>
      <c r="Q251" s="38">
        <v>10</v>
      </c>
      <c r="R251" s="38"/>
      <c r="S251" s="7">
        <f t="shared" si="64"/>
        <v>10</v>
      </c>
      <c r="T251" s="7">
        <v>100000</v>
      </c>
      <c r="U251" s="7">
        <f t="shared" si="66"/>
        <v>1000000</v>
      </c>
      <c r="V251" s="4"/>
      <c r="Y251" s="4"/>
    </row>
    <row r="252" spans="2:25" ht="37.5" hidden="1" customHeight="1">
      <c r="B252" s="58"/>
      <c r="C252" s="60"/>
      <c r="D252" s="52" t="s">
        <v>43</v>
      </c>
      <c r="E252" s="63"/>
      <c r="F252" s="8">
        <v>1</v>
      </c>
      <c r="G252" s="67" t="s">
        <v>82</v>
      </c>
      <c r="H252" s="68"/>
      <c r="I252" s="35">
        <v>55</v>
      </c>
      <c r="J252" s="9">
        <f t="shared" si="63"/>
        <v>3.6363636363636362E-2</v>
      </c>
      <c r="K252" s="39"/>
      <c r="L252" s="39"/>
      <c r="M252" s="39"/>
      <c r="N252" s="39"/>
      <c r="O252" s="39"/>
      <c r="P252" s="39"/>
      <c r="Q252" s="39"/>
      <c r="R252" s="39">
        <v>2</v>
      </c>
      <c r="S252" s="10">
        <f t="shared" si="64"/>
        <v>2</v>
      </c>
      <c r="T252" s="10">
        <v>100000</v>
      </c>
      <c r="U252" s="10">
        <f t="shared" si="66"/>
        <v>200000</v>
      </c>
      <c r="V252" s="4"/>
      <c r="Y252" s="4"/>
    </row>
    <row r="253" spans="2:25" ht="37.5" hidden="1" customHeight="1">
      <c r="B253" s="58"/>
      <c r="C253" s="60"/>
      <c r="D253" s="52" t="s">
        <v>43</v>
      </c>
      <c r="E253" s="63"/>
      <c r="F253" s="8">
        <v>8.3333333333333329E-2</v>
      </c>
      <c r="G253" s="67" t="s">
        <v>82</v>
      </c>
      <c r="H253" s="68"/>
      <c r="I253" s="35">
        <v>55</v>
      </c>
      <c r="J253" s="9">
        <f t="shared" si="63"/>
        <v>3.6363636363636362E-2</v>
      </c>
      <c r="K253" s="39"/>
      <c r="L253" s="39"/>
      <c r="M253" s="39"/>
      <c r="N253" s="39"/>
      <c r="O253" s="39"/>
      <c r="P253" s="39"/>
      <c r="Q253" s="39"/>
      <c r="R253" s="39">
        <v>2</v>
      </c>
      <c r="S253" s="10">
        <f t="shared" si="64"/>
        <v>2</v>
      </c>
      <c r="T253" s="10">
        <v>100000</v>
      </c>
      <c r="U253" s="10">
        <f t="shared" si="66"/>
        <v>200000</v>
      </c>
      <c r="V253" s="4"/>
      <c r="Y253" s="4"/>
    </row>
    <row r="254" spans="2:25" ht="37.5" hidden="1" customHeight="1">
      <c r="B254" s="58"/>
      <c r="C254" s="60"/>
      <c r="D254" s="52" t="s">
        <v>43</v>
      </c>
      <c r="E254" s="63"/>
      <c r="F254" s="8">
        <v>0.16666666666666666</v>
      </c>
      <c r="G254" s="67" t="s">
        <v>82</v>
      </c>
      <c r="H254" s="68"/>
      <c r="I254" s="35">
        <v>55</v>
      </c>
      <c r="J254" s="9">
        <f t="shared" si="63"/>
        <v>3.6363636363636362E-2</v>
      </c>
      <c r="K254" s="39"/>
      <c r="L254" s="39"/>
      <c r="M254" s="39"/>
      <c r="N254" s="39"/>
      <c r="O254" s="39"/>
      <c r="P254" s="39"/>
      <c r="Q254" s="39"/>
      <c r="R254" s="39">
        <v>2</v>
      </c>
      <c r="S254" s="10">
        <f t="shared" si="64"/>
        <v>2</v>
      </c>
      <c r="T254" s="10">
        <v>100000</v>
      </c>
      <c r="U254" s="10">
        <f t="shared" si="66"/>
        <v>200000</v>
      </c>
      <c r="V254" s="4"/>
      <c r="W254" s="4"/>
      <c r="X254" s="4"/>
      <c r="Y254" s="4"/>
    </row>
    <row r="255" spans="2:25" ht="37.5" hidden="1" customHeight="1">
      <c r="B255" s="58"/>
      <c r="C255" s="60"/>
      <c r="D255" s="52" t="s">
        <v>43</v>
      </c>
      <c r="E255" s="63"/>
      <c r="F255" s="8">
        <v>0.25</v>
      </c>
      <c r="G255" s="67" t="s">
        <v>82</v>
      </c>
      <c r="H255" s="68"/>
      <c r="I255" s="35">
        <v>55</v>
      </c>
      <c r="J255" s="9">
        <f t="shared" si="63"/>
        <v>3.6363636363636362E-2</v>
      </c>
      <c r="K255" s="39"/>
      <c r="L255" s="39"/>
      <c r="M255" s="39"/>
      <c r="N255" s="39"/>
      <c r="O255" s="39"/>
      <c r="P255" s="39"/>
      <c r="Q255" s="39"/>
      <c r="R255" s="39">
        <v>2</v>
      </c>
      <c r="S255" s="10">
        <f t="shared" si="64"/>
        <v>2</v>
      </c>
      <c r="T255" s="10">
        <v>100000</v>
      </c>
      <c r="U255" s="10">
        <f t="shared" si="66"/>
        <v>200000</v>
      </c>
      <c r="V255" s="4"/>
      <c r="Y255" s="4"/>
    </row>
    <row r="256" spans="2:25" ht="37.5" hidden="1" customHeight="1">
      <c r="B256" s="58"/>
      <c r="C256" s="61"/>
      <c r="D256" s="53" t="s">
        <v>43</v>
      </c>
      <c r="E256" s="69"/>
      <c r="F256" s="14">
        <v>0.33333333333333331</v>
      </c>
      <c r="G256" s="67" t="s">
        <v>82</v>
      </c>
      <c r="H256" s="68"/>
      <c r="I256" s="37">
        <v>55</v>
      </c>
      <c r="J256" s="15">
        <f t="shared" si="63"/>
        <v>1.8181818181818181E-2</v>
      </c>
      <c r="K256" s="40"/>
      <c r="L256" s="40"/>
      <c r="M256" s="40"/>
      <c r="N256" s="40"/>
      <c r="O256" s="40"/>
      <c r="P256" s="40"/>
      <c r="Q256" s="40"/>
      <c r="R256" s="40">
        <v>1</v>
      </c>
      <c r="S256" s="16">
        <f t="shared" si="64"/>
        <v>1</v>
      </c>
      <c r="T256" s="16">
        <v>100000</v>
      </c>
      <c r="U256" s="16">
        <f t="shared" si="66"/>
        <v>100000</v>
      </c>
      <c r="V256" s="4"/>
      <c r="W256" s="4"/>
      <c r="X256" s="4"/>
      <c r="Y256" s="4"/>
    </row>
    <row r="257" spans="2:25" ht="38.25" hidden="1" customHeight="1">
      <c r="B257" s="58">
        <v>46102</v>
      </c>
      <c r="C257" s="59" t="s">
        <v>17</v>
      </c>
      <c r="D257" s="51"/>
      <c r="E257" s="62" t="s">
        <v>101</v>
      </c>
      <c r="F257" s="5">
        <v>0.41666666666666669</v>
      </c>
      <c r="G257" s="65"/>
      <c r="H257" s="66"/>
      <c r="I257" s="34"/>
      <c r="J257" s="6" t="str">
        <f t="shared" si="63"/>
        <v/>
      </c>
      <c r="K257" s="38"/>
      <c r="L257" s="38"/>
      <c r="M257" s="38"/>
      <c r="N257" s="38"/>
      <c r="O257" s="38"/>
      <c r="P257" s="38"/>
      <c r="Q257" s="38"/>
      <c r="R257" s="38"/>
      <c r="S257" s="7">
        <f>SUM(K257:R257)</f>
        <v>0</v>
      </c>
      <c r="T257" s="7">
        <v>100000</v>
      </c>
      <c r="U257" s="7">
        <f>T257*S257</f>
        <v>0</v>
      </c>
      <c r="V257" s="4"/>
      <c r="W257" s="4"/>
      <c r="X257" s="4"/>
      <c r="Y257" s="4"/>
    </row>
    <row r="258" spans="2:25" ht="18.75" hidden="1">
      <c r="B258" s="58"/>
      <c r="C258" s="60"/>
      <c r="D258" s="52"/>
      <c r="E258" s="63"/>
      <c r="F258" s="8">
        <v>0.5</v>
      </c>
      <c r="G258" s="67"/>
      <c r="H258" s="68"/>
      <c r="I258" s="35"/>
      <c r="J258" s="9" t="str">
        <f t="shared" si="63"/>
        <v/>
      </c>
      <c r="K258" s="39"/>
      <c r="L258" s="39"/>
      <c r="M258" s="39"/>
      <c r="N258" s="39"/>
      <c r="O258" s="39"/>
      <c r="P258" s="39"/>
      <c r="Q258" s="39"/>
      <c r="R258" s="39"/>
      <c r="S258" s="10">
        <f t="shared" ref="S258:S268" si="67">SUM(K258:R258)</f>
        <v>0</v>
      </c>
      <c r="T258" s="10">
        <v>100000</v>
      </c>
      <c r="U258" s="10">
        <f t="shared" ref="U258:U259" si="68">T258*S258</f>
        <v>0</v>
      </c>
      <c r="V258" s="4"/>
      <c r="W258" s="4"/>
      <c r="X258" s="4"/>
      <c r="Y258" s="4"/>
    </row>
    <row r="259" spans="2:25" ht="18.75" hidden="1">
      <c r="B259" s="58"/>
      <c r="C259" s="60"/>
      <c r="D259" s="52"/>
      <c r="E259" s="63"/>
      <c r="F259" s="8">
        <v>0.58333333333333337</v>
      </c>
      <c r="G259" s="67"/>
      <c r="H259" s="68"/>
      <c r="I259" s="35"/>
      <c r="J259" s="9" t="str">
        <f t="shared" si="63"/>
        <v/>
      </c>
      <c r="K259" s="39"/>
      <c r="L259" s="39"/>
      <c r="M259" s="39"/>
      <c r="N259" s="39"/>
      <c r="O259" s="39"/>
      <c r="P259" s="39"/>
      <c r="Q259" s="39"/>
      <c r="R259" s="39"/>
      <c r="S259" s="10">
        <f t="shared" si="67"/>
        <v>0</v>
      </c>
      <c r="T259" s="10">
        <v>100000</v>
      </c>
      <c r="U259" s="10">
        <f t="shared" si="68"/>
        <v>0</v>
      </c>
      <c r="V259" s="4"/>
      <c r="W259" s="4"/>
      <c r="X259" s="4"/>
      <c r="Y259" s="4"/>
    </row>
    <row r="260" spans="2:25" ht="18.75" hidden="1">
      <c r="B260" s="58"/>
      <c r="C260" s="60"/>
      <c r="D260" s="52"/>
      <c r="E260" s="63"/>
      <c r="F260" s="8">
        <v>0.66666666666666663</v>
      </c>
      <c r="G260" s="67"/>
      <c r="H260" s="68"/>
      <c r="I260" s="35"/>
      <c r="J260" s="9" t="str">
        <f t="shared" si="63"/>
        <v/>
      </c>
      <c r="K260" s="39"/>
      <c r="L260" s="39"/>
      <c r="M260" s="39"/>
      <c r="N260" s="39"/>
      <c r="O260" s="39"/>
      <c r="P260" s="39"/>
      <c r="Q260" s="39"/>
      <c r="R260" s="39"/>
      <c r="S260" s="10">
        <f t="shared" si="67"/>
        <v>0</v>
      </c>
      <c r="T260" s="10">
        <v>100000</v>
      </c>
      <c r="U260" s="10">
        <f>T260*S260</f>
        <v>0</v>
      </c>
      <c r="V260" s="4"/>
      <c r="W260" s="4"/>
      <c r="X260" s="4"/>
      <c r="Y260" s="4"/>
    </row>
    <row r="261" spans="2:25" ht="18.75" hidden="1">
      <c r="B261" s="58"/>
      <c r="C261" s="60"/>
      <c r="D261" s="52"/>
      <c r="E261" s="63"/>
      <c r="F261" s="8">
        <v>0.75</v>
      </c>
      <c r="G261" s="67"/>
      <c r="H261" s="68"/>
      <c r="I261" s="35"/>
      <c r="J261" s="9" t="str">
        <f t="shared" si="63"/>
        <v/>
      </c>
      <c r="K261" s="39"/>
      <c r="L261" s="39"/>
      <c r="M261" s="39"/>
      <c r="N261" s="39"/>
      <c r="O261" s="39"/>
      <c r="P261" s="39"/>
      <c r="Q261" s="39"/>
      <c r="R261" s="39"/>
      <c r="S261" s="10">
        <f t="shared" si="67"/>
        <v>0</v>
      </c>
      <c r="T261" s="10">
        <v>100000</v>
      </c>
      <c r="U261" s="10">
        <f t="shared" ref="U261:U268" si="69">T261*S261</f>
        <v>0</v>
      </c>
      <c r="V261" s="4"/>
      <c r="W261" s="4"/>
      <c r="X261" s="11"/>
      <c r="Y261" s="4"/>
    </row>
    <row r="262" spans="2:25" ht="18.75" hidden="1">
      <c r="B262" s="58"/>
      <c r="C262" s="60"/>
      <c r="D262" s="53"/>
      <c r="E262" s="64"/>
      <c r="F262" s="12">
        <v>0.83333333333333337</v>
      </c>
      <c r="G262" s="67"/>
      <c r="H262" s="68"/>
      <c r="I262" s="36"/>
      <c r="J262" s="9" t="str">
        <f t="shared" si="63"/>
        <v/>
      </c>
      <c r="K262" s="41"/>
      <c r="L262" s="41"/>
      <c r="M262" s="41"/>
      <c r="N262" s="41"/>
      <c r="O262" s="41"/>
      <c r="P262" s="41"/>
      <c r="Q262" s="41"/>
      <c r="R262" s="41"/>
      <c r="S262" s="13">
        <f t="shared" si="67"/>
        <v>0</v>
      </c>
      <c r="T262" s="13">
        <v>100000</v>
      </c>
      <c r="U262" s="13">
        <f t="shared" si="69"/>
        <v>0</v>
      </c>
      <c r="V262" s="4"/>
      <c r="Y262" s="4"/>
    </row>
    <row r="263" spans="2:25" ht="18.75" hidden="1">
      <c r="B263" s="58"/>
      <c r="C263" s="60"/>
      <c r="D263" s="51"/>
      <c r="E263" s="62" t="s">
        <v>102</v>
      </c>
      <c r="F263" s="5">
        <v>0.91666666666666663</v>
      </c>
      <c r="G263" s="65"/>
      <c r="H263" s="66"/>
      <c r="I263" s="34"/>
      <c r="J263" s="6" t="str">
        <f t="shared" si="63"/>
        <v/>
      </c>
      <c r="K263" s="38"/>
      <c r="L263" s="38"/>
      <c r="M263" s="38"/>
      <c r="N263" s="38"/>
      <c r="O263" s="38"/>
      <c r="P263" s="38"/>
      <c r="Q263" s="38"/>
      <c r="R263" s="38"/>
      <c r="S263" s="7">
        <f t="shared" si="67"/>
        <v>0</v>
      </c>
      <c r="T263" s="7">
        <v>100000</v>
      </c>
      <c r="U263" s="7">
        <f t="shared" si="69"/>
        <v>0</v>
      </c>
      <c r="V263" s="4"/>
      <c r="Y263" s="4"/>
    </row>
    <row r="264" spans="2:25" ht="18.75" hidden="1">
      <c r="B264" s="58"/>
      <c r="C264" s="60"/>
      <c r="D264" s="52"/>
      <c r="E264" s="63"/>
      <c r="F264" s="8">
        <v>1</v>
      </c>
      <c r="G264" s="67"/>
      <c r="H264" s="68"/>
      <c r="I264" s="35"/>
      <c r="J264" s="9" t="str">
        <f t="shared" si="63"/>
        <v/>
      </c>
      <c r="K264" s="39"/>
      <c r="L264" s="39"/>
      <c r="M264" s="39"/>
      <c r="N264" s="39"/>
      <c r="O264" s="39"/>
      <c r="P264" s="39"/>
      <c r="Q264" s="39"/>
      <c r="R264" s="39"/>
      <c r="S264" s="10">
        <f t="shared" si="67"/>
        <v>0</v>
      </c>
      <c r="T264" s="10">
        <v>100000</v>
      </c>
      <c r="U264" s="10">
        <f t="shared" si="69"/>
        <v>0</v>
      </c>
      <c r="V264" s="4"/>
      <c r="Y264" s="4"/>
    </row>
    <row r="265" spans="2:25" ht="18.75" hidden="1">
      <c r="B265" s="58"/>
      <c r="C265" s="60"/>
      <c r="D265" s="52"/>
      <c r="E265" s="63"/>
      <c r="F265" s="8">
        <v>8.3333333333333329E-2</v>
      </c>
      <c r="G265" s="67"/>
      <c r="H265" s="68"/>
      <c r="I265" s="35"/>
      <c r="J265" s="9" t="str">
        <f t="shared" si="63"/>
        <v/>
      </c>
      <c r="K265" s="39"/>
      <c r="L265" s="39"/>
      <c r="M265" s="39"/>
      <c r="N265" s="39"/>
      <c r="O265" s="39"/>
      <c r="P265" s="39"/>
      <c r="Q265" s="39"/>
      <c r="R265" s="39"/>
      <c r="S265" s="10">
        <f t="shared" si="67"/>
        <v>0</v>
      </c>
      <c r="T265" s="10">
        <v>100000</v>
      </c>
      <c r="U265" s="10">
        <f t="shared" si="69"/>
        <v>0</v>
      </c>
      <c r="V265" s="4"/>
      <c r="Y265" s="4"/>
    </row>
    <row r="266" spans="2:25" ht="18.75" hidden="1">
      <c r="B266" s="58"/>
      <c r="C266" s="60"/>
      <c r="D266" s="52"/>
      <c r="E266" s="63"/>
      <c r="F266" s="8">
        <v>0.16666666666666666</v>
      </c>
      <c r="G266" s="67"/>
      <c r="H266" s="68"/>
      <c r="I266" s="35"/>
      <c r="J266" s="9" t="str">
        <f t="shared" si="63"/>
        <v/>
      </c>
      <c r="K266" s="39"/>
      <c r="L266" s="39"/>
      <c r="M266" s="39"/>
      <c r="N266" s="39"/>
      <c r="O266" s="39"/>
      <c r="P266" s="39"/>
      <c r="Q266" s="39"/>
      <c r="R266" s="39"/>
      <c r="S266" s="10">
        <f t="shared" si="67"/>
        <v>0</v>
      </c>
      <c r="T266" s="10">
        <v>100000</v>
      </c>
      <c r="U266" s="10">
        <f t="shared" si="69"/>
        <v>0</v>
      </c>
      <c r="V266" s="4"/>
      <c r="W266" s="4"/>
      <c r="X266" s="4"/>
      <c r="Y266" s="4"/>
    </row>
    <row r="267" spans="2:25" ht="18.75" hidden="1">
      <c r="B267" s="58"/>
      <c r="C267" s="60"/>
      <c r="D267" s="52"/>
      <c r="E267" s="63"/>
      <c r="F267" s="8">
        <v>0.25</v>
      </c>
      <c r="G267" s="67"/>
      <c r="H267" s="68"/>
      <c r="I267" s="35"/>
      <c r="J267" s="9" t="str">
        <f t="shared" si="63"/>
        <v/>
      </c>
      <c r="K267" s="39"/>
      <c r="L267" s="39"/>
      <c r="M267" s="39"/>
      <c r="N267" s="39"/>
      <c r="O267" s="39"/>
      <c r="P267" s="39"/>
      <c r="Q267" s="39"/>
      <c r="R267" s="39"/>
      <c r="S267" s="10">
        <f t="shared" si="67"/>
        <v>0</v>
      </c>
      <c r="T267" s="10">
        <v>100000</v>
      </c>
      <c r="U267" s="10">
        <f t="shared" si="69"/>
        <v>0</v>
      </c>
      <c r="V267" s="4"/>
      <c r="Y267" s="4"/>
    </row>
    <row r="268" spans="2:25" ht="18.75" hidden="1">
      <c r="B268" s="58"/>
      <c r="C268" s="61"/>
      <c r="D268" s="53"/>
      <c r="E268" s="69"/>
      <c r="F268" s="14">
        <v>0.33333333333333331</v>
      </c>
      <c r="G268" s="67"/>
      <c r="H268" s="68"/>
      <c r="I268" s="37"/>
      <c r="J268" s="15" t="str">
        <f t="shared" si="63"/>
        <v/>
      </c>
      <c r="K268" s="40"/>
      <c r="L268" s="40"/>
      <c r="M268" s="40"/>
      <c r="N268" s="40"/>
      <c r="O268" s="40"/>
      <c r="P268" s="40"/>
      <c r="Q268" s="40"/>
      <c r="R268" s="40"/>
      <c r="S268" s="16">
        <f t="shared" si="67"/>
        <v>0</v>
      </c>
      <c r="T268" s="16">
        <v>100000</v>
      </c>
      <c r="U268" s="16">
        <f t="shared" si="69"/>
        <v>0</v>
      </c>
      <c r="V268" s="4"/>
      <c r="W268" s="4"/>
      <c r="X268" s="4"/>
      <c r="Y268" s="4"/>
    </row>
    <row r="269" spans="2:25" ht="38.25" hidden="1" customHeight="1">
      <c r="B269" s="58">
        <v>46103</v>
      </c>
      <c r="C269" s="59" t="s">
        <v>17</v>
      </c>
      <c r="D269" s="51"/>
      <c r="E269" s="62" t="s">
        <v>101</v>
      </c>
      <c r="F269" s="5">
        <v>0.41666666666666669</v>
      </c>
      <c r="G269" s="65"/>
      <c r="H269" s="66"/>
      <c r="I269" s="34"/>
      <c r="J269" s="6" t="str">
        <f t="shared" si="63"/>
        <v/>
      </c>
      <c r="K269" s="38"/>
      <c r="L269" s="38"/>
      <c r="M269" s="38"/>
      <c r="N269" s="38"/>
      <c r="O269" s="38"/>
      <c r="P269" s="38"/>
      <c r="Q269" s="38"/>
      <c r="R269" s="38"/>
      <c r="S269" s="7">
        <f>SUM(K269:R269)</f>
        <v>0</v>
      </c>
      <c r="T269" s="7">
        <v>100000</v>
      </c>
      <c r="U269" s="7">
        <f>T269*S269</f>
        <v>0</v>
      </c>
      <c r="V269" s="4"/>
      <c r="W269" s="4"/>
      <c r="X269" s="4"/>
      <c r="Y269" s="4"/>
    </row>
    <row r="270" spans="2:25" ht="18.75" hidden="1">
      <c r="B270" s="58"/>
      <c r="C270" s="60"/>
      <c r="D270" s="52"/>
      <c r="E270" s="63"/>
      <c r="F270" s="8">
        <v>0.5</v>
      </c>
      <c r="G270" s="67"/>
      <c r="H270" s="68"/>
      <c r="I270" s="35"/>
      <c r="J270" s="9" t="str">
        <f t="shared" si="63"/>
        <v/>
      </c>
      <c r="K270" s="39"/>
      <c r="L270" s="39"/>
      <c r="M270" s="39"/>
      <c r="N270" s="39"/>
      <c r="O270" s="39"/>
      <c r="P270" s="39"/>
      <c r="Q270" s="39"/>
      <c r="R270" s="39"/>
      <c r="S270" s="10">
        <f t="shared" ref="S270:S280" si="70">SUM(K270:R270)</f>
        <v>0</v>
      </c>
      <c r="T270" s="10">
        <v>100000</v>
      </c>
      <c r="U270" s="10">
        <f t="shared" ref="U270:U271" si="71">T270*S270</f>
        <v>0</v>
      </c>
      <c r="V270" s="4"/>
      <c r="W270" s="4"/>
      <c r="X270" s="4"/>
      <c r="Y270" s="4"/>
    </row>
    <row r="271" spans="2:25" ht="18.75" hidden="1">
      <c r="B271" s="58"/>
      <c r="C271" s="60"/>
      <c r="D271" s="52"/>
      <c r="E271" s="63"/>
      <c r="F271" s="8">
        <v>0.58333333333333337</v>
      </c>
      <c r="G271" s="67"/>
      <c r="H271" s="68"/>
      <c r="I271" s="35"/>
      <c r="J271" s="9" t="str">
        <f t="shared" si="63"/>
        <v/>
      </c>
      <c r="K271" s="39"/>
      <c r="L271" s="39"/>
      <c r="M271" s="39"/>
      <c r="N271" s="39"/>
      <c r="O271" s="39"/>
      <c r="P271" s="39"/>
      <c r="Q271" s="39"/>
      <c r="R271" s="39"/>
      <c r="S271" s="10">
        <f t="shared" si="70"/>
        <v>0</v>
      </c>
      <c r="T271" s="10">
        <v>100000</v>
      </c>
      <c r="U271" s="10">
        <f t="shared" si="71"/>
        <v>0</v>
      </c>
      <c r="V271" s="4"/>
      <c r="W271" s="4"/>
      <c r="X271" s="4"/>
      <c r="Y271" s="4"/>
    </row>
    <row r="272" spans="2:25" ht="18.75" hidden="1">
      <c r="B272" s="58"/>
      <c r="C272" s="60"/>
      <c r="D272" s="52"/>
      <c r="E272" s="63"/>
      <c r="F272" s="8">
        <v>0.66666666666666663</v>
      </c>
      <c r="G272" s="67"/>
      <c r="H272" s="68"/>
      <c r="I272" s="35"/>
      <c r="J272" s="9" t="str">
        <f t="shared" si="63"/>
        <v/>
      </c>
      <c r="K272" s="39"/>
      <c r="L272" s="39"/>
      <c r="M272" s="39"/>
      <c r="N272" s="39"/>
      <c r="O272" s="39"/>
      <c r="P272" s="39"/>
      <c r="Q272" s="39"/>
      <c r="R272" s="39"/>
      <c r="S272" s="10">
        <f t="shared" si="70"/>
        <v>0</v>
      </c>
      <c r="T272" s="10">
        <v>100000</v>
      </c>
      <c r="U272" s="10">
        <f>T272*S272</f>
        <v>0</v>
      </c>
      <c r="V272" s="4"/>
      <c r="W272" s="4"/>
      <c r="X272" s="4"/>
      <c r="Y272" s="4"/>
    </row>
    <row r="273" spans="2:25" ht="18.75" hidden="1">
      <c r="B273" s="58"/>
      <c r="C273" s="60"/>
      <c r="D273" s="52"/>
      <c r="E273" s="63"/>
      <c r="F273" s="8">
        <v>0.75</v>
      </c>
      <c r="G273" s="67"/>
      <c r="H273" s="68"/>
      <c r="I273" s="35"/>
      <c r="J273" s="9" t="str">
        <f t="shared" si="63"/>
        <v/>
      </c>
      <c r="K273" s="39"/>
      <c r="L273" s="39"/>
      <c r="M273" s="39"/>
      <c r="N273" s="39"/>
      <c r="O273" s="39"/>
      <c r="P273" s="39"/>
      <c r="Q273" s="39"/>
      <c r="R273" s="39"/>
      <c r="S273" s="10">
        <f t="shared" si="70"/>
        <v>0</v>
      </c>
      <c r="T273" s="10">
        <v>100000</v>
      </c>
      <c r="U273" s="10">
        <f t="shared" ref="U273:U280" si="72">T273*S273</f>
        <v>0</v>
      </c>
      <c r="V273" s="4"/>
      <c r="W273" s="4"/>
      <c r="X273" s="11"/>
      <c r="Y273" s="4"/>
    </row>
    <row r="274" spans="2:25" ht="18.75" hidden="1">
      <c r="B274" s="58"/>
      <c r="C274" s="60"/>
      <c r="D274" s="53"/>
      <c r="E274" s="64"/>
      <c r="F274" s="12">
        <v>0.83333333333333337</v>
      </c>
      <c r="G274" s="67"/>
      <c r="H274" s="68"/>
      <c r="I274" s="36"/>
      <c r="J274" s="9" t="str">
        <f t="shared" si="63"/>
        <v/>
      </c>
      <c r="K274" s="41"/>
      <c r="L274" s="41"/>
      <c r="M274" s="41"/>
      <c r="N274" s="41"/>
      <c r="O274" s="41"/>
      <c r="P274" s="41"/>
      <c r="Q274" s="41"/>
      <c r="R274" s="41"/>
      <c r="S274" s="13">
        <f t="shared" si="70"/>
        <v>0</v>
      </c>
      <c r="T274" s="13">
        <v>100000</v>
      </c>
      <c r="U274" s="13">
        <f t="shared" si="72"/>
        <v>0</v>
      </c>
      <c r="V274" s="4"/>
      <c r="Y274" s="4"/>
    </row>
    <row r="275" spans="2:25" ht="18.75" hidden="1">
      <c r="B275" s="58"/>
      <c r="C275" s="60"/>
      <c r="D275" s="51"/>
      <c r="E275" s="62" t="s">
        <v>102</v>
      </c>
      <c r="F275" s="5">
        <v>0.91666666666666663</v>
      </c>
      <c r="G275" s="65"/>
      <c r="H275" s="66"/>
      <c r="I275" s="34"/>
      <c r="J275" s="6" t="str">
        <f t="shared" si="63"/>
        <v/>
      </c>
      <c r="K275" s="38"/>
      <c r="L275" s="38"/>
      <c r="M275" s="38"/>
      <c r="N275" s="38"/>
      <c r="O275" s="38"/>
      <c r="P275" s="38"/>
      <c r="Q275" s="38"/>
      <c r="R275" s="38"/>
      <c r="S275" s="7">
        <f t="shared" si="70"/>
        <v>0</v>
      </c>
      <c r="T275" s="7">
        <v>100000</v>
      </c>
      <c r="U275" s="7">
        <f t="shared" si="72"/>
        <v>0</v>
      </c>
      <c r="V275" s="4"/>
      <c r="Y275" s="4"/>
    </row>
    <row r="276" spans="2:25" ht="18.75" hidden="1">
      <c r="B276" s="58"/>
      <c r="C276" s="60"/>
      <c r="D276" s="52"/>
      <c r="E276" s="63"/>
      <c r="F276" s="8">
        <v>1</v>
      </c>
      <c r="G276" s="67"/>
      <c r="H276" s="68"/>
      <c r="I276" s="35"/>
      <c r="J276" s="9" t="str">
        <f t="shared" si="63"/>
        <v/>
      </c>
      <c r="K276" s="39"/>
      <c r="L276" s="39"/>
      <c r="M276" s="39"/>
      <c r="N276" s="39"/>
      <c r="O276" s="39"/>
      <c r="P276" s="39"/>
      <c r="Q276" s="39"/>
      <c r="R276" s="39"/>
      <c r="S276" s="10">
        <f t="shared" si="70"/>
        <v>0</v>
      </c>
      <c r="T276" s="10">
        <v>100000</v>
      </c>
      <c r="U276" s="10">
        <f t="shared" si="72"/>
        <v>0</v>
      </c>
      <c r="V276" s="4"/>
      <c r="Y276" s="4"/>
    </row>
    <row r="277" spans="2:25" ht="18.75" hidden="1">
      <c r="B277" s="58"/>
      <c r="C277" s="60"/>
      <c r="D277" s="52"/>
      <c r="E277" s="63"/>
      <c r="F277" s="8">
        <v>8.3333333333333329E-2</v>
      </c>
      <c r="G277" s="67"/>
      <c r="H277" s="68"/>
      <c r="I277" s="35"/>
      <c r="J277" s="9" t="str">
        <f t="shared" si="63"/>
        <v/>
      </c>
      <c r="K277" s="39"/>
      <c r="L277" s="39"/>
      <c r="M277" s="39"/>
      <c r="N277" s="39"/>
      <c r="O277" s="39"/>
      <c r="P277" s="39"/>
      <c r="Q277" s="39"/>
      <c r="R277" s="39"/>
      <c r="S277" s="10">
        <f t="shared" si="70"/>
        <v>0</v>
      </c>
      <c r="T277" s="10">
        <v>100000</v>
      </c>
      <c r="U277" s="10">
        <f t="shared" si="72"/>
        <v>0</v>
      </c>
      <c r="V277" s="4"/>
      <c r="Y277" s="4"/>
    </row>
    <row r="278" spans="2:25" ht="18.75" hidden="1">
      <c r="B278" s="58"/>
      <c r="C278" s="60"/>
      <c r="D278" s="52"/>
      <c r="E278" s="63"/>
      <c r="F278" s="8">
        <v>0.16666666666666666</v>
      </c>
      <c r="G278" s="67"/>
      <c r="H278" s="68"/>
      <c r="I278" s="35"/>
      <c r="J278" s="9" t="str">
        <f t="shared" si="63"/>
        <v/>
      </c>
      <c r="K278" s="39"/>
      <c r="L278" s="39"/>
      <c r="M278" s="39"/>
      <c r="N278" s="39"/>
      <c r="O278" s="39"/>
      <c r="P278" s="39"/>
      <c r="Q278" s="39"/>
      <c r="R278" s="39"/>
      <c r="S278" s="10">
        <f t="shared" si="70"/>
        <v>0</v>
      </c>
      <c r="T278" s="10">
        <v>100000</v>
      </c>
      <c r="U278" s="10">
        <f t="shared" si="72"/>
        <v>0</v>
      </c>
      <c r="V278" s="4"/>
      <c r="W278" s="4"/>
      <c r="X278" s="4"/>
      <c r="Y278" s="4"/>
    </row>
    <row r="279" spans="2:25" ht="18.75" hidden="1">
      <c r="B279" s="58"/>
      <c r="C279" s="60"/>
      <c r="D279" s="52"/>
      <c r="E279" s="63"/>
      <c r="F279" s="8">
        <v>0.25</v>
      </c>
      <c r="G279" s="67"/>
      <c r="H279" s="68"/>
      <c r="I279" s="35"/>
      <c r="J279" s="9" t="str">
        <f t="shared" si="63"/>
        <v/>
      </c>
      <c r="K279" s="39"/>
      <c r="L279" s="39"/>
      <c r="M279" s="39"/>
      <c r="N279" s="39"/>
      <c r="O279" s="39"/>
      <c r="P279" s="39"/>
      <c r="Q279" s="39"/>
      <c r="R279" s="39"/>
      <c r="S279" s="10">
        <f t="shared" si="70"/>
        <v>0</v>
      </c>
      <c r="T279" s="10">
        <v>100000</v>
      </c>
      <c r="U279" s="10">
        <f t="shared" si="72"/>
        <v>0</v>
      </c>
      <c r="V279" s="4"/>
      <c r="Y279" s="4"/>
    </row>
    <row r="280" spans="2:25" ht="18.75" hidden="1">
      <c r="B280" s="58"/>
      <c r="C280" s="61"/>
      <c r="D280" s="53"/>
      <c r="E280" s="69"/>
      <c r="F280" s="14">
        <v>0.33333333333333331</v>
      </c>
      <c r="G280" s="67"/>
      <c r="H280" s="68"/>
      <c r="I280" s="37"/>
      <c r="J280" s="15" t="str">
        <f t="shared" si="63"/>
        <v/>
      </c>
      <c r="K280" s="40"/>
      <c r="L280" s="40"/>
      <c r="M280" s="40"/>
      <c r="N280" s="40"/>
      <c r="O280" s="40"/>
      <c r="P280" s="40"/>
      <c r="Q280" s="40"/>
      <c r="R280" s="40"/>
      <c r="S280" s="16">
        <f t="shared" si="70"/>
        <v>0</v>
      </c>
      <c r="T280" s="16">
        <v>100000</v>
      </c>
      <c r="U280" s="16">
        <f t="shared" si="72"/>
        <v>0</v>
      </c>
      <c r="V280" s="4"/>
      <c r="W280" s="4"/>
      <c r="X280" s="4"/>
      <c r="Y280" s="4"/>
    </row>
    <row r="281" spans="2:25" ht="38.25" hidden="1" customHeight="1">
      <c r="B281" s="58">
        <v>46104</v>
      </c>
      <c r="C281" s="59" t="s">
        <v>17</v>
      </c>
      <c r="D281" s="51" t="s">
        <v>43</v>
      </c>
      <c r="E281" s="62" t="s">
        <v>101</v>
      </c>
      <c r="F281" s="5">
        <v>0.41666666666666669</v>
      </c>
      <c r="G281" s="65" t="s">
        <v>104</v>
      </c>
      <c r="H281" s="66"/>
      <c r="I281" s="34">
        <v>38</v>
      </c>
      <c r="J281" s="6">
        <f t="shared" ref="J281:J304" si="73">IFERROR(S281/I281,"")</f>
        <v>2.6315789473684209E-2</v>
      </c>
      <c r="K281" s="38"/>
      <c r="L281" s="38"/>
      <c r="M281" s="38"/>
      <c r="N281" s="38"/>
      <c r="O281" s="38"/>
      <c r="P281" s="38"/>
      <c r="Q281" s="38"/>
      <c r="R281" s="38">
        <v>1</v>
      </c>
      <c r="S281" s="7">
        <f>SUM(K281:R281)</f>
        <v>1</v>
      </c>
      <c r="T281" s="7">
        <v>100000</v>
      </c>
      <c r="U281" s="7">
        <f>T281*S281</f>
        <v>100000</v>
      </c>
      <c r="V281" s="4"/>
      <c r="W281" s="4"/>
      <c r="X281" s="4"/>
      <c r="Y281" s="4"/>
    </row>
    <row r="282" spans="2:25" ht="37.5" hidden="1">
      <c r="B282" s="58"/>
      <c r="C282" s="60"/>
      <c r="D282" s="52" t="s">
        <v>43</v>
      </c>
      <c r="E282" s="63"/>
      <c r="F282" s="8">
        <v>0.5</v>
      </c>
      <c r="G282" s="67"/>
      <c r="H282" s="68"/>
      <c r="I282" s="35"/>
      <c r="J282" s="9" t="str">
        <f t="shared" si="73"/>
        <v/>
      </c>
      <c r="K282" s="39"/>
      <c r="L282" s="39"/>
      <c r="M282" s="39"/>
      <c r="N282" s="39"/>
      <c r="O282" s="39"/>
      <c r="P282" s="39"/>
      <c r="Q282" s="39"/>
      <c r="R282" s="39"/>
      <c r="S282" s="10">
        <f t="shared" ref="S282:S292" si="74">SUM(K282:R282)</f>
        <v>0</v>
      </c>
      <c r="T282" s="10">
        <v>100000</v>
      </c>
      <c r="U282" s="10">
        <f t="shared" ref="U282:U283" si="75">T282*S282</f>
        <v>0</v>
      </c>
      <c r="V282" s="4"/>
      <c r="W282" s="4"/>
      <c r="X282" s="4"/>
      <c r="Y282" s="4"/>
    </row>
    <row r="283" spans="2:25" ht="37.5" hidden="1">
      <c r="B283" s="58"/>
      <c r="C283" s="60"/>
      <c r="D283" s="52" t="s">
        <v>43</v>
      </c>
      <c r="E283" s="63"/>
      <c r="F283" s="8">
        <v>0.58333333333333337</v>
      </c>
      <c r="G283" s="67"/>
      <c r="H283" s="68"/>
      <c r="I283" s="35"/>
      <c r="J283" s="9" t="str">
        <f t="shared" si="73"/>
        <v/>
      </c>
      <c r="K283" s="39"/>
      <c r="L283" s="39"/>
      <c r="M283" s="39"/>
      <c r="N283" s="39"/>
      <c r="O283" s="39"/>
      <c r="P283" s="39"/>
      <c r="Q283" s="39"/>
      <c r="R283" s="39"/>
      <c r="S283" s="10">
        <f t="shared" si="74"/>
        <v>0</v>
      </c>
      <c r="T283" s="10">
        <v>100000</v>
      </c>
      <c r="U283" s="10">
        <f t="shared" si="75"/>
        <v>0</v>
      </c>
      <c r="V283" s="4"/>
      <c r="W283" s="4"/>
      <c r="X283" s="4"/>
      <c r="Y283" s="4"/>
    </row>
    <row r="284" spans="2:25" ht="37.5" hidden="1">
      <c r="B284" s="58"/>
      <c r="C284" s="60"/>
      <c r="D284" s="52" t="s">
        <v>43</v>
      </c>
      <c r="E284" s="63"/>
      <c r="F284" s="8">
        <v>0.66666666666666663</v>
      </c>
      <c r="G284" s="67"/>
      <c r="H284" s="68"/>
      <c r="I284" s="35"/>
      <c r="J284" s="9" t="str">
        <f t="shared" si="73"/>
        <v/>
      </c>
      <c r="K284" s="39"/>
      <c r="L284" s="39"/>
      <c r="M284" s="39"/>
      <c r="N284" s="39"/>
      <c r="O284" s="39"/>
      <c r="P284" s="39"/>
      <c r="Q284" s="39"/>
      <c r="R284" s="39"/>
      <c r="S284" s="10">
        <f t="shared" si="74"/>
        <v>0</v>
      </c>
      <c r="T284" s="10">
        <v>100000</v>
      </c>
      <c r="U284" s="10">
        <f>T284*S284</f>
        <v>0</v>
      </c>
      <c r="V284" s="4"/>
      <c r="W284" s="4"/>
      <c r="X284" s="4"/>
      <c r="Y284" s="4"/>
    </row>
    <row r="285" spans="2:25" ht="37.5" hidden="1">
      <c r="B285" s="58"/>
      <c r="C285" s="60"/>
      <c r="D285" s="52" t="s">
        <v>43</v>
      </c>
      <c r="E285" s="63"/>
      <c r="F285" s="8">
        <v>0.75</v>
      </c>
      <c r="G285" s="67"/>
      <c r="H285" s="68"/>
      <c r="I285" s="35"/>
      <c r="J285" s="9" t="str">
        <f t="shared" si="73"/>
        <v/>
      </c>
      <c r="K285" s="39"/>
      <c r="L285" s="39"/>
      <c r="M285" s="39"/>
      <c r="N285" s="39"/>
      <c r="O285" s="39"/>
      <c r="P285" s="39"/>
      <c r="Q285" s="39"/>
      <c r="R285" s="39"/>
      <c r="S285" s="10">
        <f t="shared" si="74"/>
        <v>0</v>
      </c>
      <c r="T285" s="10">
        <v>100000</v>
      </c>
      <c r="U285" s="10">
        <f t="shared" ref="U285:U292" si="76">T285*S285</f>
        <v>0</v>
      </c>
      <c r="V285" s="4"/>
      <c r="W285" s="4"/>
      <c r="X285" s="11"/>
      <c r="Y285" s="4"/>
    </row>
    <row r="286" spans="2:25" ht="37.5" hidden="1">
      <c r="B286" s="58"/>
      <c r="C286" s="60"/>
      <c r="D286" s="53" t="s">
        <v>43</v>
      </c>
      <c r="E286" s="64"/>
      <c r="F286" s="12">
        <v>0.83333333333333337</v>
      </c>
      <c r="G286" s="67"/>
      <c r="H286" s="68"/>
      <c r="I286" s="36"/>
      <c r="J286" s="9" t="str">
        <f t="shared" si="73"/>
        <v/>
      </c>
      <c r="K286" s="41"/>
      <c r="L286" s="41"/>
      <c r="M286" s="41"/>
      <c r="N286" s="41"/>
      <c r="O286" s="41"/>
      <c r="P286" s="41"/>
      <c r="Q286" s="41"/>
      <c r="R286" s="41"/>
      <c r="S286" s="13">
        <f t="shared" si="74"/>
        <v>0</v>
      </c>
      <c r="T286" s="13">
        <v>100000</v>
      </c>
      <c r="U286" s="13">
        <f t="shared" si="76"/>
        <v>0</v>
      </c>
      <c r="V286" s="4"/>
      <c r="Y286" s="4"/>
    </row>
    <row r="287" spans="2:25" ht="37.5" hidden="1">
      <c r="B287" s="58"/>
      <c r="C287" s="60"/>
      <c r="D287" s="51" t="s">
        <v>43</v>
      </c>
      <c r="E287" s="62" t="s">
        <v>102</v>
      </c>
      <c r="F287" s="5">
        <v>0.91666666666666663</v>
      </c>
      <c r="G287" s="65" t="s">
        <v>78</v>
      </c>
      <c r="H287" s="66"/>
      <c r="I287" s="34">
        <v>30</v>
      </c>
      <c r="J287" s="6">
        <f t="shared" si="73"/>
        <v>0.2</v>
      </c>
      <c r="K287" s="38"/>
      <c r="L287" s="38"/>
      <c r="M287" s="38"/>
      <c r="N287" s="38"/>
      <c r="O287" s="38"/>
      <c r="P287" s="38"/>
      <c r="Q287" s="38">
        <v>6</v>
      </c>
      <c r="R287" s="38"/>
      <c r="S287" s="7">
        <f t="shared" si="74"/>
        <v>6</v>
      </c>
      <c r="T287" s="7">
        <v>100000</v>
      </c>
      <c r="U287" s="7">
        <f t="shared" si="76"/>
        <v>600000</v>
      </c>
      <c r="V287" s="4"/>
      <c r="Y287" s="4"/>
    </row>
    <row r="288" spans="2:25" ht="37.5" hidden="1">
      <c r="B288" s="58"/>
      <c r="C288" s="60"/>
      <c r="D288" s="52" t="s">
        <v>43</v>
      </c>
      <c r="E288" s="63"/>
      <c r="F288" s="8">
        <v>1</v>
      </c>
      <c r="G288" s="67" t="s">
        <v>78</v>
      </c>
      <c r="H288" s="68"/>
      <c r="I288" s="35">
        <v>54</v>
      </c>
      <c r="J288" s="9">
        <f t="shared" si="73"/>
        <v>3.7037037037037035E-2</v>
      </c>
      <c r="K288" s="39"/>
      <c r="L288" s="39"/>
      <c r="M288" s="39"/>
      <c r="N288" s="39"/>
      <c r="O288" s="39"/>
      <c r="P288" s="39"/>
      <c r="Q288" s="39"/>
      <c r="R288" s="39">
        <v>2</v>
      </c>
      <c r="S288" s="10">
        <f t="shared" si="74"/>
        <v>2</v>
      </c>
      <c r="T288" s="10">
        <v>100000</v>
      </c>
      <c r="U288" s="10">
        <f t="shared" si="76"/>
        <v>200000</v>
      </c>
      <c r="V288" s="4"/>
      <c r="Y288" s="4"/>
    </row>
    <row r="289" spans="2:25" ht="37.5" hidden="1">
      <c r="B289" s="58"/>
      <c r="C289" s="60"/>
      <c r="D289" s="52" t="s">
        <v>43</v>
      </c>
      <c r="E289" s="63"/>
      <c r="F289" s="8">
        <v>8.3333333333333329E-2</v>
      </c>
      <c r="G289" s="67" t="s">
        <v>78</v>
      </c>
      <c r="H289" s="68"/>
      <c r="I289" s="35">
        <v>55</v>
      </c>
      <c r="J289" s="9">
        <f t="shared" si="73"/>
        <v>0</v>
      </c>
      <c r="K289" s="39"/>
      <c r="L289" s="39"/>
      <c r="M289" s="39"/>
      <c r="N289" s="39"/>
      <c r="O289" s="39"/>
      <c r="P289" s="39"/>
      <c r="Q289" s="39"/>
      <c r="R289" s="39"/>
      <c r="S289" s="10">
        <f t="shared" si="74"/>
        <v>0</v>
      </c>
      <c r="T289" s="10">
        <v>100000</v>
      </c>
      <c r="U289" s="10">
        <f t="shared" si="76"/>
        <v>0</v>
      </c>
      <c r="V289" s="4"/>
      <c r="Y289" s="4"/>
    </row>
    <row r="290" spans="2:25" ht="37.5" hidden="1">
      <c r="B290" s="58"/>
      <c r="C290" s="60"/>
      <c r="D290" s="52" t="s">
        <v>43</v>
      </c>
      <c r="E290" s="63"/>
      <c r="F290" s="8">
        <v>0.16666666666666666</v>
      </c>
      <c r="G290" s="67" t="s">
        <v>78</v>
      </c>
      <c r="H290" s="68"/>
      <c r="I290" s="35">
        <v>55</v>
      </c>
      <c r="J290" s="9">
        <f t="shared" si="73"/>
        <v>0</v>
      </c>
      <c r="K290" s="39"/>
      <c r="L290" s="39"/>
      <c r="M290" s="39"/>
      <c r="N290" s="39"/>
      <c r="O290" s="39"/>
      <c r="P290" s="39"/>
      <c r="Q290" s="39"/>
      <c r="R290" s="39"/>
      <c r="S290" s="10">
        <f t="shared" si="74"/>
        <v>0</v>
      </c>
      <c r="T290" s="10">
        <v>100000</v>
      </c>
      <c r="U290" s="10">
        <f t="shared" si="76"/>
        <v>0</v>
      </c>
      <c r="V290" s="4"/>
      <c r="W290" s="4"/>
      <c r="X290" s="4"/>
      <c r="Y290" s="4"/>
    </row>
    <row r="291" spans="2:25" ht="37.5" hidden="1">
      <c r="B291" s="58"/>
      <c r="C291" s="60"/>
      <c r="D291" s="52" t="s">
        <v>43</v>
      </c>
      <c r="E291" s="63"/>
      <c r="F291" s="8">
        <v>0.25</v>
      </c>
      <c r="G291" s="67" t="s">
        <v>78</v>
      </c>
      <c r="H291" s="68"/>
      <c r="I291" s="35">
        <v>55</v>
      </c>
      <c r="J291" s="9">
        <f t="shared" si="73"/>
        <v>0</v>
      </c>
      <c r="K291" s="39"/>
      <c r="L291" s="39"/>
      <c r="M291" s="39"/>
      <c r="N291" s="39"/>
      <c r="O291" s="39"/>
      <c r="P291" s="39"/>
      <c r="Q291" s="39"/>
      <c r="R291" s="39"/>
      <c r="S291" s="10">
        <f t="shared" si="74"/>
        <v>0</v>
      </c>
      <c r="T291" s="10">
        <v>100000</v>
      </c>
      <c r="U291" s="10">
        <f t="shared" si="76"/>
        <v>0</v>
      </c>
      <c r="V291" s="4"/>
      <c r="Y291" s="4"/>
    </row>
    <row r="292" spans="2:25" ht="37.5" hidden="1">
      <c r="B292" s="58"/>
      <c r="C292" s="61"/>
      <c r="D292" s="53" t="s">
        <v>43</v>
      </c>
      <c r="E292" s="69"/>
      <c r="F292" s="14">
        <v>0.33333333333333331</v>
      </c>
      <c r="G292" s="67" t="s">
        <v>78</v>
      </c>
      <c r="H292" s="68"/>
      <c r="I292" s="37">
        <v>55</v>
      </c>
      <c r="J292" s="15">
        <f t="shared" si="73"/>
        <v>0</v>
      </c>
      <c r="K292" s="40"/>
      <c r="L292" s="40"/>
      <c r="M292" s="40"/>
      <c r="N292" s="40"/>
      <c r="O292" s="40"/>
      <c r="P292" s="40"/>
      <c r="Q292" s="40"/>
      <c r="R292" s="40"/>
      <c r="S292" s="16">
        <f t="shared" si="74"/>
        <v>0</v>
      </c>
      <c r="T292" s="16">
        <v>100000</v>
      </c>
      <c r="U292" s="16">
        <f t="shared" si="76"/>
        <v>0</v>
      </c>
      <c r="V292" s="4"/>
      <c r="W292" s="4"/>
      <c r="X292" s="4"/>
      <c r="Y292" s="4"/>
    </row>
    <row r="293" spans="2:25" ht="38.25" hidden="1" customHeight="1">
      <c r="B293" s="58">
        <v>46105</v>
      </c>
      <c r="C293" s="59" t="s">
        <v>17</v>
      </c>
      <c r="D293" s="51"/>
      <c r="E293" s="62" t="s">
        <v>101</v>
      </c>
      <c r="F293" s="5">
        <v>0.41666666666666669</v>
      </c>
      <c r="G293" s="65"/>
      <c r="H293" s="66"/>
      <c r="I293" s="34"/>
      <c r="J293" s="6" t="str">
        <f t="shared" si="73"/>
        <v/>
      </c>
      <c r="K293" s="38"/>
      <c r="L293" s="38"/>
      <c r="M293" s="38"/>
      <c r="N293" s="38"/>
      <c r="O293" s="38"/>
      <c r="P293" s="38"/>
      <c r="Q293" s="38"/>
      <c r="R293" s="38"/>
      <c r="S293" s="7">
        <f>SUM(K293:R293)</f>
        <v>0</v>
      </c>
      <c r="T293" s="7">
        <v>100000</v>
      </c>
      <c r="U293" s="7">
        <f>T293*S293</f>
        <v>0</v>
      </c>
      <c r="V293" s="4"/>
      <c r="W293" s="4"/>
      <c r="X293" s="4"/>
      <c r="Y293" s="4"/>
    </row>
    <row r="294" spans="2:25" ht="18.75" hidden="1">
      <c r="B294" s="58"/>
      <c r="C294" s="60"/>
      <c r="D294" s="52"/>
      <c r="E294" s="63"/>
      <c r="F294" s="8">
        <v>0.5</v>
      </c>
      <c r="G294" s="67"/>
      <c r="H294" s="68"/>
      <c r="I294" s="35"/>
      <c r="J294" s="9" t="str">
        <f t="shared" si="73"/>
        <v/>
      </c>
      <c r="K294" s="39"/>
      <c r="L294" s="39"/>
      <c r="M294" s="39"/>
      <c r="N294" s="39"/>
      <c r="O294" s="39"/>
      <c r="P294" s="39"/>
      <c r="Q294" s="39"/>
      <c r="R294" s="39"/>
      <c r="S294" s="10">
        <f t="shared" ref="S294:S304" si="77">SUM(K294:R294)</f>
        <v>0</v>
      </c>
      <c r="T294" s="10">
        <v>100000</v>
      </c>
      <c r="U294" s="10">
        <f t="shared" ref="U294:U295" si="78">T294*S294</f>
        <v>0</v>
      </c>
      <c r="V294" s="4"/>
      <c r="W294" s="4"/>
      <c r="X294" s="4"/>
      <c r="Y294" s="4"/>
    </row>
    <row r="295" spans="2:25" ht="18.75" hidden="1">
      <c r="B295" s="58"/>
      <c r="C295" s="60"/>
      <c r="D295" s="52"/>
      <c r="E295" s="63"/>
      <c r="F295" s="8">
        <v>0.58333333333333337</v>
      </c>
      <c r="G295" s="67"/>
      <c r="H295" s="68"/>
      <c r="I295" s="35"/>
      <c r="J295" s="9" t="str">
        <f t="shared" si="73"/>
        <v/>
      </c>
      <c r="K295" s="39"/>
      <c r="L295" s="39"/>
      <c r="M295" s="39"/>
      <c r="N295" s="39"/>
      <c r="O295" s="39"/>
      <c r="P295" s="39"/>
      <c r="Q295" s="39"/>
      <c r="R295" s="39"/>
      <c r="S295" s="10">
        <f t="shared" si="77"/>
        <v>0</v>
      </c>
      <c r="T295" s="10">
        <v>100000</v>
      </c>
      <c r="U295" s="10">
        <f t="shared" si="78"/>
        <v>0</v>
      </c>
      <c r="V295" s="4"/>
      <c r="W295" s="4"/>
      <c r="X295" s="4"/>
      <c r="Y295" s="4"/>
    </row>
    <row r="296" spans="2:25" ht="18.75" hidden="1">
      <c r="B296" s="58"/>
      <c r="C296" s="60"/>
      <c r="D296" s="52"/>
      <c r="E296" s="63"/>
      <c r="F296" s="8">
        <v>0.66666666666666663</v>
      </c>
      <c r="G296" s="67"/>
      <c r="H296" s="68"/>
      <c r="I296" s="35"/>
      <c r="J296" s="9" t="str">
        <f t="shared" si="73"/>
        <v/>
      </c>
      <c r="K296" s="39"/>
      <c r="L296" s="39"/>
      <c r="M296" s="39"/>
      <c r="N296" s="39"/>
      <c r="O296" s="39"/>
      <c r="P296" s="39"/>
      <c r="Q296" s="39"/>
      <c r="R296" s="39"/>
      <c r="S296" s="10">
        <f t="shared" si="77"/>
        <v>0</v>
      </c>
      <c r="T296" s="10">
        <v>100000</v>
      </c>
      <c r="U296" s="10">
        <f>T296*S296</f>
        <v>0</v>
      </c>
      <c r="V296" s="4"/>
      <c r="W296" s="4"/>
      <c r="X296" s="4"/>
      <c r="Y296" s="4"/>
    </row>
    <row r="297" spans="2:25" ht="18.75" hidden="1">
      <c r="B297" s="58"/>
      <c r="C297" s="60"/>
      <c r="D297" s="52"/>
      <c r="E297" s="63"/>
      <c r="F297" s="8">
        <v>0.75</v>
      </c>
      <c r="G297" s="67"/>
      <c r="H297" s="68"/>
      <c r="I297" s="35"/>
      <c r="J297" s="9" t="str">
        <f t="shared" si="73"/>
        <v/>
      </c>
      <c r="K297" s="39"/>
      <c r="L297" s="39"/>
      <c r="M297" s="39"/>
      <c r="N297" s="39"/>
      <c r="O297" s="39"/>
      <c r="P297" s="39"/>
      <c r="Q297" s="39"/>
      <c r="R297" s="39"/>
      <c r="S297" s="10">
        <f t="shared" si="77"/>
        <v>0</v>
      </c>
      <c r="T297" s="10">
        <v>100000</v>
      </c>
      <c r="U297" s="10">
        <f t="shared" ref="U297:U304" si="79">T297*S297</f>
        <v>0</v>
      </c>
      <c r="V297" s="4"/>
      <c r="W297" s="4"/>
      <c r="X297" s="11"/>
      <c r="Y297" s="4"/>
    </row>
    <row r="298" spans="2:25" ht="18.75" hidden="1">
      <c r="B298" s="58"/>
      <c r="C298" s="60"/>
      <c r="D298" s="53"/>
      <c r="E298" s="64"/>
      <c r="F298" s="12">
        <v>0.83333333333333337</v>
      </c>
      <c r="G298" s="67"/>
      <c r="H298" s="68"/>
      <c r="I298" s="36"/>
      <c r="J298" s="9" t="str">
        <f t="shared" si="73"/>
        <v/>
      </c>
      <c r="K298" s="41"/>
      <c r="L298" s="41"/>
      <c r="M298" s="41"/>
      <c r="N298" s="41"/>
      <c r="O298" s="41"/>
      <c r="P298" s="41"/>
      <c r="Q298" s="41"/>
      <c r="R298" s="41"/>
      <c r="S298" s="13">
        <f t="shared" si="77"/>
        <v>0</v>
      </c>
      <c r="T298" s="13">
        <v>100000</v>
      </c>
      <c r="U298" s="13">
        <f t="shared" si="79"/>
        <v>0</v>
      </c>
      <c r="V298" s="4"/>
      <c r="Y298" s="4"/>
    </row>
    <row r="299" spans="2:25" ht="18.75" hidden="1">
      <c r="B299" s="58"/>
      <c r="C299" s="60"/>
      <c r="D299" s="51"/>
      <c r="E299" s="62" t="s">
        <v>102</v>
      </c>
      <c r="F299" s="5">
        <v>0.91666666666666663</v>
      </c>
      <c r="G299" s="65"/>
      <c r="H299" s="66"/>
      <c r="I299" s="34"/>
      <c r="J299" s="6" t="str">
        <f t="shared" si="73"/>
        <v/>
      </c>
      <c r="K299" s="38"/>
      <c r="L299" s="38"/>
      <c r="M299" s="38"/>
      <c r="N299" s="38"/>
      <c r="O299" s="38"/>
      <c r="P299" s="38"/>
      <c r="Q299" s="38"/>
      <c r="R299" s="38"/>
      <c r="S299" s="7">
        <f t="shared" si="77"/>
        <v>0</v>
      </c>
      <c r="T299" s="7">
        <v>100000</v>
      </c>
      <c r="U299" s="7">
        <f t="shared" si="79"/>
        <v>0</v>
      </c>
      <c r="V299" s="4"/>
      <c r="Y299" s="4"/>
    </row>
    <row r="300" spans="2:25" ht="18.75" hidden="1">
      <c r="B300" s="58"/>
      <c r="C300" s="60"/>
      <c r="D300" s="52"/>
      <c r="E300" s="63"/>
      <c r="F300" s="8">
        <v>1</v>
      </c>
      <c r="G300" s="67"/>
      <c r="H300" s="68"/>
      <c r="I300" s="35"/>
      <c r="J300" s="9" t="str">
        <f t="shared" si="73"/>
        <v/>
      </c>
      <c r="K300" s="39"/>
      <c r="L300" s="39"/>
      <c r="M300" s="39"/>
      <c r="N300" s="39"/>
      <c r="O300" s="39"/>
      <c r="P300" s="39"/>
      <c r="Q300" s="39"/>
      <c r="R300" s="39"/>
      <c r="S300" s="10">
        <f t="shared" si="77"/>
        <v>0</v>
      </c>
      <c r="T300" s="10">
        <v>100000</v>
      </c>
      <c r="U300" s="10">
        <f t="shared" si="79"/>
        <v>0</v>
      </c>
      <c r="V300" s="4"/>
      <c r="Y300" s="4"/>
    </row>
    <row r="301" spans="2:25" ht="18.75" hidden="1">
      <c r="B301" s="58"/>
      <c r="C301" s="60"/>
      <c r="D301" s="52"/>
      <c r="E301" s="63"/>
      <c r="F301" s="8">
        <v>8.3333333333333329E-2</v>
      </c>
      <c r="G301" s="67"/>
      <c r="H301" s="68"/>
      <c r="I301" s="35"/>
      <c r="J301" s="9" t="str">
        <f t="shared" si="73"/>
        <v/>
      </c>
      <c r="K301" s="39"/>
      <c r="L301" s="39"/>
      <c r="M301" s="39"/>
      <c r="N301" s="39"/>
      <c r="O301" s="39"/>
      <c r="P301" s="39"/>
      <c r="Q301" s="39"/>
      <c r="R301" s="39"/>
      <c r="S301" s="10">
        <f t="shared" si="77"/>
        <v>0</v>
      </c>
      <c r="T301" s="10">
        <v>100000</v>
      </c>
      <c r="U301" s="10">
        <f t="shared" si="79"/>
        <v>0</v>
      </c>
      <c r="V301" s="4"/>
      <c r="Y301" s="4"/>
    </row>
    <row r="302" spans="2:25" ht="18.75" hidden="1">
      <c r="B302" s="58"/>
      <c r="C302" s="60"/>
      <c r="D302" s="52"/>
      <c r="E302" s="63"/>
      <c r="F302" s="8">
        <v>0.16666666666666666</v>
      </c>
      <c r="G302" s="67"/>
      <c r="H302" s="68"/>
      <c r="I302" s="35"/>
      <c r="J302" s="9" t="str">
        <f t="shared" si="73"/>
        <v/>
      </c>
      <c r="K302" s="39"/>
      <c r="L302" s="39"/>
      <c r="M302" s="39"/>
      <c r="N302" s="39"/>
      <c r="O302" s="39"/>
      <c r="P302" s="39"/>
      <c r="Q302" s="39"/>
      <c r="R302" s="39"/>
      <c r="S302" s="10">
        <f t="shared" si="77"/>
        <v>0</v>
      </c>
      <c r="T302" s="10">
        <v>100000</v>
      </c>
      <c r="U302" s="10">
        <f t="shared" si="79"/>
        <v>0</v>
      </c>
      <c r="V302" s="4"/>
      <c r="W302" s="4"/>
      <c r="X302" s="4"/>
      <c r="Y302" s="4"/>
    </row>
    <row r="303" spans="2:25" ht="18.75" hidden="1">
      <c r="B303" s="58"/>
      <c r="C303" s="60"/>
      <c r="D303" s="52"/>
      <c r="E303" s="63"/>
      <c r="F303" s="8">
        <v>0.25</v>
      </c>
      <c r="G303" s="67"/>
      <c r="H303" s="68"/>
      <c r="I303" s="35"/>
      <c r="J303" s="9" t="str">
        <f t="shared" si="73"/>
        <v/>
      </c>
      <c r="K303" s="39"/>
      <c r="L303" s="39"/>
      <c r="M303" s="39"/>
      <c r="N303" s="39"/>
      <c r="O303" s="39"/>
      <c r="P303" s="39"/>
      <c r="Q303" s="39"/>
      <c r="R303" s="39"/>
      <c r="S303" s="10">
        <f t="shared" si="77"/>
        <v>0</v>
      </c>
      <c r="T303" s="10">
        <v>100000</v>
      </c>
      <c r="U303" s="10">
        <f t="shared" si="79"/>
        <v>0</v>
      </c>
      <c r="V303" s="4"/>
      <c r="Y303" s="4"/>
    </row>
    <row r="304" spans="2:25" ht="18.75" hidden="1">
      <c r="B304" s="58"/>
      <c r="C304" s="61"/>
      <c r="D304" s="53"/>
      <c r="E304" s="69"/>
      <c r="F304" s="14">
        <v>0.33333333333333331</v>
      </c>
      <c r="G304" s="67"/>
      <c r="H304" s="68"/>
      <c r="I304" s="37"/>
      <c r="J304" s="15" t="str">
        <f t="shared" si="73"/>
        <v/>
      </c>
      <c r="K304" s="40"/>
      <c r="L304" s="40"/>
      <c r="M304" s="40"/>
      <c r="N304" s="40"/>
      <c r="O304" s="40"/>
      <c r="P304" s="40"/>
      <c r="Q304" s="40"/>
      <c r="R304" s="40"/>
      <c r="S304" s="16">
        <f t="shared" si="77"/>
        <v>0</v>
      </c>
      <c r="T304" s="16">
        <v>100000</v>
      </c>
      <c r="U304" s="16">
        <f t="shared" si="79"/>
        <v>0</v>
      </c>
      <c r="V304" s="4"/>
      <c r="W304" s="4"/>
      <c r="X304" s="4"/>
      <c r="Y304" s="4"/>
    </row>
    <row r="305" spans="2:25" ht="38.25" hidden="1" customHeight="1">
      <c r="B305" s="58">
        <v>46106</v>
      </c>
      <c r="C305" s="59" t="s">
        <v>17</v>
      </c>
      <c r="D305" s="51"/>
      <c r="E305" s="62" t="s">
        <v>101</v>
      </c>
      <c r="F305" s="5">
        <v>0.41666666666666669</v>
      </c>
      <c r="G305" s="65"/>
      <c r="H305" s="66"/>
      <c r="I305" s="34"/>
      <c r="J305" s="6" t="str">
        <f t="shared" ref="J305:J328" si="80">IFERROR(S305/I305,"")</f>
        <v/>
      </c>
      <c r="K305" s="38"/>
      <c r="L305" s="38"/>
      <c r="M305" s="38"/>
      <c r="N305" s="38"/>
      <c r="O305" s="38"/>
      <c r="P305" s="38"/>
      <c r="Q305" s="38"/>
      <c r="R305" s="38"/>
      <c r="S305" s="7">
        <f>SUM(K305:R305)</f>
        <v>0</v>
      </c>
      <c r="T305" s="7">
        <v>100000</v>
      </c>
      <c r="U305" s="7">
        <f>T305*S305</f>
        <v>0</v>
      </c>
      <c r="V305" s="4"/>
      <c r="W305" s="4"/>
      <c r="X305" s="4"/>
      <c r="Y305" s="4"/>
    </row>
    <row r="306" spans="2:25" ht="18.75" hidden="1">
      <c r="B306" s="58"/>
      <c r="C306" s="60"/>
      <c r="D306" s="52"/>
      <c r="E306" s="63"/>
      <c r="F306" s="8">
        <v>0.5</v>
      </c>
      <c r="G306" s="67"/>
      <c r="H306" s="68"/>
      <c r="I306" s="35"/>
      <c r="J306" s="9" t="str">
        <f t="shared" si="80"/>
        <v/>
      </c>
      <c r="K306" s="39"/>
      <c r="L306" s="39"/>
      <c r="M306" s="39"/>
      <c r="N306" s="39"/>
      <c r="O306" s="39"/>
      <c r="P306" s="39"/>
      <c r="Q306" s="39"/>
      <c r="R306" s="39"/>
      <c r="S306" s="10">
        <f t="shared" ref="S306:S316" si="81">SUM(K306:R306)</f>
        <v>0</v>
      </c>
      <c r="T306" s="10">
        <v>100000</v>
      </c>
      <c r="U306" s="10">
        <f t="shared" ref="U306:U307" si="82">T306*S306</f>
        <v>0</v>
      </c>
      <c r="V306" s="4"/>
      <c r="W306" s="4"/>
      <c r="X306" s="4"/>
      <c r="Y306" s="4"/>
    </row>
    <row r="307" spans="2:25" ht="18.75" hidden="1">
      <c r="B307" s="58"/>
      <c r="C307" s="60"/>
      <c r="D307" s="52"/>
      <c r="E307" s="63"/>
      <c r="F307" s="8">
        <v>0.58333333333333337</v>
      </c>
      <c r="G307" s="67"/>
      <c r="H307" s="68"/>
      <c r="I307" s="35"/>
      <c r="J307" s="9" t="str">
        <f t="shared" si="80"/>
        <v/>
      </c>
      <c r="K307" s="39"/>
      <c r="L307" s="39"/>
      <c r="M307" s="39"/>
      <c r="N307" s="39"/>
      <c r="O307" s="39"/>
      <c r="P307" s="39"/>
      <c r="Q307" s="39"/>
      <c r="R307" s="39"/>
      <c r="S307" s="10">
        <f t="shared" si="81"/>
        <v>0</v>
      </c>
      <c r="T307" s="10">
        <v>100000</v>
      </c>
      <c r="U307" s="10">
        <f t="shared" si="82"/>
        <v>0</v>
      </c>
      <c r="V307" s="4"/>
      <c r="W307" s="4"/>
      <c r="X307" s="4"/>
      <c r="Y307" s="4"/>
    </row>
    <row r="308" spans="2:25" ht="18.75" hidden="1">
      <c r="B308" s="58"/>
      <c r="C308" s="60"/>
      <c r="D308" s="52"/>
      <c r="E308" s="63"/>
      <c r="F308" s="8">
        <v>0.66666666666666663</v>
      </c>
      <c r="G308" s="67"/>
      <c r="H308" s="68"/>
      <c r="I308" s="35"/>
      <c r="J308" s="9" t="str">
        <f t="shared" si="80"/>
        <v/>
      </c>
      <c r="K308" s="39"/>
      <c r="L308" s="39"/>
      <c r="M308" s="39"/>
      <c r="N308" s="39"/>
      <c r="O308" s="39"/>
      <c r="P308" s="39"/>
      <c r="Q308" s="39"/>
      <c r="R308" s="39"/>
      <c r="S308" s="10">
        <f t="shared" si="81"/>
        <v>0</v>
      </c>
      <c r="T308" s="10">
        <v>100000</v>
      </c>
      <c r="U308" s="10">
        <f>T308*S308</f>
        <v>0</v>
      </c>
      <c r="V308" s="4"/>
      <c r="W308" s="4"/>
      <c r="X308" s="4"/>
      <c r="Y308" s="4"/>
    </row>
    <row r="309" spans="2:25" ht="18.75" hidden="1">
      <c r="B309" s="58"/>
      <c r="C309" s="60"/>
      <c r="D309" s="52"/>
      <c r="E309" s="63"/>
      <c r="F309" s="8">
        <v>0.75</v>
      </c>
      <c r="G309" s="67"/>
      <c r="H309" s="68"/>
      <c r="I309" s="35"/>
      <c r="J309" s="9" t="str">
        <f t="shared" si="80"/>
        <v/>
      </c>
      <c r="K309" s="39"/>
      <c r="L309" s="39"/>
      <c r="M309" s="39"/>
      <c r="N309" s="39"/>
      <c r="O309" s="39"/>
      <c r="P309" s="39"/>
      <c r="Q309" s="39"/>
      <c r="R309" s="39"/>
      <c r="S309" s="10">
        <f t="shared" si="81"/>
        <v>0</v>
      </c>
      <c r="T309" s="10">
        <v>100000</v>
      </c>
      <c r="U309" s="10">
        <f t="shared" ref="U309:U316" si="83">T309*S309</f>
        <v>0</v>
      </c>
      <c r="V309" s="4"/>
      <c r="W309" s="4"/>
      <c r="X309" s="11"/>
      <c r="Y309" s="4"/>
    </row>
    <row r="310" spans="2:25" ht="18.75" hidden="1">
      <c r="B310" s="58"/>
      <c r="C310" s="60"/>
      <c r="D310" s="53"/>
      <c r="E310" s="64"/>
      <c r="F310" s="12">
        <v>0.83333333333333337</v>
      </c>
      <c r="G310" s="67"/>
      <c r="H310" s="68"/>
      <c r="I310" s="36"/>
      <c r="J310" s="9" t="str">
        <f t="shared" si="80"/>
        <v/>
      </c>
      <c r="K310" s="41"/>
      <c r="L310" s="41"/>
      <c r="M310" s="41"/>
      <c r="N310" s="41"/>
      <c r="O310" s="41"/>
      <c r="P310" s="41"/>
      <c r="Q310" s="41"/>
      <c r="R310" s="41"/>
      <c r="S310" s="13">
        <f t="shared" si="81"/>
        <v>0</v>
      </c>
      <c r="T310" s="13">
        <v>100000</v>
      </c>
      <c r="U310" s="13">
        <f t="shared" si="83"/>
        <v>0</v>
      </c>
      <c r="V310" s="4"/>
      <c r="Y310" s="4"/>
    </row>
    <row r="311" spans="2:25" ht="18.75" hidden="1">
      <c r="B311" s="58"/>
      <c r="C311" s="60"/>
      <c r="D311" s="51"/>
      <c r="E311" s="62" t="s">
        <v>102</v>
      </c>
      <c r="F311" s="5">
        <v>0.91666666666666663</v>
      </c>
      <c r="G311" s="65"/>
      <c r="H311" s="66"/>
      <c r="I311" s="34"/>
      <c r="J311" s="6" t="str">
        <f t="shared" si="80"/>
        <v/>
      </c>
      <c r="K311" s="38"/>
      <c r="L311" s="38"/>
      <c r="M311" s="38"/>
      <c r="N311" s="38"/>
      <c r="O311" s="38"/>
      <c r="P311" s="38"/>
      <c r="Q311" s="38"/>
      <c r="R311" s="38"/>
      <c r="S311" s="7">
        <f t="shared" si="81"/>
        <v>0</v>
      </c>
      <c r="T311" s="7">
        <v>100000</v>
      </c>
      <c r="U311" s="7">
        <f t="shared" si="83"/>
        <v>0</v>
      </c>
      <c r="V311" s="4"/>
      <c r="Y311" s="4"/>
    </row>
    <row r="312" spans="2:25" ht="18.75" hidden="1">
      <c r="B312" s="58"/>
      <c r="C312" s="60"/>
      <c r="D312" s="52"/>
      <c r="E312" s="63"/>
      <c r="F312" s="8">
        <v>1</v>
      </c>
      <c r="G312" s="67"/>
      <c r="H312" s="68"/>
      <c r="I312" s="35"/>
      <c r="J312" s="9" t="str">
        <f t="shared" si="80"/>
        <v/>
      </c>
      <c r="K312" s="39"/>
      <c r="L312" s="39"/>
      <c r="M312" s="39"/>
      <c r="N312" s="39"/>
      <c r="O312" s="39"/>
      <c r="P312" s="39"/>
      <c r="Q312" s="39"/>
      <c r="R312" s="39"/>
      <c r="S312" s="10">
        <f t="shared" si="81"/>
        <v>0</v>
      </c>
      <c r="T312" s="10">
        <v>100000</v>
      </c>
      <c r="U312" s="10">
        <f t="shared" si="83"/>
        <v>0</v>
      </c>
      <c r="V312" s="4"/>
      <c r="Y312" s="4"/>
    </row>
    <row r="313" spans="2:25" ht="18.75" hidden="1">
      <c r="B313" s="58"/>
      <c r="C313" s="60"/>
      <c r="D313" s="52"/>
      <c r="E313" s="63"/>
      <c r="F313" s="8">
        <v>8.3333333333333329E-2</v>
      </c>
      <c r="G313" s="67"/>
      <c r="H313" s="68"/>
      <c r="I313" s="35"/>
      <c r="J313" s="9" t="str">
        <f t="shared" si="80"/>
        <v/>
      </c>
      <c r="K313" s="39"/>
      <c r="L313" s="39"/>
      <c r="M313" s="39"/>
      <c r="N313" s="39"/>
      <c r="O313" s="39"/>
      <c r="P313" s="39"/>
      <c r="Q313" s="39"/>
      <c r="R313" s="39"/>
      <c r="S313" s="10">
        <f t="shared" si="81"/>
        <v>0</v>
      </c>
      <c r="T313" s="10">
        <v>100000</v>
      </c>
      <c r="U313" s="10">
        <f t="shared" si="83"/>
        <v>0</v>
      </c>
      <c r="V313" s="4"/>
      <c r="Y313" s="4"/>
    </row>
    <row r="314" spans="2:25" ht="18.75" hidden="1">
      <c r="B314" s="58"/>
      <c r="C314" s="60"/>
      <c r="D314" s="52"/>
      <c r="E314" s="63"/>
      <c r="F314" s="8">
        <v>0.16666666666666666</v>
      </c>
      <c r="G314" s="67"/>
      <c r="H314" s="68"/>
      <c r="I314" s="35"/>
      <c r="J314" s="9" t="str">
        <f t="shared" si="80"/>
        <v/>
      </c>
      <c r="K314" s="39"/>
      <c r="L314" s="39"/>
      <c r="M314" s="39"/>
      <c r="N314" s="39"/>
      <c r="O314" s="39"/>
      <c r="P314" s="39"/>
      <c r="Q314" s="39"/>
      <c r="R314" s="39"/>
      <c r="S314" s="10">
        <f t="shared" si="81"/>
        <v>0</v>
      </c>
      <c r="T314" s="10">
        <v>100000</v>
      </c>
      <c r="U314" s="10">
        <f t="shared" si="83"/>
        <v>0</v>
      </c>
      <c r="V314" s="4"/>
      <c r="W314" s="4"/>
      <c r="X314" s="4"/>
      <c r="Y314" s="4"/>
    </row>
    <row r="315" spans="2:25" ht="18.75" hidden="1">
      <c r="B315" s="58"/>
      <c r="C315" s="60"/>
      <c r="D315" s="52"/>
      <c r="E315" s="63"/>
      <c r="F315" s="8">
        <v>0.25</v>
      </c>
      <c r="G315" s="67"/>
      <c r="H315" s="68"/>
      <c r="I315" s="35"/>
      <c r="J315" s="9" t="str">
        <f t="shared" si="80"/>
        <v/>
      </c>
      <c r="K315" s="39"/>
      <c r="L315" s="39"/>
      <c r="M315" s="39"/>
      <c r="N315" s="39"/>
      <c r="O315" s="39"/>
      <c r="P315" s="39"/>
      <c r="Q315" s="39"/>
      <c r="R315" s="39"/>
      <c r="S315" s="10">
        <f t="shared" si="81"/>
        <v>0</v>
      </c>
      <c r="T315" s="10">
        <v>100000</v>
      </c>
      <c r="U315" s="10">
        <f t="shared" si="83"/>
        <v>0</v>
      </c>
      <c r="V315" s="4"/>
      <c r="Y315" s="4"/>
    </row>
    <row r="316" spans="2:25" ht="18.75" hidden="1">
      <c r="B316" s="58"/>
      <c r="C316" s="61"/>
      <c r="D316" s="53"/>
      <c r="E316" s="69"/>
      <c r="F316" s="14">
        <v>0.33333333333333331</v>
      </c>
      <c r="G316" s="67"/>
      <c r="H316" s="68"/>
      <c r="I316" s="37"/>
      <c r="J316" s="15" t="str">
        <f t="shared" si="80"/>
        <v/>
      </c>
      <c r="K316" s="40"/>
      <c r="L316" s="40"/>
      <c r="M316" s="40"/>
      <c r="N316" s="40"/>
      <c r="O316" s="40"/>
      <c r="P316" s="40"/>
      <c r="Q316" s="40"/>
      <c r="R316" s="40"/>
      <c r="S316" s="16">
        <f t="shared" si="81"/>
        <v>0</v>
      </c>
      <c r="T316" s="16">
        <v>100000</v>
      </c>
      <c r="U316" s="16">
        <f t="shared" si="83"/>
        <v>0</v>
      </c>
      <c r="V316" s="4"/>
      <c r="W316" s="4"/>
      <c r="X316" s="4"/>
      <c r="Y316" s="4"/>
    </row>
    <row r="317" spans="2:25" ht="38.25" hidden="1" customHeight="1">
      <c r="B317" s="58">
        <v>46107</v>
      </c>
      <c r="C317" s="59" t="s">
        <v>17</v>
      </c>
      <c r="D317" s="51"/>
      <c r="E317" s="62" t="s">
        <v>101</v>
      </c>
      <c r="F317" s="5">
        <v>0.41666666666666669</v>
      </c>
      <c r="G317" s="65"/>
      <c r="H317" s="66"/>
      <c r="I317" s="34"/>
      <c r="J317" s="6" t="str">
        <f t="shared" si="80"/>
        <v/>
      </c>
      <c r="K317" s="38"/>
      <c r="L317" s="38"/>
      <c r="M317" s="38"/>
      <c r="N317" s="38"/>
      <c r="O317" s="38"/>
      <c r="P317" s="38"/>
      <c r="Q317" s="38"/>
      <c r="R317" s="38"/>
      <c r="S317" s="7">
        <f>SUM(K317:R317)</f>
        <v>0</v>
      </c>
      <c r="T317" s="7">
        <v>100000</v>
      </c>
      <c r="U317" s="7">
        <f>T317*S317</f>
        <v>0</v>
      </c>
      <c r="V317" s="4"/>
      <c r="W317" s="4"/>
      <c r="X317" s="4"/>
      <c r="Y317" s="4"/>
    </row>
    <row r="318" spans="2:25" ht="18.75" hidden="1">
      <c r="B318" s="58"/>
      <c r="C318" s="60"/>
      <c r="D318" s="52"/>
      <c r="E318" s="63"/>
      <c r="F318" s="8">
        <v>0.5</v>
      </c>
      <c r="G318" s="67"/>
      <c r="H318" s="68"/>
      <c r="I318" s="35"/>
      <c r="J318" s="9" t="str">
        <f t="shared" si="80"/>
        <v/>
      </c>
      <c r="K318" s="39"/>
      <c r="L318" s="39"/>
      <c r="M318" s="39"/>
      <c r="N318" s="39"/>
      <c r="O318" s="39"/>
      <c r="P318" s="39"/>
      <c r="Q318" s="39"/>
      <c r="R318" s="39"/>
      <c r="S318" s="10">
        <f t="shared" ref="S318:S328" si="84">SUM(K318:R318)</f>
        <v>0</v>
      </c>
      <c r="T318" s="10">
        <v>100000</v>
      </c>
      <c r="U318" s="10">
        <f t="shared" ref="U318:U319" si="85">T318*S318</f>
        <v>0</v>
      </c>
      <c r="V318" s="4"/>
      <c r="W318" s="4"/>
      <c r="X318" s="4"/>
      <c r="Y318" s="4"/>
    </row>
    <row r="319" spans="2:25" ht="18.75" hidden="1">
      <c r="B319" s="58"/>
      <c r="C319" s="60"/>
      <c r="D319" s="52"/>
      <c r="E319" s="63"/>
      <c r="F319" s="8">
        <v>0.58333333333333337</v>
      </c>
      <c r="G319" s="67"/>
      <c r="H319" s="68"/>
      <c r="I319" s="35"/>
      <c r="J319" s="9" t="str">
        <f t="shared" si="80"/>
        <v/>
      </c>
      <c r="K319" s="39"/>
      <c r="L319" s="39"/>
      <c r="M319" s="39"/>
      <c r="N319" s="39"/>
      <c r="O319" s="39"/>
      <c r="P319" s="39"/>
      <c r="Q319" s="39"/>
      <c r="R319" s="39"/>
      <c r="S319" s="10">
        <f t="shared" si="84"/>
        <v>0</v>
      </c>
      <c r="T319" s="10">
        <v>100000</v>
      </c>
      <c r="U319" s="10">
        <f t="shared" si="85"/>
        <v>0</v>
      </c>
      <c r="V319" s="4"/>
      <c r="W319" s="4"/>
      <c r="X319" s="4"/>
      <c r="Y319" s="4"/>
    </row>
    <row r="320" spans="2:25" ht="18.75" hidden="1">
      <c r="B320" s="58"/>
      <c r="C320" s="60"/>
      <c r="D320" s="52"/>
      <c r="E320" s="63"/>
      <c r="F320" s="8">
        <v>0.66666666666666663</v>
      </c>
      <c r="G320" s="67"/>
      <c r="H320" s="68"/>
      <c r="I320" s="35"/>
      <c r="J320" s="9" t="str">
        <f t="shared" si="80"/>
        <v/>
      </c>
      <c r="K320" s="39"/>
      <c r="L320" s="39"/>
      <c r="M320" s="39"/>
      <c r="N320" s="39"/>
      <c r="O320" s="39"/>
      <c r="P320" s="39"/>
      <c r="Q320" s="39"/>
      <c r="R320" s="39"/>
      <c r="S320" s="10">
        <f t="shared" si="84"/>
        <v>0</v>
      </c>
      <c r="T320" s="10">
        <v>100000</v>
      </c>
      <c r="U320" s="10">
        <f>T320*S320</f>
        <v>0</v>
      </c>
      <c r="V320" s="4"/>
      <c r="W320" s="4"/>
      <c r="X320" s="4"/>
      <c r="Y320" s="4"/>
    </row>
    <row r="321" spans="2:25" ht="18.75" hidden="1">
      <c r="B321" s="58"/>
      <c r="C321" s="60"/>
      <c r="D321" s="52"/>
      <c r="E321" s="63"/>
      <c r="F321" s="8">
        <v>0.75</v>
      </c>
      <c r="G321" s="67"/>
      <c r="H321" s="68"/>
      <c r="I321" s="35"/>
      <c r="J321" s="9" t="str">
        <f t="shared" si="80"/>
        <v/>
      </c>
      <c r="K321" s="39"/>
      <c r="L321" s="39"/>
      <c r="M321" s="39"/>
      <c r="N321" s="39"/>
      <c r="O321" s="39"/>
      <c r="P321" s="39"/>
      <c r="Q321" s="39"/>
      <c r="R321" s="39"/>
      <c r="S321" s="10">
        <f t="shared" si="84"/>
        <v>0</v>
      </c>
      <c r="T321" s="10">
        <v>100000</v>
      </c>
      <c r="U321" s="10">
        <f t="shared" ref="U321:U328" si="86">T321*S321</f>
        <v>0</v>
      </c>
      <c r="V321" s="4"/>
      <c r="W321" s="4"/>
      <c r="X321" s="11"/>
      <c r="Y321" s="4"/>
    </row>
    <row r="322" spans="2:25" ht="18.75" hidden="1">
      <c r="B322" s="58"/>
      <c r="C322" s="60"/>
      <c r="D322" s="53"/>
      <c r="E322" s="64"/>
      <c r="F322" s="12">
        <v>0.83333333333333337</v>
      </c>
      <c r="G322" s="67"/>
      <c r="H322" s="68"/>
      <c r="I322" s="36"/>
      <c r="J322" s="9" t="str">
        <f t="shared" si="80"/>
        <v/>
      </c>
      <c r="K322" s="41"/>
      <c r="L322" s="41"/>
      <c r="M322" s="41"/>
      <c r="N322" s="41"/>
      <c r="O322" s="41"/>
      <c r="P322" s="41"/>
      <c r="Q322" s="41"/>
      <c r="R322" s="41"/>
      <c r="S322" s="13">
        <f t="shared" si="84"/>
        <v>0</v>
      </c>
      <c r="T322" s="13">
        <v>100000</v>
      </c>
      <c r="U322" s="13">
        <f t="shared" si="86"/>
        <v>0</v>
      </c>
      <c r="V322" s="4"/>
      <c r="Y322" s="4"/>
    </row>
    <row r="323" spans="2:25" ht="18.75" hidden="1">
      <c r="B323" s="58"/>
      <c r="C323" s="60"/>
      <c r="D323" s="51"/>
      <c r="E323" s="62" t="s">
        <v>102</v>
      </c>
      <c r="F323" s="5">
        <v>0.91666666666666663</v>
      </c>
      <c r="G323" s="65"/>
      <c r="H323" s="66"/>
      <c r="I323" s="34"/>
      <c r="J323" s="6" t="str">
        <f t="shared" si="80"/>
        <v/>
      </c>
      <c r="K323" s="38"/>
      <c r="L323" s="38"/>
      <c r="M323" s="38"/>
      <c r="N323" s="38"/>
      <c r="O323" s="38"/>
      <c r="P323" s="38"/>
      <c r="Q323" s="38"/>
      <c r="R323" s="38"/>
      <c r="S323" s="7">
        <f t="shared" si="84"/>
        <v>0</v>
      </c>
      <c r="T323" s="7">
        <v>100000</v>
      </c>
      <c r="U323" s="7">
        <f t="shared" si="86"/>
        <v>0</v>
      </c>
      <c r="V323" s="4"/>
      <c r="Y323" s="4"/>
    </row>
    <row r="324" spans="2:25" ht="18.75" hidden="1">
      <c r="B324" s="58"/>
      <c r="C324" s="60"/>
      <c r="D324" s="52"/>
      <c r="E324" s="63"/>
      <c r="F324" s="8">
        <v>1</v>
      </c>
      <c r="G324" s="67"/>
      <c r="H324" s="68"/>
      <c r="I324" s="35"/>
      <c r="J324" s="9" t="str">
        <f t="shared" si="80"/>
        <v/>
      </c>
      <c r="K324" s="39"/>
      <c r="L324" s="39"/>
      <c r="M324" s="39"/>
      <c r="N324" s="39"/>
      <c r="O324" s="39"/>
      <c r="P324" s="39"/>
      <c r="Q324" s="39"/>
      <c r="R324" s="39"/>
      <c r="S324" s="10">
        <f t="shared" si="84"/>
        <v>0</v>
      </c>
      <c r="T324" s="10">
        <v>100000</v>
      </c>
      <c r="U324" s="10">
        <f t="shared" si="86"/>
        <v>0</v>
      </c>
      <c r="V324" s="4"/>
      <c r="Y324" s="4"/>
    </row>
    <row r="325" spans="2:25" ht="18.75" hidden="1">
      <c r="B325" s="58"/>
      <c r="C325" s="60"/>
      <c r="D325" s="52"/>
      <c r="E325" s="63"/>
      <c r="F325" s="8">
        <v>8.3333333333333329E-2</v>
      </c>
      <c r="G325" s="67"/>
      <c r="H325" s="68"/>
      <c r="I325" s="35"/>
      <c r="J325" s="9" t="str">
        <f t="shared" si="80"/>
        <v/>
      </c>
      <c r="K325" s="39"/>
      <c r="L325" s="39"/>
      <c r="M325" s="39"/>
      <c r="N325" s="39"/>
      <c r="O325" s="39"/>
      <c r="P325" s="39"/>
      <c r="Q325" s="39"/>
      <c r="R325" s="39"/>
      <c r="S325" s="10">
        <f t="shared" si="84"/>
        <v>0</v>
      </c>
      <c r="T325" s="10">
        <v>100000</v>
      </c>
      <c r="U325" s="10">
        <f t="shared" si="86"/>
        <v>0</v>
      </c>
      <c r="V325" s="4"/>
      <c r="Y325" s="4"/>
    </row>
    <row r="326" spans="2:25" ht="18.75" hidden="1">
      <c r="B326" s="58"/>
      <c r="C326" s="60"/>
      <c r="D326" s="52"/>
      <c r="E326" s="63"/>
      <c r="F326" s="8">
        <v>0.16666666666666666</v>
      </c>
      <c r="G326" s="67"/>
      <c r="H326" s="68"/>
      <c r="I326" s="35"/>
      <c r="J326" s="9" t="str">
        <f t="shared" si="80"/>
        <v/>
      </c>
      <c r="K326" s="39"/>
      <c r="L326" s="39"/>
      <c r="M326" s="39"/>
      <c r="N326" s="39"/>
      <c r="O326" s="39"/>
      <c r="P326" s="39"/>
      <c r="Q326" s="39"/>
      <c r="R326" s="39"/>
      <c r="S326" s="10">
        <f t="shared" si="84"/>
        <v>0</v>
      </c>
      <c r="T326" s="10">
        <v>100000</v>
      </c>
      <c r="U326" s="10">
        <f t="shared" si="86"/>
        <v>0</v>
      </c>
      <c r="V326" s="4"/>
      <c r="W326" s="4"/>
      <c r="X326" s="4"/>
      <c r="Y326" s="4"/>
    </row>
    <row r="327" spans="2:25" ht="18.75" hidden="1">
      <c r="B327" s="58"/>
      <c r="C327" s="60"/>
      <c r="D327" s="52"/>
      <c r="E327" s="63"/>
      <c r="F327" s="8">
        <v>0.25</v>
      </c>
      <c r="G327" s="67"/>
      <c r="H327" s="68"/>
      <c r="I327" s="35"/>
      <c r="J327" s="9" t="str">
        <f t="shared" si="80"/>
        <v/>
      </c>
      <c r="K327" s="39"/>
      <c r="L327" s="39"/>
      <c r="M327" s="39"/>
      <c r="N327" s="39"/>
      <c r="O327" s="39"/>
      <c r="P327" s="39"/>
      <c r="Q327" s="39"/>
      <c r="R327" s="39"/>
      <c r="S327" s="10">
        <f t="shared" si="84"/>
        <v>0</v>
      </c>
      <c r="T327" s="10">
        <v>100000</v>
      </c>
      <c r="U327" s="10">
        <f t="shared" si="86"/>
        <v>0</v>
      </c>
      <c r="V327" s="4"/>
      <c r="Y327" s="4"/>
    </row>
    <row r="328" spans="2:25" ht="18.75" hidden="1">
      <c r="B328" s="58"/>
      <c r="C328" s="61"/>
      <c r="D328" s="53"/>
      <c r="E328" s="69"/>
      <c r="F328" s="14">
        <v>0.33333333333333331</v>
      </c>
      <c r="G328" s="67"/>
      <c r="H328" s="68"/>
      <c r="I328" s="37"/>
      <c r="J328" s="15" t="str">
        <f t="shared" si="80"/>
        <v/>
      </c>
      <c r="K328" s="40"/>
      <c r="L328" s="40"/>
      <c r="M328" s="40"/>
      <c r="N328" s="40"/>
      <c r="O328" s="40"/>
      <c r="P328" s="40"/>
      <c r="Q328" s="40"/>
      <c r="R328" s="40"/>
      <c r="S328" s="16">
        <f t="shared" si="84"/>
        <v>0</v>
      </c>
      <c r="T328" s="16">
        <v>100000</v>
      </c>
      <c r="U328" s="16">
        <f t="shared" si="86"/>
        <v>0</v>
      </c>
      <c r="V328" s="4"/>
      <c r="W328" s="4"/>
      <c r="X328" s="4"/>
      <c r="Y328" s="4"/>
    </row>
    <row r="329" spans="2:25" ht="38.25" hidden="1" customHeight="1">
      <c r="B329" s="58">
        <v>46108</v>
      </c>
      <c r="C329" s="59" t="s">
        <v>17</v>
      </c>
      <c r="D329" s="51"/>
      <c r="E329" s="62" t="s">
        <v>101</v>
      </c>
      <c r="F329" s="5">
        <v>0.41666666666666669</v>
      </c>
      <c r="G329" s="65"/>
      <c r="H329" s="66"/>
      <c r="I329" s="34"/>
      <c r="J329" s="6" t="str">
        <f t="shared" ref="J329:J364" si="87">IFERROR(S329/I329,"")</f>
        <v/>
      </c>
      <c r="K329" s="38"/>
      <c r="L329" s="38"/>
      <c r="M329" s="38"/>
      <c r="N329" s="38"/>
      <c r="O329" s="38"/>
      <c r="P329" s="38"/>
      <c r="Q329" s="38"/>
      <c r="R329" s="38"/>
      <c r="S329" s="7">
        <f>SUM(K329:R329)</f>
        <v>0</v>
      </c>
      <c r="T329" s="7">
        <v>100000</v>
      </c>
      <c r="U329" s="7">
        <f>T329*S329</f>
        <v>0</v>
      </c>
      <c r="V329" s="4"/>
      <c r="W329" s="4"/>
      <c r="X329" s="4"/>
      <c r="Y329" s="4"/>
    </row>
    <row r="330" spans="2:25" ht="18.75" hidden="1">
      <c r="B330" s="58"/>
      <c r="C330" s="60"/>
      <c r="D330" s="52"/>
      <c r="E330" s="63"/>
      <c r="F330" s="8">
        <v>0.5</v>
      </c>
      <c r="G330" s="67"/>
      <c r="H330" s="68"/>
      <c r="I330" s="35"/>
      <c r="J330" s="9" t="str">
        <f t="shared" si="87"/>
        <v/>
      </c>
      <c r="K330" s="39"/>
      <c r="L330" s="39"/>
      <c r="M330" s="39"/>
      <c r="N330" s="39"/>
      <c r="O330" s="39"/>
      <c r="P330" s="39"/>
      <c r="Q330" s="39"/>
      <c r="R330" s="39"/>
      <c r="S330" s="10">
        <f t="shared" ref="S330:S340" si="88">SUM(K330:R330)</f>
        <v>0</v>
      </c>
      <c r="T330" s="10">
        <v>100000</v>
      </c>
      <c r="U330" s="10">
        <f t="shared" ref="U330:U331" si="89">T330*S330</f>
        <v>0</v>
      </c>
      <c r="V330" s="4"/>
      <c r="W330" s="4"/>
      <c r="X330" s="4"/>
      <c r="Y330" s="4"/>
    </row>
    <row r="331" spans="2:25" ht="18.75" hidden="1">
      <c r="B331" s="58"/>
      <c r="C331" s="60"/>
      <c r="D331" s="52"/>
      <c r="E331" s="63"/>
      <c r="F331" s="8">
        <v>0.58333333333333337</v>
      </c>
      <c r="G331" s="67"/>
      <c r="H331" s="68"/>
      <c r="I331" s="35"/>
      <c r="J331" s="9" t="str">
        <f t="shared" si="87"/>
        <v/>
      </c>
      <c r="K331" s="39"/>
      <c r="L331" s="39"/>
      <c r="M331" s="39"/>
      <c r="N331" s="39"/>
      <c r="O331" s="39"/>
      <c r="P331" s="39"/>
      <c r="Q331" s="39"/>
      <c r="R331" s="39"/>
      <c r="S331" s="10">
        <f t="shared" si="88"/>
        <v>0</v>
      </c>
      <c r="T331" s="10">
        <v>100000</v>
      </c>
      <c r="U331" s="10">
        <f t="shared" si="89"/>
        <v>0</v>
      </c>
      <c r="V331" s="4"/>
      <c r="W331" s="4"/>
      <c r="X331" s="4"/>
      <c r="Y331" s="4"/>
    </row>
    <row r="332" spans="2:25" ht="18.75" hidden="1">
      <c r="B332" s="58"/>
      <c r="C332" s="60"/>
      <c r="D332" s="52"/>
      <c r="E332" s="63"/>
      <c r="F332" s="8">
        <v>0.66666666666666663</v>
      </c>
      <c r="G332" s="67"/>
      <c r="H332" s="68"/>
      <c r="I332" s="35"/>
      <c r="J332" s="9" t="str">
        <f t="shared" si="87"/>
        <v/>
      </c>
      <c r="K332" s="39"/>
      <c r="L332" s="39"/>
      <c r="M332" s="39"/>
      <c r="N332" s="39"/>
      <c r="O332" s="39"/>
      <c r="P332" s="39"/>
      <c r="Q332" s="39"/>
      <c r="R332" s="39"/>
      <c r="S332" s="10">
        <f t="shared" si="88"/>
        <v>0</v>
      </c>
      <c r="T332" s="10">
        <v>100000</v>
      </c>
      <c r="U332" s="10">
        <f>T332*S332</f>
        <v>0</v>
      </c>
      <c r="V332" s="4"/>
      <c r="W332" s="4"/>
      <c r="X332" s="4"/>
      <c r="Y332" s="4"/>
    </row>
    <row r="333" spans="2:25" ht="18.75" hidden="1">
      <c r="B333" s="58"/>
      <c r="C333" s="60"/>
      <c r="D333" s="52"/>
      <c r="E333" s="63"/>
      <c r="F333" s="8">
        <v>0.75</v>
      </c>
      <c r="G333" s="67"/>
      <c r="H333" s="68"/>
      <c r="I333" s="35"/>
      <c r="J333" s="9" t="str">
        <f t="shared" si="87"/>
        <v/>
      </c>
      <c r="K333" s="39"/>
      <c r="L333" s="39"/>
      <c r="M333" s="39"/>
      <c r="N333" s="39"/>
      <c r="O333" s="39"/>
      <c r="P333" s="39"/>
      <c r="Q333" s="39"/>
      <c r="R333" s="39"/>
      <c r="S333" s="10">
        <f t="shared" si="88"/>
        <v>0</v>
      </c>
      <c r="T333" s="10">
        <v>100000</v>
      </c>
      <c r="U333" s="10">
        <f t="shared" ref="U333:U340" si="90">T333*S333</f>
        <v>0</v>
      </c>
      <c r="V333" s="4"/>
      <c r="W333" s="4"/>
      <c r="X333" s="11"/>
      <c r="Y333" s="4"/>
    </row>
    <row r="334" spans="2:25" ht="18.75" hidden="1">
      <c r="B334" s="58"/>
      <c r="C334" s="60"/>
      <c r="D334" s="53"/>
      <c r="E334" s="64"/>
      <c r="F334" s="12">
        <v>0.83333333333333337</v>
      </c>
      <c r="G334" s="67"/>
      <c r="H334" s="68"/>
      <c r="I334" s="36"/>
      <c r="J334" s="9" t="str">
        <f t="shared" si="87"/>
        <v/>
      </c>
      <c r="K334" s="41"/>
      <c r="L334" s="41"/>
      <c r="M334" s="41"/>
      <c r="N334" s="41"/>
      <c r="O334" s="41"/>
      <c r="P334" s="41"/>
      <c r="Q334" s="41"/>
      <c r="R334" s="41"/>
      <c r="S334" s="13">
        <f t="shared" si="88"/>
        <v>0</v>
      </c>
      <c r="T334" s="13">
        <v>100000</v>
      </c>
      <c r="U334" s="13">
        <f t="shared" si="90"/>
        <v>0</v>
      </c>
      <c r="V334" s="4"/>
      <c r="Y334" s="4"/>
    </row>
    <row r="335" spans="2:25" ht="18.75" hidden="1">
      <c r="B335" s="58"/>
      <c r="C335" s="60"/>
      <c r="D335" s="51"/>
      <c r="E335" s="62" t="s">
        <v>102</v>
      </c>
      <c r="F335" s="5">
        <v>0.91666666666666663</v>
      </c>
      <c r="G335" s="65"/>
      <c r="H335" s="66"/>
      <c r="I335" s="34"/>
      <c r="J335" s="6" t="str">
        <f t="shared" si="87"/>
        <v/>
      </c>
      <c r="K335" s="38"/>
      <c r="L335" s="38"/>
      <c r="M335" s="38"/>
      <c r="N335" s="38"/>
      <c r="O335" s="38"/>
      <c r="P335" s="38"/>
      <c r="Q335" s="38"/>
      <c r="R335" s="38"/>
      <c r="S335" s="7">
        <f t="shared" si="88"/>
        <v>0</v>
      </c>
      <c r="T335" s="7">
        <v>100000</v>
      </c>
      <c r="U335" s="7">
        <f t="shared" si="90"/>
        <v>0</v>
      </c>
      <c r="V335" s="4"/>
      <c r="Y335" s="4"/>
    </row>
    <row r="336" spans="2:25" ht="18.75" hidden="1">
      <c r="B336" s="58"/>
      <c r="C336" s="60"/>
      <c r="D336" s="52"/>
      <c r="E336" s="63"/>
      <c r="F336" s="8">
        <v>1</v>
      </c>
      <c r="G336" s="67"/>
      <c r="H336" s="68"/>
      <c r="I336" s="35"/>
      <c r="J336" s="9" t="str">
        <f t="shared" si="87"/>
        <v/>
      </c>
      <c r="K336" s="39"/>
      <c r="L336" s="39"/>
      <c r="M336" s="39"/>
      <c r="N336" s="39"/>
      <c r="O336" s="39"/>
      <c r="P336" s="39"/>
      <c r="Q336" s="39"/>
      <c r="R336" s="39"/>
      <c r="S336" s="10">
        <f t="shared" si="88"/>
        <v>0</v>
      </c>
      <c r="T336" s="10">
        <v>100000</v>
      </c>
      <c r="U336" s="10">
        <f t="shared" si="90"/>
        <v>0</v>
      </c>
      <c r="V336" s="4"/>
      <c r="Y336" s="4"/>
    </row>
    <row r="337" spans="2:25" ht="18.75" hidden="1">
      <c r="B337" s="58"/>
      <c r="C337" s="60"/>
      <c r="D337" s="52"/>
      <c r="E337" s="63"/>
      <c r="F337" s="8">
        <v>8.3333333333333329E-2</v>
      </c>
      <c r="G337" s="67"/>
      <c r="H337" s="68"/>
      <c r="I337" s="35"/>
      <c r="J337" s="9" t="str">
        <f t="shared" si="87"/>
        <v/>
      </c>
      <c r="K337" s="39"/>
      <c r="L337" s="39"/>
      <c r="M337" s="39"/>
      <c r="N337" s="39"/>
      <c r="O337" s="39"/>
      <c r="P337" s="39"/>
      <c r="Q337" s="39"/>
      <c r="R337" s="39"/>
      <c r="S337" s="10">
        <f t="shared" si="88"/>
        <v>0</v>
      </c>
      <c r="T337" s="10">
        <v>100000</v>
      </c>
      <c r="U337" s="10">
        <f t="shared" si="90"/>
        <v>0</v>
      </c>
      <c r="V337" s="4"/>
      <c r="Y337" s="4"/>
    </row>
    <row r="338" spans="2:25" ht="18.75" hidden="1">
      <c r="B338" s="58"/>
      <c r="C338" s="60"/>
      <c r="D338" s="52"/>
      <c r="E338" s="63"/>
      <c r="F338" s="8">
        <v>0.16666666666666666</v>
      </c>
      <c r="G338" s="67"/>
      <c r="H338" s="68"/>
      <c r="I338" s="35"/>
      <c r="J338" s="9" t="str">
        <f t="shared" si="87"/>
        <v/>
      </c>
      <c r="K338" s="39"/>
      <c r="L338" s="39"/>
      <c r="M338" s="39"/>
      <c r="N338" s="39"/>
      <c r="O338" s="39"/>
      <c r="P338" s="39"/>
      <c r="Q338" s="39"/>
      <c r="R338" s="39"/>
      <c r="S338" s="10">
        <f t="shared" si="88"/>
        <v>0</v>
      </c>
      <c r="T338" s="10">
        <v>100000</v>
      </c>
      <c r="U338" s="10">
        <f t="shared" si="90"/>
        <v>0</v>
      </c>
      <c r="V338" s="4"/>
      <c r="W338" s="4"/>
      <c r="X338" s="4"/>
      <c r="Y338" s="4"/>
    </row>
    <row r="339" spans="2:25" ht="18.75" hidden="1">
      <c r="B339" s="58"/>
      <c r="C339" s="60"/>
      <c r="D339" s="52"/>
      <c r="E339" s="63"/>
      <c r="F339" s="8">
        <v>0.25</v>
      </c>
      <c r="G339" s="67"/>
      <c r="H339" s="68"/>
      <c r="I339" s="35"/>
      <c r="J339" s="9" t="str">
        <f t="shared" si="87"/>
        <v/>
      </c>
      <c r="K339" s="39"/>
      <c r="L339" s="39"/>
      <c r="M339" s="39"/>
      <c r="N339" s="39"/>
      <c r="O339" s="39"/>
      <c r="P339" s="39"/>
      <c r="Q339" s="39"/>
      <c r="R339" s="39"/>
      <c r="S339" s="10">
        <f t="shared" si="88"/>
        <v>0</v>
      </c>
      <c r="T339" s="10">
        <v>100000</v>
      </c>
      <c r="U339" s="10">
        <f t="shared" si="90"/>
        <v>0</v>
      </c>
      <c r="V339" s="4"/>
      <c r="Y339" s="4"/>
    </row>
    <row r="340" spans="2:25" ht="18.75" hidden="1">
      <c r="B340" s="58"/>
      <c r="C340" s="61"/>
      <c r="D340" s="53"/>
      <c r="E340" s="69"/>
      <c r="F340" s="14">
        <v>0.33333333333333331</v>
      </c>
      <c r="G340" s="67"/>
      <c r="H340" s="68"/>
      <c r="I340" s="37"/>
      <c r="J340" s="15" t="str">
        <f t="shared" si="87"/>
        <v/>
      </c>
      <c r="K340" s="40"/>
      <c r="L340" s="40"/>
      <c r="M340" s="40"/>
      <c r="N340" s="40"/>
      <c r="O340" s="40"/>
      <c r="P340" s="40"/>
      <c r="Q340" s="40"/>
      <c r="R340" s="40"/>
      <c r="S340" s="16">
        <f t="shared" si="88"/>
        <v>0</v>
      </c>
      <c r="T340" s="16">
        <v>100000</v>
      </c>
      <c r="U340" s="16">
        <f t="shared" si="90"/>
        <v>0</v>
      </c>
      <c r="V340" s="4"/>
      <c r="W340" s="4"/>
      <c r="X340" s="4"/>
      <c r="Y340" s="4"/>
    </row>
    <row r="341" spans="2:25" ht="38.25" hidden="1" customHeight="1">
      <c r="B341" s="58">
        <v>46109</v>
      </c>
      <c r="C341" s="59" t="s">
        <v>17</v>
      </c>
      <c r="D341" s="51"/>
      <c r="E341" s="62" t="s">
        <v>101</v>
      </c>
      <c r="F341" s="5">
        <v>0.41666666666666669</v>
      </c>
      <c r="G341" s="65"/>
      <c r="H341" s="66"/>
      <c r="I341" s="34"/>
      <c r="J341" s="6" t="str">
        <f t="shared" si="87"/>
        <v/>
      </c>
      <c r="K341" s="38"/>
      <c r="L341" s="38"/>
      <c r="M341" s="38"/>
      <c r="N341" s="38"/>
      <c r="O341" s="38"/>
      <c r="P341" s="38"/>
      <c r="Q341" s="38"/>
      <c r="R341" s="38"/>
      <c r="S341" s="7">
        <f>SUM(K341:R341)</f>
        <v>0</v>
      </c>
      <c r="T341" s="7">
        <v>100000</v>
      </c>
      <c r="U341" s="7">
        <f>T341*S341</f>
        <v>0</v>
      </c>
      <c r="V341" s="4"/>
      <c r="W341" s="4"/>
      <c r="X341" s="4"/>
      <c r="Y341" s="4"/>
    </row>
    <row r="342" spans="2:25" ht="18.75" hidden="1">
      <c r="B342" s="58"/>
      <c r="C342" s="60"/>
      <c r="D342" s="52"/>
      <c r="E342" s="63"/>
      <c r="F342" s="8">
        <v>0.5</v>
      </c>
      <c r="G342" s="67"/>
      <c r="H342" s="68"/>
      <c r="I342" s="35"/>
      <c r="J342" s="9" t="str">
        <f t="shared" si="87"/>
        <v/>
      </c>
      <c r="K342" s="39"/>
      <c r="L342" s="39"/>
      <c r="M342" s="39"/>
      <c r="N342" s="39"/>
      <c r="O342" s="39"/>
      <c r="P342" s="39"/>
      <c r="Q342" s="39"/>
      <c r="R342" s="39"/>
      <c r="S342" s="10">
        <f t="shared" ref="S342:S352" si="91">SUM(K342:R342)</f>
        <v>0</v>
      </c>
      <c r="T342" s="10">
        <v>100000</v>
      </c>
      <c r="U342" s="10">
        <f t="shared" ref="U342:U343" si="92">T342*S342</f>
        <v>0</v>
      </c>
      <c r="V342" s="4"/>
      <c r="W342" s="4"/>
      <c r="X342" s="4"/>
      <c r="Y342" s="4"/>
    </row>
    <row r="343" spans="2:25" ht="18.75" hidden="1">
      <c r="B343" s="58"/>
      <c r="C343" s="60"/>
      <c r="D343" s="52"/>
      <c r="E343" s="63"/>
      <c r="F343" s="8">
        <v>0.58333333333333337</v>
      </c>
      <c r="G343" s="67"/>
      <c r="H343" s="68"/>
      <c r="I343" s="35"/>
      <c r="J343" s="9" t="str">
        <f t="shared" si="87"/>
        <v/>
      </c>
      <c r="K343" s="39"/>
      <c r="L343" s="39"/>
      <c r="M343" s="39"/>
      <c r="N343" s="39"/>
      <c r="O343" s="39"/>
      <c r="P343" s="39"/>
      <c r="Q343" s="39"/>
      <c r="R343" s="39"/>
      <c r="S343" s="10">
        <f t="shared" si="91"/>
        <v>0</v>
      </c>
      <c r="T343" s="10">
        <v>100000</v>
      </c>
      <c r="U343" s="10">
        <f t="shared" si="92"/>
        <v>0</v>
      </c>
      <c r="V343" s="4"/>
      <c r="W343" s="4"/>
      <c r="X343" s="4"/>
      <c r="Y343" s="4"/>
    </row>
    <row r="344" spans="2:25" ht="18.75" hidden="1">
      <c r="B344" s="58"/>
      <c r="C344" s="60"/>
      <c r="D344" s="52"/>
      <c r="E344" s="63"/>
      <c r="F344" s="8">
        <v>0.66666666666666663</v>
      </c>
      <c r="G344" s="67"/>
      <c r="H344" s="68"/>
      <c r="I344" s="35"/>
      <c r="J344" s="9" t="str">
        <f t="shared" si="87"/>
        <v/>
      </c>
      <c r="K344" s="39"/>
      <c r="L344" s="39"/>
      <c r="M344" s="39"/>
      <c r="N344" s="39"/>
      <c r="O344" s="39"/>
      <c r="P344" s="39"/>
      <c r="Q344" s="39"/>
      <c r="R344" s="39"/>
      <c r="S344" s="10">
        <f t="shared" si="91"/>
        <v>0</v>
      </c>
      <c r="T344" s="10">
        <v>100000</v>
      </c>
      <c r="U344" s="10">
        <f>T344*S344</f>
        <v>0</v>
      </c>
      <c r="V344" s="4"/>
      <c r="W344" s="4"/>
      <c r="X344" s="4"/>
      <c r="Y344" s="4"/>
    </row>
    <row r="345" spans="2:25" ht="18.75" hidden="1">
      <c r="B345" s="58"/>
      <c r="C345" s="60"/>
      <c r="D345" s="52"/>
      <c r="E345" s="63"/>
      <c r="F345" s="8">
        <v>0.75</v>
      </c>
      <c r="G345" s="67"/>
      <c r="H345" s="68"/>
      <c r="I345" s="35"/>
      <c r="J345" s="9" t="str">
        <f t="shared" si="87"/>
        <v/>
      </c>
      <c r="K345" s="39"/>
      <c r="L345" s="39"/>
      <c r="M345" s="39"/>
      <c r="N345" s="39"/>
      <c r="O345" s="39"/>
      <c r="P345" s="39"/>
      <c r="Q345" s="39"/>
      <c r="R345" s="39"/>
      <c r="S345" s="10">
        <f t="shared" si="91"/>
        <v>0</v>
      </c>
      <c r="T345" s="10">
        <v>100000</v>
      </c>
      <c r="U345" s="10">
        <f t="shared" ref="U345:U352" si="93">T345*S345</f>
        <v>0</v>
      </c>
      <c r="V345" s="4"/>
      <c r="W345" s="4"/>
      <c r="X345" s="11"/>
      <c r="Y345" s="4"/>
    </row>
    <row r="346" spans="2:25" ht="18.75" hidden="1">
      <c r="B346" s="58"/>
      <c r="C346" s="60"/>
      <c r="D346" s="53"/>
      <c r="E346" s="64"/>
      <c r="F346" s="12">
        <v>0.83333333333333337</v>
      </c>
      <c r="G346" s="67"/>
      <c r="H346" s="68"/>
      <c r="I346" s="36"/>
      <c r="J346" s="9" t="str">
        <f t="shared" si="87"/>
        <v/>
      </c>
      <c r="K346" s="41"/>
      <c r="L346" s="41"/>
      <c r="M346" s="41"/>
      <c r="N346" s="41"/>
      <c r="O346" s="41"/>
      <c r="P346" s="41"/>
      <c r="Q346" s="41"/>
      <c r="R346" s="41"/>
      <c r="S346" s="13">
        <f t="shared" si="91"/>
        <v>0</v>
      </c>
      <c r="T346" s="13">
        <v>100000</v>
      </c>
      <c r="U346" s="13">
        <f t="shared" si="93"/>
        <v>0</v>
      </c>
      <c r="V346" s="4"/>
      <c r="Y346" s="4"/>
    </row>
    <row r="347" spans="2:25" ht="18.75" hidden="1">
      <c r="B347" s="58"/>
      <c r="C347" s="60"/>
      <c r="D347" s="51"/>
      <c r="E347" s="62" t="s">
        <v>102</v>
      </c>
      <c r="F347" s="5">
        <v>0.91666666666666663</v>
      </c>
      <c r="G347" s="65"/>
      <c r="H347" s="66"/>
      <c r="I347" s="34"/>
      <c r="J347" s="6" t="str">
        <f t="shared" si="87"/>
        <v/>
      </c>
      <c r="K347" s="38"/>
      <c r="L347" s="38"/>
      <c r="M347" s="38"/>
      <c r="N347" s="38"/>
      <c r="O347" s="38"/>
      <c r="P347" s="38"/>
      <c r="Q347" s="38"/>
      <c r="R347" s="38"/>
      <c r="S347" s="7">
        <f t="shared" si="91"/>
        <v>0</v>
      </c>
      <c r="T347" s="7">
        <v>100000</v>
      </c>
      <c r="U347" s="7">
        <f t="shared" si="93"/>
        <v>0</v>
      </c>
      <c r="V347" s="4"/>
      <c r="Y347" s="4"/>
    </row>
    <row r="348" spans="2:25" ht="18.75" hidden="1">
      <c r="B348" s="58"/>
      <c r="C348" s="60"/>
      <c r="D348" s="52"/>
      <c r="E348" s="63"/>
      <c r="F348" s="8">
        <v>1</v>
      </c>
      <c r="G348" s="67"/>
      <c r="H348" s="68"/>
      <c r="I348" s="35"/>
      <c r="J348" s="9" t="str">
        <f t="shared" si="87"/>
        <v/>
      </c>
      <c r="K348" s="39"/>
      <c r="L348" s="39"/>
      <c r="M348" s="39"/>
      <c r="N348" s="39"/>
      <c r="O348" s="39"/>
      <c r="P348" s="39"/>
      <c r="Q348" s="39"/>
      <c r="R348" s="39"/>
      <c r="S348" s="10">
        <f t="shared" si="91"/>
        <v>0</v>
      </c>
      <c r="T348" s="10">
        <v>100000</v>
      </c>
      <c r="U348" s="10">
        <f t="shared" si="93"/>
        <v>0</v>
      </c>
      <c r="V348" s="4"/>
      <c r="Y348" s="4"/>
    </row>
    <row r="349" spans="2:25" ht="18.75" hidden="1">
      <c r="B349" s="58"/>
      <c r="C349" s="60"/>
      <c r="D349" s="52"/>
      <c r="E349" s="63"/>
      <c r="F349" s="8">
        <v>8.3333333333333329E-2</v>
      </c>
      <c r="G349" s="67"/>
      <c r="H349" s="68"/>
      <c r="I349" s="35"/>
      <c r="J349" s="9" t="str">
        <f t="shared" si="87"/>
        <v/>
      </c>
      <c r="K349" s="39"/>
      <c r="L349" s="39"/>
      <c r="M349" s="39"/>
      <c r="N349" s="39"/>
      <c r="O349" s="39"/>
      <c r="P349" s="39"/>
      <c r="Q349" s="39"/>
      <c r="R349" s="39"/>
      <c r="S349" s="10">
        <f t="shared" si="91"/>
        <v>0</v>
      </c>
      <c r="T349" s="10">
        <v>100000</v>
      </c>
      <c r="U349" s="10">
        <f t="shared" si="93"/>
        <v>0</v>
      </c>
      <c r="V349" s="4"/>
      <c r="Y349" s="4"/>
    </row>
    <row r="350" spans="2:25" ht="18.75" hidden="1">
      <c r="B350" s="58"/>
      <c r="C350" s="60"/>
      <c r="D350" s="52"/>
      <c r="E350" s="63"/>
      <c r="F350" s="8">
        <v>0.16666666666666666</v>
      </c>
      <c r="G350" s="67"/>
      <c r="H350" s="68"/>
      <c r="I350" s="35"/>
      <c r="J350" s="9" t="str">
        <f t="shared" si="87"/>
        <v/>
      </c>
      <c r="K350" s="39"/>
      <c r="L350" s="39"/>
      <c r="M350" s="39"/>
      <c r="N350" s="39"/>
      <c r="O350" s="39"/>
      <c r="P350" s="39"/>
      <c r="Q350" s="39"/>
      <c r="R350" s="39"/>
      <c r="S350" s="10">
        <f t="shared" si="91"/>
        <v>0</v>
      </c>
      <c r="T350" s="10">
        <v>100000</v>
      </c>
      <c r="U350" s="10">
        <f t="shared" si="93"/>
        <v>0</v>
      </c>
      <c r="V350" s="4"/>
      <c r="W350" s="4"/>
      <c r="X350" s="4"/>
      <c r="Y350" s="4"/>
    </row>
    <row r="351" spans="2:25" ht="18.75" hidden="1">
      <c r="B351" s="58"/>
      <c r="C351" s="60"/>
      <c r="D351" s="52"/>
      <c r="E351" s="63"/>
      <c r="F351" s="8">
        <v>0.25</v>
      </c>
      <c r="G351" s="67"/>
      <c r="H351" s="68"/>
      <c r="I351" s="35"/>
      <c r="J351" s="9" t="str">
        <f t="shared" si="87"/>
        <v/>
      </c>
      <c r="K351" s="39"/>
      <c r="L351" s="39"/>
      <c r="M351" s="39"/>
      <c r="N351" s="39"/>
      <c r="O351" s="39"/>
      <c r="P351" s="39"/>
      <c r="Q351" s="39"/>
      <c r="R351" s="39"/>
      <c r="S351" s="10">
        <f t="shared" si="91"/>
        <v>0</v>
      </c>
      <c r="T351" s="10">
        <v>100000</v>
      </c>
      <c r="U351" s="10">
        <f t="shared" si="93"/>
        <v>0</v>
      </c>
      <c r="V351" s="4"/>
      <c r="Y351" s="4"/>
    </row>
    <row r="352" spans="2:25" ht="18.75" hidden="1">
      <c r="B352" s="58"/>
      <c r="C352" s="61"/>
      <c r="D352" s="53"/>
      <c r="E352" s="69"/>
      <c r="F352" s="14">
        <v>0.33333333333333331</v>
      </c>
      <c r="G352" s="67"/>
      <c r="H352" s="68"/>
      <c r="I352" s="37"/>
      <c r="J352" s="15" t="str">
        <f t="shared" si="87"/>
        <v/>
      </c>
      <c r="K352" s="40"/>
      <c r="L352" s="40"/>
      <c r="M352" s="40"/>
      <c r="N352" s="40"/>
      <c r="O352" s="40"/>
      <c r="P352" s="40"/>
      <c r="Q352" s="40"/>
      <c r="R352" s="40"/>
      <c r="S352" s="16">
        <f t="shared" si="91"/>
        <v>0</v>
      </c>
      <c r="T352" s="16">
        <v>100000</v>
      </c>
      <c r="U352" s="16">
        <f t="shared" si="93"/>
        <v>0</v>
      </c>
      <c r="V352" s="4"/>
      <c r="W352" s="4"/>
      <c r="X352" s="4"/>
      <c r="Y352" s="4"/>
    </row>
    <row r="353" spans="2:25" ht="38.25" hidden="1" customHeight="1">
      <c r="B353" s="58">
        <v>46110</v>
      </c>
      <c r="C353" s="59" t="s">
        <v>17</v>
      </c>
      <c r="D353" s="51"/>
      <c r="E353" s="62" t="s">
        <v>101</v>
      </c>
      <c r="F353" s="5">
        <v>0.41666666666666669</v>
      </c>
      <c r="G353" s="65"/>
      <c r="H353" s="66"/>
      <c r="I353" s="34"/>
      <c r="J353" s="6" t="str">
        <f t="shared" si="87"/>
        <v/>
      </c>
      <c r="K353" s="38"/>
      <c r="L353" s="38"/>
      <c r="M353" s="38"/>
      <c r="N353" s="38"/>
      <c r="O353" s="38"/>
      <c r="P353" s="38"/>
      <c r="Q353" s="38"/>
      <c r="R353" s="38"/>
      <c r="S353" s="7">
        <f>SUM(K353:R353)</f>
        <v>0</v>
      </c>
      <c r="T353" s="7">
        <v>100000</v>
      </c>
      <c r="U353" s="7">
        <f>T353*S353</f>
        <v>0</v>
      </c>
      <c r="V353" s="4"/>
      <c r="W353" s="4"/>
      <c r="X353" s="4"/>
      <c r="Y353" s="4"/>
    </row>
    <row r="354" spans="2:25" ht="18.75" hidden="1">
      <c r="B354" s="58"/>
      <c r="C354" s="60"/>
      <c r="D354" s="52"/>
      <c r="E354" s="63"/>
      <c r="F354" s="8">
        <v>0.5</v>
      </c>
      <c r="G354" s="67"/>
      <c r="H354" s="68"/>
      <c r="I354" s="35"/>
      <c r="J354" s="9" t="str">
        <f t="shared" si="87"/>
        <v/>
      </c>
      <c r="K354" s="39"/>
      <c r="L354" s="39"/>
      <c r="M354" s="39"/>
      <c r="N354" s="39"/>
      <c r="O354" s="39"/>
      <c r="P354" s="39"/>
      <c r="Q354" s="39"/>
      <c r="R354" s="39"/>
      <c r="S354" s="10">
        <f t="shared" ref="S354:S364" si="94">SUM(K354:R354)</f>
        <v>0</v>
      </c>
      <c r="T354" s="10">
        <v>100000</v>
      </c>
      <c r="U354" s="10">
        <f t="shared" ref="U354:U355" si="95">T354*S354</f>
        <v>0</v>
      </c>
      <c r="V354" s="4"/>
      <c r="W354" s="4"/>
      <c r="X354" s="4"/>
      <c r="Y354" s="4"/>
    </row>
    <row r="355" spans="2:25" ht="18.75" hidden="1">
      <c r="B355" s="58"/>
      <c r="C355" s="60"/>
      <c r="D355" s="52"/>
      <c r="E355" s="63"/>
      <c r="F355" s="8">
        <v>0.58333333333333337</v>
      </c>
      <c r="G355" s="67"/>
      <c r="H355" s="68"/>
      <c r="I355" s="35"/>
      <c r="J355" s="9" t="str">
        <f t="shared" si="87"/>
        <v/>
      </c>
      <c r="K355" s="39"/>
      <c r="L355" s="39"/>
      <c r="M355" s="39"/>
      <c r="N355" s="39"/>
      <c r="O355" s="39"/>
      <c r="P355" s="39"/>
      <c r="Q355" s="39"/>
      <c r="R355" s="39"/>
      <c r="S355" s="10">
        <f t="shared" si="94"/>
        <v>0</v>
      </c>
      <c r="T355" s="10">
        <v>100000</v>
      </c>
      <c r="U355" s="10">
        <f t="shared" si="95"/>
        <v>0</v>
      </c>
      <c r="V355" s="4"/>
      <c r="W355" s="4"/>
      <c r="X355" s="4"/>
      <c r="Y355" s="4"/>
    </row>
    <row r="356" spans="2:25" ht="18.75" hidden="1">
      <c r="B356" s="58"/>
      <c r="C356" s="60"/>
      <c r="D356" s="52"/>
      <c r="E356" s="63"/>
      <c r="F356" s="8">
        <v>0.66666666666666663</v>
      </c>
      <c r="G356" s="67"/>
      <c r="H356" s="68"/>
      <c r="I356" s="35"/>
      <c r="J356" s="9" t="str">
        <f t="shared" si="87"/>
        <v/>
      </c>
      <c r="K356" s="39"/>
      <c r="L356" s="39"/>
      <c r="M356" s="39"/>
      <c r="N356" s="39"/>
      <c r="O356" s="39"/>
      <c r="P356" s="39"/>
      <c r="Q356" s="39"/>
      <c r="R356" s="39"/>
      <c r="S356" s="10">
        <f t="shared" si="94"/>
        <v>0</v>
      </c>
      <c r="T356" s="10">
        <v>100000</v>
      </c>
      <c r="U356" s="10">
        <f>T356*S356</f>
        <v>0</v>
      </c>
      <c r="V356" s="4"/>
      <c r="W356" s="4"/>
      <c r="X356" s="4"/>
      <c r="Y356" s="4"/>
    </row>
    <row r="357" spans="2:25" ht="18.75" hidden="1">
      <c r="B357" s="58"/>
      <c r="C357" s="60"/>
      <c r="D357" s="52"/>
      <c r="E357" s="63"/>
      <c r="F357" s="8">
        <v>0.75</v>
      </c>
      <c r="G357" s="67"/>
      <c r="H357" s="68"/>
      <c r="I357" s="35"/>
      <c r="J357" s="9" t="str">
        <f t="shared" si="87"/>
        <v/>
      </c>
      <c r="K357" s="39"/>
      <c r="L357" s="39"/>
      <c r="M357" s="39"/>
      <c r="N357" s="39"/>
      <c r="O357" s="39"/>
      <c r="P357" s="39"/>
      <c r="Q357" s="39"/>
      <c r="R357" s="39"/>
      <c r="S357" s="10">
        <f t="shared" si="94"/>
        <v>0</v>
      </c>
      <c r="T357" s="10">
        <v>100000</v>
      </c>
      <c r="U357" s="10">
        <f t="shared" ref="U357:U364" si="96">T357*S357</f>
        <v>0</v>
      </c>
      <c r="V357" s="4"/>
      <c r="W357" s="4"/>
      <c r="X357" s="11"/>
      <c r="Y357" s="4"/>
    </row>
    <row r="358" spans="2:25" ht="18.75" hidden="1">
      <c r="B358" s="58"/>
      <c r="C358" s="60"/>
      <c r="D358" s="53"/>
      <c r="E358" s="64"/>
      <c r="F358" s="12">
        <v>0.83333333333333337</v>
      </c>
      <c r="G358" s="67"/>
      <c r="H358" s="68"/>
      <c r="I358" s="36"/>
      <c r="J358" s="9" t="str">
        <f t="shared" si="87"/>
        <v/>
      </c>
      <c r="K358" s="41"/>
      <c r="L358" s="41"/>
      <c r="M358" s="41"/>
      <c r="N358" s="41"/>
      <c r="O358" s="41"/>
      <c r="P358" s="41"/>
      <c r="Q358" s="41"/>
      <c r="R358" s="41"/>
      <c r="S358" s="13">
        <f t="shared" si="94"/>
        <v>0</v>
      </c>
      <c r="T358" s="13">
        <v>100000</v>
      </c>
      <c r="U358" s="13">
        <f t="shared" si="96"/>
        <v>0</v>
      </c>
      <c r="V358" s="4"/>
      <c r="Y358" s="4"/>
    </row>
    <row r="359" spans="2:25" ht="18.75" hidden="1">
      <c r="B359" s="58"/>
      <c r="C359" s="60"/>
      <c r="D359" s="51"/>
      <c r="E359" s="62" t="s">
        <v>102</v>
      </c>
      <c r="F359" s="5">
        <v>0.91666666666666663</v>
      </c>
      <c r="G359" s="65"/>
      <c r="H359" s="66"/>
      <c r="I359" s="34"/>
      <c r="J359" s="6" t="str">
        <f t="shared" si="87"/>
        <v/>
      </c>
      <c r="K359" s="38"/>
      <c r="L359" s="38"/>
      <c r="M359" s="38"/>
      <c r="N359" s="38"/>
      <c r="O359" s="38"/>
      <c r="P359" s="38"/>
      <c r="Q359" s="38"/>
      <c r="R359" s="38"/>
      <c r="S359" s="7">
        <f t="shared" si="94"/>
        <v>0</v>
      </c>
      <c r="T359" s="7">
        <v>100000</v>
      </c>
      <c r="U359" s="7">
        <f t="shared" si="96"/>
        <v>0</v>
      </c>
      <c r="V359" s="4"/>
      <c r="Y359" s="4"/>
    </row>
    <row r="360" spans="2:25" ht="18.75" hidden="1">
      <c r="B360" s="58"/>
      <c r="C360" s="60"/>
      <c r="D360" s="52"/>
      <c r="E360" s="63"/>
      <c r="F360" s="8">
        <v>1</v>
      </c>
      <c r="G360" s="67"/>
      <c r="H360" s="68"/>
      <c r="I360" s="35"/>
      <c r="J360" s="9" t="str">
        <f t="shared" si="87"/>
        <v/>
      </c>
      <c r="K360" s="39"/>
      <c r="L360" s="39"/>
      <c r="M360" s="39"/>
      <c r="N360" s="39"/>
      <c r="O360" s="39"/>
      <c r="P360" s="39"/>
      <c r="Q360" s="39"/>
      <c r="R360" s="39"/>
      <c r="S360" s="10">
        <f t="shared" si="94"/>
        <v>0</v>
      </c>
      <c r="T360" s="10">
        <v>100000</v>
      </c>
      <c r="U360" s="10">
        <f t="shared" si="96"/>
        <v>0</v>
      </c>
      <c r="V360" s="4"/>
      <c r="Y360" s="4"/>
    </row>
    <row r="361" spans="2:25" ht="18.75" hidden="1">
      <c r="B361" s="58"/>
      <c r="C361" s="60"/>
      <c r="D361" s="52"/>
      <c r="E361" s="63"/>
      <c r="F361" s="8">
        <v>8.3333333333333329E-2</v>
      </c>
      <c r="G361" s="67"/>
      <c r="H361" s="68"/>
      <c r="I361" s="35"/>
      <c r="J361" s="9" t="str">
        <f t="shared" si="87"/>
        <v/>
      </c>
      <c r="K361" s="39"/>
      <c r="L361" s="39"/>
      <c r="M361" s="39"/>
      <c r="N361" s="39"/>
      <c r="O361" s="39"/>
      <c r="P361" s="39"/>
      <c r="Q361" s="39"/>
      <c r="R361" s="39"/>
      <c r="S361" s="10">
        <f t="shared" si="94"/>
        <v>0</v>
      </c>
      <c r="T361" s="10">
        <v>100000</v>
      </c>
      <c r="U361" s="10">
        <f t="shared" si="96"/>
        <v>0</v>
      </c>
      <c r="V361" s="4"/>
      <c r="Y361" s="4"/>
    </row>
    <row r="362" spans="2:25" ht="18.75" hidden="1">
      <c r="B362" s="58"/>
      <c r="C362" s="60"/>
      <c r="D362" s="52"/>
      <c r="E362" s="63"/>
      <c r="F362" s="8">
        <v>0.16666666666666666</v>
      </c>
      <c r="G362" s="67"/>
      <c r="H362" s="68"/>
      <c r="I362" s="35"/>
      <c r="J362" s="9" t="str">
        <f t="shared" si="87"/>
        <v/>
      </c>
      <c r="K362" s="39"/>
      <c r="L362" s="39"/>
      <c r="M362" s="39"/>
      <c r="N362" s="39"/>
      <c r="O362" s="39"/>
      <c r="P362" s="39"/>
      <c r="Q362" s="39"/>
      <c r="R362" s="39"/>
      <c r="S362" s="10">
        <f t="shared" si="94"/>
        <v>0</v>
      </c>
      <c r="T362" s="10">
        <v>100000</v>
      </c>
      <c r="U362" s="10">
        <f t="shared" si="96"/>
        <v>0</v>
      </c>
      <c r="V362" s="4"/>
      <c r="W362" s="4"/>
      <c r="X362" s="4"/>
      <c r="Y362" s="4"/>
    </row>
    <row r="363" spans="2:25" ht="18.75" hidden="1">
      <c r="B363" s="58"/>
      <c r="C363" s="60"/>
      <c r="D363" s="52"/>
      <c r="E363" s="63"/>
      <c r="F363" s="8">
        <v>0.25</v>
      </c>
      <c r="G363" s="67"/>
      <c r="H363" s="68"/>
      <c r="I363" s="35"/>
      <c r="J363" s="9" t="str">
        <f t="shared" si="87"/>
        <v/>
      </c>
      <c r="K363" s="39"/>
      <c r="L363" s="39"/>
      <c r="M363" s="39"/>
      <c r="N363" s="39"/>
      <c r="O363" s="39"/>
      <c r="P363" s="39"/>
      <c r="Q363" s="39"/>
      <c r="R363" s="39"/>
      <c r="S363" s="10">
        <f t="shared" si="94"/>
        <v>0</v>
      </c>
      <c r="T363" s="10">
        <v>100000</v>
      </c>
      <c r="U363" s="10">
        <f t="shared" si="96"/>
        <v>0</v>
      </c>
      <c r="V363" s="4"/>
      <c r="Y363" s="4"/>
    </row>
    <row r="364" spans="2:25" ht="18.75" hidden="1">
      <c r="B364" s="58"/>
      <c r="C364" s="61"/>
      <c r="D364" s="53"/>
      <c r="E364" s="69"/>
      <c r="F364" s="14">
        <v>0.33333333333333331</v>
      </c>
      <c r="G364" s="67"/>
      <c r="H364" s="68"/>
      <c r="I364" s="37"/>
      <c r="J364" s="15" t="str">
        <f t="shared" si="87"/>
        <v/>
      </c>
      <c r="K364" s="40"/>
      <c r="L364" s="40"/>
      <c r="M364" s="40"/>
      <c r="N364" s="40"/>
      <c r="O364" s="40"/>
      <c r="P364" s="40"/>
      <c r="Q364" s="40"/>
      <c r="R364" s="40"/>
      <c r="S364" s="16">
        <f t="shared" si="94"/>
        <v>0</v>
      </c>
      <c r="T364" s="16">
        <v>100000</v>
      </c>
      <c r="U364" s="16">
        <f t="shared" si="96"/>
        <v>0</v>
      </c>
      <c r="V364" s="4"/>
      <c r="W364" s="4"/>
      <c r="X364" s="4"/>
      <c r="Y364" s="4"/>
    </row>
    <row r="365" spans="2:25" ht="38.25" hidden="1" customHeight="1">
      <c r="B365" s="58">
        <v>46111</v>
      </c>
      <c r="C365" s="59" t="s">
        <v>17</v>
      </c>
      <c r="D365" s="51"/>
      <c r="E365" s="62" t="s">
        <v>101</v>
      </c>
      <c r="F365" s="5">
        <v>0.41666666666666669</v>
      </c>
      <c r="G365" s="65"/>
      <c r="H365" s="66"/>
      <c r="I365" s="34"/>
      <c r="J365" s="6" t="str">
        <f t="shared" ref="J365:J400" si="97">IFERROR(S365/I365,"")</f>
        <v/>
      </c>
      <c r="K365" s="38"/>
      <c r="L365" s="38"/>
      <c r="M365" s="38"/>
      <c r="N365" s="38"/>
      <c r="O365" s="38"/>
      <c r="P365" s="38"/>
      <c r="Q365" s="38"/>
      <c r="R365" s="38"/>
      <c r="S365" s="7">
        <f>SUM(K365:R365)</f>
        <v>0</v>
      </c>
      <c r="T365" s="7">
        <v>100000</v>
      </c>
      <c r="U365" s="7">
        <f>T365*S365</f>
        <v>0</v>
      </c>
      <c r="V365" s="4"/>
      <c r="W365" s="4"/>
      <c r="X365" s="4"/>
      <c r="Y365" s="4"/>
    </row>
    <row r="366" spans="2:25" ht="18.75" hidden="1">
      <c r="B366" s="58"/>
      <c r="C366" s="60"/>
      <c r="D366" s="52"/>
      <c r="E366" s="63"/>
      <c r="F366" s="8">
        <v>0.5</v>
      </c>
      <c r="G366" s="67"/>
      <c r="H366" s="68"/>
      <c r="I366" s="35"/>
      <c r="J366" s="9" t="str">
        <f t="shared" si="97"/>
        <v/>
      </c>
      <c r="K366" s="39"/>
      <c r="L366" s="39"/>
      <c r="M366" s="39"/>
      <c r="N366" s="39"/>
      <c r="O366" s="39"/>
      <c r="P366" s="39"/>
      <c r="Q366" s="39"/>
      <c r="R366" s="39"/>
      <c r="S366" s="10">
        <f t="shared" ref="S366:S376" si="98">SUM(K366:R366)</f>
        <v>0</v>
      </c>
      <c r="T366" s="10">
        <v>100000</v>
      </c>
      <c r="U366" s="10">
        <f t="shared" ref="U366:U367" si="99">T366*S366</f>
        <v>0</v>
      </c>
      <c r="V366" s="4"/>
      <c r="W366" s="4"/>
      <c r="X366" s="4"/>
      <c r="Y366" s="4"/>
    </row>
    <row r="367" spans="2:25" ht="18.75" hidden="1">
      <c r="B367" s="58"/>
      <c r="C367" s="60"/>
      <c r="D367" s="52"/>
      <c r="E367" s="63"/>
      <c r="F367" s="8">
        <v>0.58333333333333337</v>
      </c>
      <c r="G367" s="67"/>
      <c r="H367" s="68"/>
      <c r="I367" s="35"/>
      <c r="J367" s="9" t="str">
        <f t="shared" si="97"/>
        <v/>
      </c>
      <c r="K367" s="39"/>
      <c r="L367" s="39"/>
      <c r="M367" s="39"/>
      <c r="N367" s="39"/>
      <c r="O367" s="39"/>
      <c r="P367" s="39"/>
      <c r="Q367" s="39"/>
      <c r="R367" s="39"/>
      <c r="S367" s="10">
        <f t="shared" si="98"/>
        <v>0</v>
      </c>
      <c r="T367" s="10">
        <v>100000</v>
      </c>
      <c r="U367" s="10">
        <f t="shared" si="99"/>
        <v>0</v>
      </c>
      <c r="V367" s="4"/>
      <c r="W367" s="4"/>
      <c r="X367" s="4"/>
      <c r="Y367" s="4"/>
    </row>
    <row r="368" spans="2:25" ht="18.75" hidden="1">
      <c r="B368" s="58"/>
      <c r="C368" s="60"/>
      <c r="D368" s="52"/>
      <c r="E368" s="63"/>
      <c r="F368" s="8">
        <v>0.66666666666666663</v>
      </c>
      <c r="G368" s="67"/>
      <c r="H368" s="68"/>
      <c r="I368" s="35"/>
      <c r="J368" s="9" t="str">
        <f t="shared" si="97"/>
        <v/>
      </c>
      <c r="K368" s="39"/>
      <c r="L368" s="39"/>
      <c r="M368" s="39"/>
      <c r="N368" s="39"/>
      <c r="O368" s="39"/>
      <c r="P368" s="39"/>
      <c r="Q368" s="39"/>
      <c r="R368" s="39"/>
      <c r="S368" s="10">
        <f t="shared" si="98"/>
        <v>0</v>
      </c>
      <c r="T368" s="10">
        <v>100000</v>
      </c>
      <c r="U368" s="10">
        <f>T368*S368</f>
        <v>0</v>
      </c>
      <c r="V368" s="4"/>
      <c r="W368" s="4"/>
      <c r="X368" s="4"/>
      <c r="Y368" s="4"/>
    </row>
    <row r="369" spans="2:25" ht="18.75" hidden="1">
      <c r="B369" s="58"/>
      <c r="C369" s="60"/>
      <c r="D369" s="52"/>
      <c r="E369" s="63"/>
      <c r="F369" s="8">
        <v>0.75</v>
      </c>
      <c r="G369" s="67"/>
      <c r="H369" s="68"/>
      <c r="I369" s="35"/>
      <c r="J369" s="9" t="str">
        <f t="shared" si="97"/>
        <v/>
      </c>
      <c r="K369" s="39"/>
      <c r="L369" s="39"/>
      <c r="M369" s="39"/>
      <c r="N369" s="39"/>
      <c r="O369" s="39"/>
      <c r="P369" s="39"/>
      <c r="Q369" s="39"/>
      <c r="R369" s="39"/>
      <c r="S369" s="10">
        <f t="shared" si="98"/>
        <v>0</v>
      </c>
      <c r="T369" s="10">
        <v>100000</v>
      </c>
      <c r="U369" s="10">
        <f t="shared" ref="U369:U376" si="100">T369*S369</f>
        <v>0</v>
      </c>
      <c r="V369" s="4"/>
      <c r="W369" s="4"/>
      <c r="X369" s="11"/>
      <c r="Y369" s="4"/>
    </row>
    <row r="370" spans="2:25" ht="18.75" hidden="1">
      <c r="B370" s="58"/>
      <c r="C370" s="60"/>
      <c r="D370" s="53"/>
      <c r="E370" s="64"/>
      <c r="F370" s="12">
        <v>0.83333333333333337</v>
      </c>
      <c r="G370" s="67"/>
      <c r="H370" s="68"/>
      <c r="I370" s="36"/>
      <c r="J370" s="9" t="str">
        <f t="shared" si="97"/>
        <v/>
      </c>
      <c r="K370" s="41"/>
      <c r="L370" s="41"/>
      <c r="M370" s="41"/>
      <c r="N370" s="41"/>
      <c r="O370" s="41"/>
      <c r="P370" s="41"/>
      <c r="Q370" s="41"/>
      <c r="R370" s="41"/>
      <c r="S370" s="13">
        <f t="shared" si="98"/>
        <v>0</v>
      </c>
      <c r="T370" s="13">
        <v>100000</v>
      </c>
      <c r="U370" s="13">
        <f t="shared" si="100"/>
        <v>0</v>
      </c>
      <c r="V370" s="4"/>
      <c r="Y370" s="4"/>
    </row>
    <row r="371" spans="2:25" ht="18.75" hidden="1">
      <c r="B371" s="58"/>
      <c r="C371" s="60"/>
      <c r="D371" s="51"/>
      <c r="E371" s="62" t="s">
        <v>102</v>
      </c>
      <c r="F371" s="5">
        <v>0.91666666666666663</v>
      </c>
      <c r="G371" s="65"/>
      <c r="H371" s="66"/>
      <c r="I371" s="34"/>
      <c r="J371" s="6" t="str">
        <f t="shared" si="97"/>
        <v/>
      </c>
      <c r="K371" s="38"/>
      <c r="L371" s="38"/>
      <c r="M371" s="38"/>
      <c r="N371" s="38"/>
      <c r="O371" s="38"/>
      <c r="P371" s="38"/>
      <c r="Q371" s="38"/>
      <c r="R371" s="38"/>
      <c r="S371" s="7">
        <f t="shared" si="98"/>
        <v>0</v>
      </c>
      <c r="T371" s="7">
        <v>100000</v>
      </c>
      <c r="U371" s="7">
        <f t="shared" si="100"/>
        <v>0</v>
      </c>
      <c r="V371" s="4"/>
      <c r="Y371" s="4"/>
    </row>
    <row r="372" spans="2:25" ht="18.75" hidden="1">
      <c r="B372" s="58"/>
      <c r="C372" s="60"/>
      <c r="D372" s="52"/>
      <c r="E372" s="63"/>
      <c r="F372" s="8">
        <v>1</v>
      </c>
      <c r="G372" s="67"/>
      <c r="H372" s="68"/>
      <c r="I372" s="35"/>
      <c r="J372" s="9" t="str">
        <f t="shared" si="97"/>
        <v/>
      </c>
      <c r="K372" s="39"/>
      <c r="L372" s="39"/>
      <c r="M372" s="39"/>
      <c r="N372" s="39"/>
      <c r="O372" s="39"/>
      <c r="P372" s="39"/>
      <c r="Q372" s="39"/>
      <c r="R372" s="39"/>
      <c r="S372" s="10">
        <f t="shared" si="98"/>
        <v>0</v>
      </c>
      <c r="T372" s="10">
        <v>100000</v>
      </c>
      <c r="U372" s="10">
        <f t="shared" si="100"/>
        <v>0</v>
      </c>
      <c r="V372" s="4"/>
      <c r="Y372" s="4"/>
    </row>
    <row r="373" spans="2:25" ht="18.75" hidden="1">
      <c r="B373" s="58"/>
      <c r="C373" s="60"/>
      <c r="D373" s="52"/>
      <c r="E373" s="63"/>
      <c r="F373" s="8">
        <v>8.3333333333333329E-2</v>
      </c>
      <c r="G373" s="67"/>
      <c r="H373" s="68"/>
      <c r="I373" s="35"/>
      <c r="J373" s="9" t="str">
        <f t="shared" si="97"/>
        <v/>
      </c>
      <c r="K373" s="39"/>
      <c r="L373" s="39"/>
      <c r="M373" s="39"/>
      <c r="N373" s="39"/>
      <c r="O373" s="39"/>
      <c r="P373" s="39"/>
      <c r="Q373" s="39"/>
      <c r="R373" s="39"/>
      <c r="S373" s="10">
        <f t="shared" si="98"/>
        <v>0</v>
      </c>
      <c r="T373" s="10">
        <v>100000</v>
      </c>
      <c r="U373" s="10">
        <f t="shared" si="100"/>
        <v>0</v>
      </c>
      <c r="V373" s="4"/>
      <c r="Y373" s="4"/>
    </row>
    <row r="374" spans="2:25" ht="18.75" hidden="1">
      <c r="B374" s="58"/>
      <c r="C374" s="60"/>
      <c r="D374" s="52"/>
      <c r="E374" s="63"/>
      <c r="F374" s="8">
        <v>0.16666666666666666</v>
      </c>
      <c r="G374" s="67"/>
      <c r="H374" s="68"/>
      <c r="I374" s="35"/>
      <c r="J374" s="9" t="str">
        <f t="shared" si="97"/>
        <v/>
      </c>
      <c r="K374" s="39"/>
      <c r="L374" s="39"/>
      <c r="M374" s="39"/>
      <c r="N374" s="39"/>
      <c r="O374" s="39"/>
      <c r="P374" s="39"/>
      <c r="Q374" s="39"/>
      <c r="R374" s="39"/>
      <c r="S374" s="10">
        <f t="shared" si="98"/>
        <v>0</v>
      </c>
      <c r="T374" s="10">
        <v>100000</v>
      </c>
      <c r="U374" s="10">
        <f t="shared" si="100"/>
        <v>0</v>
      </c>
      <c r="V374" s="4"/>
      <c r="W374" s="4"/>
      <c r="X374" s="4"/>
      <c r="Y374" s="4"/>
    </row>
    <row r="375" spans="2:25" ht="18.75" hidden="1">
      <c r="B375" s="58"/>
      <c r="C375" s="60"/>
      <c r="D375" s="52"/>
      <c r="E375" s="63"/>
      <c r="F375" s="8">
        <v>0.25</v>
      </c>
      <c r="G375" s="67"/>
      <c r="H375" s="68"/>
      <c r="I375" s="35"/>
      <c r="J375" s="9" t="str">
        <f t="shared" si="97"/>
        <v/>
      </c>
      <c r="K375" s="39"/>
      <c r="L375" s="39"/>
      <c r="M375" s="39"/>
      <c r="N375" s="39"/>
      <c r="O375" s="39"/>
      <c r="P375" s="39"/>
      <c r="Q375" s="39"/>
      <c r="R375" s="39"/>
      <c r="S375" s="10">
        <f t="shared" si="98"/>
        <v>0</v>
      </c>
      <c r="T375" s="10">
        <v>100000</v>
      </c>
      <c r="U375" s="10">
        <f t="shared" si="100"/>
        <v>0</v>
      </c>
      <c r="V375" s="4"/>
      <c r="Y375" s="4"/>
    </row>
    <row r="376" spans="2:25" ht="18.75" hidden="1">
      <c r="B376" s="58"/>
      <c r="C376" s="61"/>
      <c r="D376" s="53"/>
      <c r="E376" s="69"/>
      <c r="F376" s="14">
        <v>0.33333333333333331</v>
      </c>
      <c r="G376" s="67"/>
      <c r="H376" s="68"/>
      <c r="I376" s="37"/>
      <c r="J376" s="15" t="str">
        <f t="shared" si="97"/>
        <v/>
      </c>
      <c r="K376" s="40"/>
      <c r="L376" s="40"/>
      <c r="M376" s="40"/>
      <c r="N376" s="40"/>
      <c r="O376" s="40"/>
      <c r="P376" s="40"/>
      <c r="Q376" s="40"/>
      <c r="R376" s="40"/>
      <c r="S376" s="16">
        <f t="shared" si="98"/>
        <v>0</v>
      </c>
      <c r="T376" s="16">
        <v>100000</v>
      </c>
      <c r="U376" s="16">
        <f t="shared" si="100"/>
        <v>0</v>
      </c>
      <c r="V376" s="4"/>
      <c r="W376" s="4"/>
      <c r="X376" s="4"/>
      <c r="Y376" s="4"/>
    </row>
    <row r="377" spans="2:25" ht="38.25" hidden="1" customHeight="1">
      <c r="B377" s="58">
        <v>46112</v>
      </c>
      <c r="C377" s="59" t="s">
        <v>17</v>
      </c>
      <c r="D377" s="51"/>
      <c r="E377" s="62" t="s">
        <v>101</v>
      </c>
      <c r="F377" s="5">
        <v>0.41666666666666669</v>
      </c>
      <c r="G377" s="65"/>
      <c r="H377" s="66"/>
      <c r="I377" s="34"/>
      <c r="J377" s="6" t="str">
        <f t="shared" si="97"/>
        <v/>
      </c>
      <c r="K377" s="38"/>
      <c r="L377" s="38"/>
      <c r="M377" s="38"/>
      <c r="N377" s="38"/>
      <c r="O377" s="38"/>
      <c r="P377" s="38"/>
      <c r="Q377" s="38"/>
      <c r="R377" s="38"/>
      <c r="S377" s="7">
        <f>SUM(K377:R377)</f>
        <v>0</v>
      </c>
      <c r="T377" s="7">
        <v>100000</v>
      </c>
      <c r="U377" s="7">
        <f>T377*S377</f>
        <v>0</v>
      </c>
      <c r="V377" s="4"/>
      <c r="W377" s="4"/>
      <c r="X377" s="4"/>
      <c r="Y377" s="4"/>
    </row>
    <row r="378" spans="2:25" ht="18.75" hidden="1">
      <c r="B378" s="58"/>
      <c r="C378" s="60"/>
      <c r="D378" s="52"/>
      <c r="E378" s="63"/>
      <c r="F378" s="8">
        <v>0.5</v>
      </c>
      <c r="G378" s="67"/>
      <c r="H378" s="68"/>
      <c r="I378" s="35"/>
      <c r="J378" s="9" t="str">
        <f t="shared" si="97"/>
        <v/>
      </c>
      <c r="K378" s="39"/>
      <c r="L378" s="39"/>
      <c r="M378" s="39"/>
      <c r="N378" s="39"/>
      <c r="O378" s="39"/>
      <c r="P378" s="39"/>
      <c r="Q378" s="39"/>
      <c r="R378" s="39"/>
      <c r="S378" s="10">
        <f t="shared" ref="S378:S388" si="101">SUM(K378:R378)</f>
        <v>0</v>
      </c>
      <c r="T378" s="10">
        <v>100000</v>
      </c>
      <c r="U378" s="10">
        <f t="shared" ref="U378:U379" si="102">T378*S378</f>
        <v>0</v>
      </c>
      <c r="V378" s="4"/>
      <c r="W378" s="4"/>
      <c r="X378" s="4"/>
      <c r="Y378" s="4"/>
    </row>
    <row r="379" spans="2:25" ht="18.75" hidden="1">
      <c r="B379" s="58"/>
      <c r="C379" s="60"/>
      <c r="D379" s="52"/>
      <c r="E379" s="63"/>
      <c r="F379" s="8">
        <v>0.58333333333333337</v>
      </c>
      <c r="G379" s="67"/>
      <c r="H379" s="68"/>
      <c r="I379" s="35"/>
      <c r="J379" s="9" t="str">
        <f t="shared" si="97"/>
        <v/>
      </c>
      <c r="K379" s="39"/>
      <c r="L379" s="39"/>
      <c r="M379" s="39"/>
      <c r="N379" s="39"/>
      <c r="O379" s="39"/>
      <c r="P379" s="39"/>
      <c r="Q379" s="39"/>
      <c r="R379" s="39"/>
      <c r="S379" s="10">
        <f t="shared" si="101"/>
        <v>0</v>
      </c>
      <c r="T379" s="10">
        <v>100000</v>
      </c>
      <c r="U379" s="10">
        <f t="shared" si="102"/>
        <v>0</v>
      </c>
      <c r="V379" s="4"/>
      <c r="W379" s="4"/>
      <c r="X379" s="4"/>
      <c r="Y379" s="4"/>
    </row>
    <row r="380" spans="2:25" ht="18.75" hidden="1">
      <c r="B380" s="58"/>
      <c r="C380" s="60"/>
      <c r="D380" s="52"/>
      <c r="E380" s="63"/>
      <c r="F380" s="8">
        <v>0.66666666666666663</v>
      </c>
      <c r="G380" s="67"/>
      <c r="H380" s="68"/>
      <c r="I380" s="35"/>
      <c r="J380" s="9" t="str">
        <f t="shared" si="97"/>
        <v/>
      </c>
      <c r="K380" s="39"/>
      <c r="L380" s="39"/>
      <c r="M380" s="39"/>
      <c r="N380" s="39"/>
      <c r="O380" s="39"/>
      <c r="P380" s="39"/>
      <c r="Q380" s="39"/>
      <c r="R380" s="39"/>
      <c r="S380" s="10">
        <f t="shared" si="101"/>
        <v>0</v>
      </c>
      <c r="T380" s="10">
        <v>100000</v>
      </c>
      <c r="U380" s="10">
        <f>T380*S380</f>
        <v>0</v>
      </c>
      <c r="V380" s="4"/>
      <c r="W380" s="4"/>
      <c r="X380" s="4"/>
      <c r="Y380" s="4"/>
    </row>
    <row r="381" spans="2:25" ht="18.75" hidden="1">
      <c r="B381" s="58"/>
      <c r="C381" s="60"/>
      <c r="D381" s="52"/>
      <c r="E381" s="63"/>
      <c r="F381" s="8">
        <v>0.75</v>
      </c>
      <c r="G381" s="67"/>
      <c r="H381" s="68"/>
      <c r="I381" s="35"/>
      <c r="J381" s="9" t="str">
        <f t="shared" si="97"/>
        <v/>
      </c>
      <c r="K381" s="39"/>
      <c r="L381" s="39"/>
      <c r="M381" s="39"/>
      <c r="N381" s="39"/>
      <c r="O381" s="39"/>
      <c r="P381" s="39"/>
      <c r="Q381" s="39"/>
      <c r="R381" s="39"/>
      <c r="S381" s="10">
        <f t="shared" si="101"/>
        <v>0</v>
      </c>
      <c r="T381" s="10">
        <v>100000</v>
      </c>
      <c r="U381" s="10">
        <f t="shared" ref="U381:U388" si="103">T381*S381</f>
        <v>0</v>
      </c>
      <c r="V381" s="4"/>
      <c r="W381" s="4"/>
      <c r="X381" s="11"/>
      <c r="Y381" s="4"/>
    </row>
    <row r="382" spans="2:25" ht="18.75" hidden="1">
      <c r="B382" s="58"/>
      <c r="C382" s="60"/>
      <c r="D382" s="53"/>
      <c r="E382" s="64"/>
      <c r="F382" s="12">
        <v>0.83333333333333337</v>
      </c>
      <c r="G382" s="67"/>
      <c r="H382" s="68"/>
      <c r="I382" s="36"/>
      <c r="J382" s="9" t="str">
        <f t="shared" si="97"/>
        <v/>
      </c>
      <c r="K382" s="41"/>
      <c r="L382" s="41"/>
      <c r="M382" s="41"/>
      <c r="N382" s="41"/>
      <c r="O382" s="41"/>
      <c r="P382" s="41"/>
      <c r="Q382" s="41"/>
      <c r="R382" s="41"/>
      <c r="S382" s="13">
        <f t="shared" si="101"/>
        <v>0</v>
      </c>
      <c r="T382" s="13">
        <v>100000</v>
      </c>
      <c r="U382" s="13">
        <f t="shared" si="103"/>
        <v>0</v>
      </c>
      <c r="V382" s="4"/>
      <c r="Y382" s="4"/>
    </row>
    <row r="383" spans="2:25" ht="18.75" hidden="1">
      <c r="B383" s="58"/>
      <c r="C383" s="60"/>
      <c r="D383" s="51"/>
      <c r="E383" s="62" t="s">
        <v>102</v>
      </c>
      <c r="F383" s="5">
        <v>0.91666666666666663</v>
      </c>
      <c r="G383" s="65"/>
      <c r="H383" s="66"/>
      <c r="I383" s="34"/>
      <c r="J383" s="6" t="str">
        <f t="shared" si="97"/>
        <v/>
      </c>
      <c r="K383" s="38"/>
      <c r="L383" s="38"/>
      <c r="M383" s="38"/>
      <c r="N383" s="38"/>
      <c r="O383" s="38"/>
      <c r="P383" s="38"/>
      <c r="Q383" s="38"/>
      <c r="R383" s="38"/>
      <c r="S383" s="7">
        <f t="shared" si="101"/>
        <v>0</v>
      </c>
      <c r="T383" s="7">
        <v>100000</v>
      </c>
      <c r="U383" s="7">
        <f t="shared" si="103"/>
        <v>0</v>
      </c>
      <c r="V383" s="4"/>
      <c r="Y383" s="4"/>
    </row>
    <row r="384" spans="2:25" ht="18.75" hidden="1">
      <c r="B384" s="58"/>
      <c r="C384" s="60"/>
      <c r="D384" s="52"/>
      <c r="E384" s="63"/>
      <c r="F384" s="8">
        <v>1</v>
      </c>
      <c r="G384" s="67"/>
      <c r="H384" s="68"/>
      <c r="I384" s="35"/>
      <c r="J384" s="9" t="str">
        <f t="shared" si="97"/>
        <v/>
      </c>
      <c r="K384" s="39"/>
      <c r="L384" s="39"/>
      <c r="M384" s="39"/>
      <c r="N384" s="39"/>
      <c r="O384" s="39"/>
      <c r="P384" s="39"/>
      <c r="Q384" s="39"/>
      <c r="R384" s="39"/>
      <c r="S384" s="10">
        <f t="shared" si="101"/>
        <v>0</v>
      </c>
      <c r="T384" s="10">
        <v>100000</v>
      </c>
      <c r="U384" s="10">
        <f t="shared" si="103"/>
        <v>0</v>
      </c>
      <c r="V384" s="4"/>
      <c r="Y384" s="4"/>
    </row>
    <row r="385" spans="2:25" ht="18.75" hidden="1">
      <c r="B385" s="58"/>
      <c r="C385" s="60"/>
      <c r="D385" s="52"/>
      <c r="E385" s="63"/>
      <c r="F385" s="8">
        <v>8.3333333333333329E-2</v>
      </c>
      <c r="G385" s="67"/>
      <c r="H385" s="68"/>
      <c r="I385" s="35"/>
      <c r="J385" s="9" t="str">
        <f t="shared" si="97"/>
        <v/>
      </c>
      <c r="K385" s="39"/>
      <c r="L385" s="39"/>
      <c r="M385" s="39"/>
      <c r="N385" s="39"/>
      <c r="O385" s="39"/>
      <c r="P385" s="39"/>
      <c r="Q385" s="39"/>
      <c r="R385" s="39"/>
      <c r="S385" s="10">
        <f t="shared" si="101"/>
        <v>0</v>
      </c>
      <c r="T385" s="10">
        <v>100000</v>
      </c>
      <c r="U385" s="10">
        <f t="shared" si="103"/>
        <v>0</v>
      </c>
      <c r="V385" s="4"/>
      <c r="Y385" s="4"/>
    </row>
    <row r="386" spans="2:25" ht="18.75" hidden="1">
      <c r="B386" s="58"/>
      <c r="C386" s="60"/>
      <c r="D386" s="52"/>
      <c r="E386" s="63"/>
      <c r="F386" s="8">
        <v>0.16666666666666666</v>
      </c>
      <c r="G386" s="67"/>
      <c r="H386" s="68"/>
      <c r="I386" s="35"/>
      <c r="J386" s="9" t="str">
        <f t="shared" si="97"/>
        <v/>
      </c>
      <c r="K386" s="39"/>
      <c r="L386" s="39"/>
      <c r="M386" s="39"/>
      <c r="N386" s="39"/>
      <c r="O386" s="39"/>
      <c r="P386" s="39"/>
      <c r="Q386" s="39"/>
      <c r="R386" s="39"/>
      <c r="S386" s="10">
        <f t="shared" si="101"/>
        <v>0</v>
      </c>
      <c r="T386" s="10">
        <v>100000</v>
      </c>
      <c r="U386" s="10">
        <f t="shared" si="103"/>
        <v>0</v>
      </c>
      <c r="V386" s="4"/>
      <c r="W386" s="4"/>
      <c r="X386" s="4"/>
      <c r="Y386" s="4"/>
    </row>
    <row r="387" spans="2:25" ht="18.75" hidden="1">
      <c r="B387" s="58"/>
      <c r="C387" s="60"/>
      <c r="D387" s="52"/>
      <c r="E387" s="63"/>
      <c r="F387" s="8">
        <v>0.25</v>
      </c>
      <c r="G387" s="67"/>
      <c r="H387" s="68"/>
      <c r="I387" s="35"/>
      <c r="J387" s="9" t="str">
        <f t="shared" si="97"/>
        <v/>
      </c>
      <c r="K387" s="39"/>
      <c r="L387" s="39"/>
      <c r="M387" s="39"/>
      <c r="N387" s="39"/>
      <c r="O387" s="39"/>
      <c r="P387" s="39"/>
      <c r="Q387" s="39"/>
      <c r="R387" s="39"/>
      <c r="S387" s="10">
        <f t="shared" si="101"/>
        <v>0</v>
      </c>
      <c r="T387" s="10">
        <v>100000</v>
      </c>
      <c r="U387" s="10">
        <f t="shared" si="103"/>
        <v>0</v>
      </c>
      <c r="V387" s="4"/>
      <c r="Y387" s="4"/>
    </row>
    <row r="388" spans="2:25" ht="18.75" hidden="1">
      <c r="B388" s="58"/>
      <c r="C388" s="61"/>
      <c r="D388" s="53"/>
      <c r="E388" s="69"/>
      <c r="F388" s="14">
        <v>0.33333333333333331</v>
      </c>
      <c r="G388" s="67"/>
      <c r="H388" s="68"/>
      <c r="I388" s="37"/>
      <c r="J388" s="15" t="str">
        <f t="shared" si="97"/>
        <v/>
      </c>
      <c r="K388" s="40"/>
      <c r="L388" s="40"/>
      <c r="M388" s="40"/>
      <c r="N388" s="40"/>
      <c r="O388" s="40"/>
      <c r="P388" s="40"/>
      <c r="Q388" s="40"/>
      <c r="R388" s="40"/>
      <c r="S388" s="16">
        <f t="shared" si="101"/>
        <v>0</v>
      </c>
      <c r="T388" s="16">
        <v>100000</v>
      </c>
      <c r="U388" s="16">
        <f t="shared" si="103"/>
        <v>0</v>
      </c>
      <c r="V388" s="4"/>
      <c r="W388" s="4"/>
      <c r="X388" s="4"/>
      <c r="Y388" s="4"/>
    </row>
    <row r="389" spans="2:25" ht="21" customHeight="1">
      <c r="B389" s="58">
        <v>46113</v>
      </c>
      <c r="C389" s="59" t="s">
        <v>17</v>
      </c>
      <c r="D389" s="51"/>
      <c r="E389" s="62" t="s">
        <v>101</v>
      </c>
      <c r="F389" s="5">
        <v>0.41666666666666669</v>
      </c>
      <c r="G389" s="65"/>
      <c r="H389" s="66"/>
      <c r="I389" s="34"/>
      <c r="J389" s="6" t="str">
        <f t="shared" si="97"/>
        <v/>
      </c>
      <c r="K389" s="38"/>
      <c r="L389" s="38"/>
      <c r="M389" s="38"/>
      <c r="N389" s="38"/>
      <c r="O389" s="38"/>
      <c r="P389" s="38"/>
      <c r="Q389" s="38"/>
      <c r="R389" s="38"/>
      <c r="S389" s="7">
        <f>SUM(K389:R389)</f>
        <v>0</v>
      </c>
      <c r="T389" s="7">
        <v>100000</v>
      </c>
      <c r="U389" s="7">
        <f>T389*S389</f>
        <v>0</v>
      </c>
      <c r="V389" s="4"/>
      <c r="W389" s="4"/>
      <c r="X389" s="4"/>
      <c r="Y389" s="4"/>
    </row>
    <row r="390" spans="2:25" ht="18.75">
      <c r="B390" s="58"/>
      <c r="C390" s="60"/>
      <c r="D390" s="52"/>
      <c r="E390" s="63"/>
      <c r="F390" s="8">
        <v>0.5</v>
      </c>
      <c r="G390" s="67"/>
      <c r="H390" s="68"/>
      <c r="I390" s="35"/>
      <c r="J390" s="9" t="str">
        <f t="shared" si="97"/>
        <v/>
      </c>
      <c r="K390" s="39"/>
      <c r="L390" s="39"/>
      <c r="M390" s="39"/>
      <c r="N390" s="39"/>
      <c r="O390" s="39"/>
      <c r="P390" s="39"/>
      <c r="Q390" s="39"/>
      <c r="R390" s="39"/>
      <c r="S390" s="10">
        <f t="shared" ref="S390:S400" si="104">SUM(K390:R390)</f>
        <v>0</v>
      </c>
      <c r="T390" s="10">
        <v>100000</v>
      </c>
      <c r="U390" s="10">
        <f t="shared" ref="U390:U391" si="105">T390*S390</f>
        <v>0</v>
      </c>
      <c r="V390" s="4"/>
      <c r="W390" s="4"/>
      <c r="X390" s="4"/>
      <c r="Y390" s="4"/>
    </row>
    <row r="391" spans="2:25" ht="18.75">
      <c r="B391" s="58"/>
      <c r="C391" s="60"/>
      <c r="D391" s="52"/>
      <c r="E391" s="63"/>
      <c r="F391" s="8">
        <v>0.58333333333333337</v>
      </c>
      <c r="G391" s="67"/>
      <c r="H391" s="68"/>
      <c r="I391" s="35"/>
      <c r="J391" s="9" t="str">
        <f t="shared" si="97"/>
        <v/>
      </c>
      <c r="K391" s="39"/>
      <c r="L391" s="39"/>
      <c r="M391" s="39"/>
      <c r="N391" s="39"/>
      <c r="O391" s="39"/>
      <c r="P391" s="39"/>
      <c r="Q391" s="39"/>
      <c r="R391" s="39"/>
      <c r="S391" s="10">
        <f t="shared" si="104"/>
        <v>0</v>
      </c>
      <c r="T391" s="10">
        <v>100000</v>
      </c>
      <c r="U391" s="10">
        <f t="shared" si="105"/>
        <v>0</v>
      </c>
      <c r="V391" s="4"/>
      <c r="W391" s="4"/>
      <c r="X391" s="4"/>
      <c r="Y391" s="4"/>
    </row>
    <row r="392" spans="2:25" ht="18.75">
      <c r="B392" s="58"/>
      <c r="C392" s="60"/>
      <c r="D392" s="52"/>
      <c r="E392" s="63"/>
      <c r="F392" s="8">
        <v>0.66666666666666663</v>
      </c>
      <c r="G392" s="67"/>
      <c r="H392" s="68"/>
      <c r="I392" s="35"/>
      <c r="J392" s="9" t="str">
        <f t="shared" si="97"/>
        <v/>
      </c>
      <c r="K392" s="39"/>
      <c r="L392" s="39"/>
      <c r="M392" s="39"/>
      <c r="N392" s="39"/>
      <c r="O392" s="39"/>
      <c r="P392" s="39"/>
      <c r="Q392" s="39"/>
      <c r="R392" s="39"/>
      <c r="S392" s="10">
        <f t="shared" si="104"/>
        <v>0</v>
      </c>
      <c r="T392" s="10">
        <v>100000</v>
      </c>
      <c r="U392" s="10">
        <f>T392*S392</f>
        <v>0</v>
      </c>
      <c r="V392" s="4"/>
      <c r="W392" s="4"/>
      <c r="X392" s="4"/>
      <c r="Y392" s="4"/>
    </row>
    <row r="393" spans="2:25" ht="18.75">
      <c r="B393" s="58"/>
      <c r="C393" s="60"/>
      <c r="D393" s="52"/>
      <c r="E393" s="63"/>
      <c r="F393" s="8">
        <v>0.75</v>
      </c>
      <c r="G393" s="67"/>
      <c r="H393" s="68"/>
      <c r="I393" s="35"/>
      <c r="J393" s="9" t="str">
        <f t="shared" si="97"/>
        <v/>
      </c>
      <c r="K393" s="39"/>
      <c r="L393" s="39"/>
      <c r="M393" s="39"/>
      <c r="N393" s="39"/>
      <c r="O393" s="39"/>
      <c r="P393" s="39"/>
      <c r="Q393" s="39"/>
      <c r="R393" s="39"/>
      <c r="S393" s="10">
        <f t="shared" si="104"/>
        <v>0</v>
      </c>
      <c r="T393" s="10">
        <v>100000</v>
      </c>
      <c r="U393" s="10">
        <f t="shared" ref="U393:U400" si="106">T393*S393</f>
        <v>0</v>
      </c>
      <c r="V393" s="4"/>
      <c r="W393" s="4"/>
      <c r="X393" s="11"/>
      <c r="Y393" s="4"/>
    </row>
    <row r="394" spans="2:25" ht="18.75">
      <c r="B394" s="58"/>
      <c r="C394" s="60"/>
      <c r="D394" s="53"/>
      <c r="E394" s="64"/>
      <c r="F394" s="12">
        <v>0.83333333333333337</v>
      </c>
      <c r="G394" s="67"/>
      <c r="H394" s="68"/>
      <c r="I394" s="36"/>
      <c r="J394" s="9" t="str">
        <f t="shared" si="97"/>
        <v/>
      </c>
      <c r="K394" s="41"/>
      <c r="L394" s="41"/>
      <c r="M394" s="41"/>
      <c r="N394" s="41"/>
      <c r="O394" s="41"/>
      <c r="P394" s="41"/>
      <c r="Q394" s="41"/>
      <c r="R394" s="41"/>
      <c r="S394" s="13">
        <f t="shared" si="104"/>
        <v>0</v>
      </c>
      <c r="T394" s="13">
        <v>100000</v>
      </c>
      <c r="U394" s="13">
        <f t="shared" si="106"/>
        <v>0</v>
      </c>
      <c r="V394" s="4"/>
      <c r="Y394" s="4"/>
    </row>
    <row r="395" spans="2:25" ht="18.75">
      <c r="B395" s="58"/>
      <c r="C395" s="60"/>
      <c r="D395" s="51"/>
      <c r="E395" s="62" t="s">
        <v>102</v>
      </c>
      <c r="F395" s="5">
        <v>0.91666666666666663</v>
      </c>
      <c r="G395" s="65"/>
      <c r="H395" s="66"/>
      <c r="I395" s="34"/>
      <c r="J395" s="6" t="str">
        <f t="shared" si="97"/>
        <v/>
      </c>
      <c r="K395" s="38"/>
      <c r="L395" s="38"/>
      <c r="M395" s="38"/>
      <c r="N395" s="38"/>
      <c r="O395" s="38"/>
      <c r="P395" s="38"/>
      <c r="Q395" s="38"/>
      <c r="R395" s="38"/>
      <c r="S395" s="7">
        <f t="shared" si="104"/>
        <v>0</v>
      </c>
      <c r="T395" s="7">
        <v>100000</v>
      </c>
      <c r="U395" s="7">
        <f t="shared" si="106"/>
        <v>0</v>
      </c>
      <c r="V395" s="4"/>
      <c r="Y395" s="4"/>
    </row>
    <row r="396" spans="2:25" ht="18.75">
      <c r="B396" s="58"/>
      <c r="C396" s="60"/>
      <c r="D396" s="52"/>
      <c r="E396" s="63"/>
      <c r="F396" s="8">
        <v>1</v>
      </c>
      <c r="G396" s="67"/>
      <c r="H396" s="68"/>
      <c r="I396" s="35"/>
      <c r="J396" s="9" t="str">
        <f t="shared" si="97"/>
        <v/>
      </c>
      <c r="K396" s="39"/>
      <c r="L396" s="39"/>
      <c r="M396" s="39"/>
      <c r="N396" s="39"/>
      <c r="O396" s="39"/>
      <c r="P396" s="39"/>
      <c r="Q396" s="39"/>
      <c r="R396" s="39"/>
      <c r="S396" s="10">
        <f t="shared" si="104"/>
        <v>0</v>
      </c>
      <c r="T396" s="10">
        <v>100000</v>
      </c>
      <c r="U396" s="10">
        <f t="shared" si="106"/>
        <v>0</v>
      </c>
      <c r="V396" s="4"/>
      <c r="Y396" s="4"/>
    </row>
    <row r="397" spans="2:25" ht="18.75">
      <c r="B397" s="58"/>
      <c r="C397" s="60"/>
      <c r="D397" s="52"/>
      <c r="E397" s="63"/>
      <c r="F397" s="8">
        <v>8.3333333333333329E-2</v>
      </c>
      <c r="G397" s="67"/>
      <c r="H397" s="68"/>
      <c r="I397" s="35"/>
      <c r="J397" s="9" t="str">
        <f t="shared" si="97"/>
        <v/>
      </c>
      <c r="K397" s="39"/>
      <c r="L397" s="39"/>
      <c r="M397" s="39"/>
      <c r="N397" s="39"/>
      <c r="O397" s="39"/>
      <c r="P397" s="39"/>
      <c r="Q397" s="39"/>
      <c r="R397" s="39"/>
      <c r="S397" s="10">
        <f t="shared" si="104"/>
        <v>0</v>
      </c>
      <c r="T397" s="10">
        <v>100000</v>
      </c>
      <c r="U397" s="10">
        <f t="shared" si="106"/>
        <v>0</v>
      </c>
      <c r="V397" s="4"/>
      <c r="Y397" s="4"/>
    </row>
    <row r="398" spans="2:25" ht="18.75">
      <c r="B398" s="58"/>
      <c r="C398" s="60"/>
      <c r="D398" s="52"/>
      <c r="E398" s="63"/>
      <c r="F398" s="8">
        <v>0.16666666666666666</v>
      </c>
      <c r="G398" s="67"/>
      <c r="H398" s="68"/>
      <c r="I398" s="35"/>
      <c r="J398" s="9" t="str">
        <f t="shared" si="97"/>
        <v/>
      </c>
      <c r="K398" s="39"/>
      <c r="L398" s="39"/>
      <c r="M398" s="39"/>
      <c r="N398" s="39"/>
      <c r="O398" s="39"/>
      <c r="P398" s="39"/>
      <c r="Q398" s="39"/>
      <c r="R398" s="39"/>
      <c r="S398" s="10">
        <f t="shared" si="104"/>
        <v>0</v>
      </c>
      <c r="T398" s="10">
        <v>100000</v>
      </c>
      <c r="U398" s="10">
        <f t="shared" si="106"/>
        <v>0</v>
      </c>
      <c r="V398" s="4"/>
      <c r="W398" s="4"/>
      <c r="X398" s="4"/>
      <c r="Y398" s="4"/>
    </row>
    <row r="399" spans="2:25" ht="18.75">
      <c r="B399" s="58"/>
      <c r="C399" s="60"/>
      <c r="D399" s="52"/>
      <c r="E399" s="63"/>
      <c r="F399" s="8">
        <v>0.25</v>
      </c>
      <c r="G399" s="67"/>
      <c r="H399" s="68"/>
      <c r="I399" s="35"/>
      <c r="J399" s="9" t="str">
        <f t="shared" si="97"/>
        <v/>
      </c>
      <c r="K399" s="39"/>
      <c r="L399" s="39"/>
      <c r="M399" s="39"/>
      <c r="N399" s="39"/>
      <c r="O399" s="39"/>
      <c r="P399" s="39"/>
      <c r="Q399" s="39"/>
      <c r="R399" s="39"/>
      <c r="S399" s="10">
        <f t="shared" si="104"/>
        <v>0</v>
      </c>
      <c r="T399" s="10">
        <v>100000</v>
      </c>
      <c r="U399" s="10">
        <f t="shared" si="106"/>
        <v>0</v>
      </c>
      <c r="V399" s="4"/>
      <c r="Y399" s="4"/>
    </row>
    <row r="400" spans="2:25" ht="18.75">
      <c r="B400" s="58"/>
      <c r="C400" s="61"/>
      <c r="D400" s="53"/>
      <c r="E400" s="69"/>
      <c r="F400" s="14">
        <v>0.33333333333333331</v>
      </c>
      <c r="G400" s="67"/>
      <c r="H400" s="68"/>
      <c r="I400" s="37"/>
      <c r="J400" s="15" t="str">
        <f t="shared" si="97"/>
        <v/>
      </c>
      <c r="K400" s="40"/>
      <c r="L400" s="40"/>
      <c r="M400" s="40"/>
      <c r="N400" s="40"/>
      <c r="O400" s="40"/>
      <c r="P400" s="40"/>
      <c r="Q400" s="40"/>
      <c r="R400" s="40"/>
      <c r="S400" s="16">
        <f t="shared" si="104"/>
        <v>0</v>
      </c>
      <c r="T400" s="16">
        <v>100000</v>
      </c>
      <c r="U400" s="16">
        <f t="shared" si="106"/>
        <v>0</v>
      </c>
      <c r="V400" s="4"/>
      <c r="W400" s="4"/>
      <c r="X400" s="4"/>
      <c r="Y400" s="4"/>
    </row>
    <row r="401" spans="2:25" ht="38.25" customHeight="1">
      <c r="B401" s="58">
        <v>46114</v>
      </c>
      <c r="C401" s="59" t="s">
        <v>17</v>
      </c>
      <c r="D401" s="51"/>
      <c r="E401" s="62" t="s">
        <v>101</v>
      </c>
      <c r="F401" s="5">
        <v>0.41666666666666669</v>
      </c>
      <c r="G401" s="65"/>
      <c r="H401" s="66"/>
      <c r="I401" s="34"/>
      <c r="J401" s="6" t="str">
        <f t="shared" ref="J401:J424" si="107">IFERROR(S401/I401,"")</f>
        <v/>
      </c>
      <c r="K401" s="38"/>
      <c r="L401" s="38"/>
      <c r="M401" s="38"/>
      <c r="N401" s="38"/>
      <c r="O401" s="38"/>
      <c r="P401" s="38"/>
      <c r="Q401" s="38"/>
      <c r="R401" s="38"/>
      <c r="S401" s="7">
        <f>SUM(K401:R401)</f>
        <v>0</v>
      </c>
      <c r="T401" s="7">
        <v>100000</v>
      </c>
      <c r="U401" s="7">
        <f>T401*S401</f>
        <v>0</v>
      </c>
      <c r="V401" s="4"/>
      <c r="W401" s="4"/>
      <c r="X401" s="4"/>
      <c r="Y401" s="4"/>
    </row>
    <row r="402" spans="2:25" ht="18.75">
      <c r="B402" s="58"/>
      <c r="C402" s="60"/>
      <c r="D402" s="52"/>
      <c r="E402" s="63"/>
      <c r="F402" s="8">
        <v>0.5</v>
      </c>
      <c r="G402" s="67"/>
      <c r="H402" s="68"/>
      <c r="I402" s="35"/>
      <c r="J402" s="9" t="str">
        <f t="shared" si="107"/>
        <v/>
      </c>
      <c r="K402" s="39"/>
      <c r="L402" s="39"/>
      <c r="M402" s="39"/>
      <c r="N402" s="39"/>
      <c r="O402" s="39"/>
      <c r="P402" s="39"/>
      <c r="Q402" s="39"/>
      <c r="R402" s="39"/>
      <c r="S402" s="10">
        <f t="shared" ref="S402:S412" si="108">SUM(K402:R402)</f>
        <v>0</v>
      </c>
      <c r="T402" s="10">
        <v>100000</v>
      </c>
      <c r="U402" s="10">
        <f t="shared" ref="U402:U403" si="109">T402*S402</f>
        <v>0</v>
      </c>
      <c r="V402" s="4"/>
      <c r="W402" s="4"/>
      <c r="X402" s="4"/>
      <c r="Y402" s="4"/>
    </row>
    <row r="403" spans="2:25" ht="18.75">
      <c r="B403" s="58"/>
      <c r="C403" s="60"/>
      <c r="D403" s="52"/>
      <c r="E403" s="63"/>
      <c r="F403" s="8">
        <v>0.58333333333333337</v>
      </c>
      <c r="G403" s="67"/>
      <c r="H403" s="68"/>
      <c r="I403" s="35"/>
      <c r="J403" s="9" t="str">
        <f t="shared" si="107"/>
        <v/>
      </c>
      <c r="K403" s="39"/>
      <c r="L403" s="39"/>
      <c r="M403" s="39"/>
      <c r="N403" s="39"/>
      <c r="O403" s="39"/>
      <c r="P403" s="39"/>
      <c r="Q403" s="39"/>
      <c r="R403" s="39"/>
      <c r="S403" s="10">
        <f t="shared" si="108"/>
        <v>0</v>
      </c>
      <c r="T403" s="10">
        <v>100000</v>
      </c>
      <c r="U403" s="10">
        <f t="shared" si="109"/>
        <v>0</v>
      </c>
      <c r="V403" s="4"/>
      <c r="W403" s="4"/>
      <c r="X403" s="4"/>
      <c r="Y403" s="4"/>
    </row>
    <row r="404" spans="2:25" ht="18.75">
      <c r="B404" s="58"/>
      <c r="C404" s="60"/>
      <c r="D404" s="52"/>
      <c r="E404" s="63"/>
      <c r="F404" s="8">
        <v>0.66666666666666663</v>
      </c>
      <c r="G404" s="67"/>
      <c r="H404" s="68"/>
      <c r="I404" s="35"/>
      <c r="J404" s="9" t="str">
        <f t="shared" si="107"/>
        <v/>
      </c>
      <c r="K404" s="39"/>
      <c r="L404" s="39"/>
      <c r="M404" s="39"/>
      <c r="N404" s="39"/>
      <c r="O404" s="39"/>
      <c r="P404" s="39"/>
      <c r="Q404" s="39"/>
      <c r="R404" s="39"/>
      <c r="S404" s="10">
        <f t="shared" si="108"/>
        <v>0</v>
      </c>
      <c r="T404" s="10">
        <v>100000</v>
      </c>
      <c r="U404" s="10">
        <f>T404*S404</f>
        <v>0</v>
      </c>
      <c r="V404" s="4"/>
      <c r="W404" s="4"/>
      <c r="X404" s="4"/>
      <c r="Y404" s="4"/>
    </row>
    <row r="405" spans="2:25" ht="18.75">
      <c r="B405" s="58"/>
      <c r="C405" s="60"/>
      <c r="D405" s="52"/>
      <c r="E405" s="63"/>
      <c r="F405" s="8">
        <v>0.75</v>
      </c>
      <c r="G405" s="67"/>
      <c r="H405" s="68"/>
      <c r="I405" s="35"/>
      <c r="J405" s="9" t="str">
        <f t="shared" si="107"/>
        <v/>
      </c>
      <c r="K405" s="39"/>
      <c r="L405" s="39"/>
      <c r="M405" s="39"/>
      <c r="N405" s="39"/>
      <c r="O405" s="39"/>
      <c r="P405" s="39"/>
      <c r="Q405" s="39"/>
      <c r="R405" s="39"/>
      <c r="S405" s="10">
        <f t="shared" si="108"/>
        <v>0</v>
      </c>
      <c r="T405" s="10">
        <v>100000</v>
      </c>
      <c r="U405" s="10">
        <f t="shared" ref="U405:U412" si="110">T405*S405</f>
        <v>0</v>
      </c>
      <c r="V405" s="4"/>
      <c r="W405" s="4"/>
      <c r="X405" s="11"/>
      <c r="Y405" s="4"/>
    </row>
    <row r="406" spans="2:25" ht="18.75">
      <c r="B406" s="58"/>
      <c r="C406" s="60"/>
      <c r="D406" s="53"/>
      <c r="E406" s="64"/>
      <c r="F406" s="12">
        <v>0.83333333333333337</v>
      </c>
      <c r="G406" s="67"/>
      <c r="H406" s="68"/>
      <c r="I406" s="36"/>
      <c r="J406" s="9" t="str">
        <f t="shared" si="107"/>
        <v/>
      </c>
      <c r="K406" s="41"/>
      <c r="L406" s="41"/>
      <c r="M406" s="41"/>
      <c r="N406" s="41"/>
      <c r="O406" s="41"/>
      <c r="P406" s="41"/>
      <c r="Q406" s="41"/>
      <c r="R406" s="41"/>
      <c r="S406" s="13">
        <f t="shared" si="108"/>
        <v>0</v>
      </c>
      <c r="T406" s="13">
        <v>100000</v>
      </c>
      <c r="U406" s="13">
        <f t="shared" si="110"/>
        <v>0</v>
      </c>
      <c r="V406" s="4"/>
      <c r="Y406" s="4"/>
    </row>
    <row r="407" spans="2:25" ht="18.75">
      <c r="B407" s="58"/>
      <c r="C407" s="60"/>
      <c r="D407" s="51"/>
      <c r="E407" s="62" t="s">
        <v>102</v>
      </c>
      <c r="F407" s="5">
        <v>0.91666666666666663</v>
      </c>
      <c r="G407" s="65"/>
      <c r="H407" s="66"/>
      <c r="I407" s="34"/>
      <c r="J407" s="6" t="str">
        <f t="shared" si="107"/>
        <v/>
      </c>
      <c r="K407" s="38"/>
      <c r="L407" s="38"/>
      <c r="M407" s="38"/>
      <c r="N407" s="38"/>
      <c r="O407" s="38"/>
      <c r="P407" s="38"/>
      <c r="Q407" s="38"/>
      <c r="R407" s="38"/>
      <c r="S407" s="7">
        <f t="shared" si="108"/>
        <v>0</v>
      </c>
      <c r="T407" s="7">
        <v>100000</v>
      </c>
      <c r="U407" s="7">
        <f t="shared" si="110"/>
        <v>0</v>
      </c>
      <c r="V407" s="4"/>
      <c r="Y407" s="4"/>
    </row>
    <row r="408" spans="2:25" ht="18.75">
      <c r="B408" s="58"/>
      <c r="C408" s="60"/>
      <c r="D408" s="52"/>
      <c r="E408" s="63"/>
      <c r="F408" s="8">
        <v>1</v>
      </c>
      <c r="G408" s="67"/>
      <c r="H408" s="68"/>
      <c r="I408" s="35"/>
      <c r="J408" s="9" t="str">
        <f t="shared" si="107"/>
        <v/>
      </c>
      <c r="K408" s="39"/>
      <c r="L408" s="39"/>
      <c r="M408" s="39"/>
      <c r="N408" s="39"/>
      <c r="O408" s="39"/>
      <c r="P408" s="39"/>
      <c r="Q408" s="39"/>
      <c r="R408" s="39"/>
      <c r="S408" s="10">
        <f t="shared" si="108"/>
        <v>0</v>
      </c>
      <c r="T408" s="10">
        <v>100000</v>
      </c>
      <c r="U408" s="10">
        <f t="shared" si="110"/>
        <v>0</v>
      </c>
      <c r="V408" s="4"/>
      <c r="Y408" s="4"/>
    </row>
    <row r="409" spans="2:25" ht="18.75">
      <c r="B409" s="58"/>
      <c r="C409" s="60"/>
      <c r="D409" s="52"/>
      <c r="E409" s="63"/>
      <c r="F409" s="8">
        <v>8.3333333333333329E-2</v>
      </c>
      <c r="G409" s="67"/>
      <c r="H409" s="68"/>
      <c r="I409" s="35"/>
      <c r="J409" s="9" t="str">
        <f t="shared" si="107"/>
        <v/>
      </c>
      <c r="K409" s="39"/>
      <c r="L409" s="39"/>
      <c r="M409" s="39"/>
      <c r="N409" s="39"/>
      <c r="O409" s="39"/>
      <c r="P409" s="39"/>
      <c r="Q409" s="39"/>
      <c r="R409" s="39"/>
      <c r="S409" s="10">
        <f t="shared" si="108"/>
        <v>0</v>
      </c>
      <c r="T409" s="10">
        <v>100000</v>
      </c>
      <c r="U409" s="10">
        <f t="shared" si="110"/>
        <v>0</v>
      </c>
      <c r="V409" s="4"/>
      <c r="Y409" s="4"/>
    </row>
    <row r="410" spans="2:25" ht="18.75">
      <c r="B410" s="58"/>
      <c r="C410" s="60"/>
      <c r="D410" s="52"/>
      <c r="E410" s="63"/>
      <c r="F410" s="8">
        <v>0.16666666666666666</v>
      </c>
      <c r="G410" s="67"/>
      <c r="H410" s="68"/>
      <c r="I410" s="35"/>
      <c r="J410" s="9" t="str">
        <f t="shared" si="107"/>
        <v/>
      </c>
      <c r="K410" s="39"/>
      <c r="L410" s="39"/>
      <c r="M410" s="39"/>
      <c r="N410" s="39"/>
      <c r="O410" s="39"/>
      <c r="P410" s="39"/>
      <c r="Q410" s="39"/>
      <c r="R410" s="39"/>
      <c r="S410" s="10">
        <f t="shared" si="108"/>
        <v>0</v>
      </c>
      <c r="T410" s="10">
        <v>100000</v>
      </c>
      <c r="U410" s="10">
        <f t="shared" si="110"/>
        <v>0</v>
      </c>
      <c r="V410" s="4"/>
      <c r="W410" s="4"/>
      <c r="X410" s="4"/>
      <c r="Y410" s="4"/>
    </row>
    <row r="411" spans="2:25" ht="18.75">
      <c r="B411" s="58"/>
      <c r="C411" s="60"/>
      <c r="D411" s="52"/>
      <c r="E411" s="63"/>
      <c r="F411" s="8">
        <v>0.25</v>
      </c>
      <c r="G411" s="67"/>
      <c r="H411" s="68"/>
      <c r="I411" s="35"/>
      <c r="J411" s="9" t="str">
        <f t="shared" si="107"/>
        <v/>
      </c>
      <c r="K411" s="39"/>
      <c r="L411" s="39"/>
      <c r="M411" s="39"/>
      <c r="N411" s="39"/>
      <c r="O411" s="39"/>
      <c r="P411" s="39"/>
      <c r="Q411" s="39"/>
      <c r="R411" s="39"/>
      <c r="S411" s="10">
        <f t="shared" si="108"/>
        <v>0</v>
      </c>
      <c r="T411" s="10">
        <v>100000</v>
      </c>
      <c r="U411" s="10">
        <f t="shared" si="110"/>
        <v>0</v>
      </c>
      <c r="V411" s="4"/>
      <c r="Y411" s="4"/>
    </row>
    <row r="412" spans="2:25" ht="18.75">
      <c r="B412" s="58"/>
      <c r="C412" s="61"/>
      <c r="D412" s="53"/>
      <c r="E412" s="69"/>
      <c r="F412" s="14">
        <v>0.33333333333333331</v>
      </c>
      <c r="G412" s="67"/>
      <c r="H412" s="68"/>
      <c r="I412" s="37"/>
      <c r="J412" s="15" t="str">
        <f t="shared" si="107"/>
        <v/>
      </c>
      <c r="K412" s="40"/>
      <c r="L412" s="40"/>
      <c r="M412" s="40"/>
      <c r="N412" s="40"/>
      <c r="O412" s="40"/>
      <c r="P412" s="40"/>
      <c r="Q412" s="40"/>
      <c r="R412" s="40"/>
      <c r="S412" s="16">
        <f t="shared" si="108"/>
        <v>0</v>
      </c>
      <c r="T412" s="16">
        <v>100000</v>
      </c>
      <c r="U412" s="16">
        <f t="shared" si="110"/>
        <v>0</v>
      </c>
      <c r="V412" s="4"/>
      <c r="W412" s="4"/>
      <c r="X412" s="4"/>
      <c r="Y412" s="4"/>
    </row>
    <row r="413" spans="2:25" ht="38.25" customHeight="1">
      <c r="B413" s="58">
        <v>46115</v>
      </c>
      <c r="C413" s="59" t="s">
        <v>17</v>
      </c>
      <c r="D413" s="51"/>
      <c r="E413" s="62" t="s">
        <v>101</v>
      </c>
      <c r="F413" s="5">
        <v>0.41666666666666669</v>
      </c>
      <c r="G413" s="65"/>
      <c r="H413" s="66"/>
      <c r="I413" s="34"/>
      <c r="J413" s="6" t="str">
        <f t="shared" si="107"/>
        <v/>
      </c>
      <c r="K413" s="38"/>
      <c r="L413" s="38"/>
      <c r="M413" s="38"/>
      <c r="N413" s="38"/>
      <c r="O413" s="38"/>
      <c r="P413" s="38"/>
      <c r="Q413" s="38"/>
      <c r="R413" s="38"/>
      <c r="S413" s="7">
        <f>SUM(K413:R413)</f>
        <v>0</v>
      </c>
      <c r="T413" s="7">
        <v>100000</v>
      </c>
      <c r="U413" s="7">
        <f>T413*S413</f>
        <v>0</v>
      </c>
      <c r="V413" s="4"/>
      <c r="W413" s="4"/>
      <c r="X413" s="4"/>
      <c r="Y413" s="4"/>
    </row>
    <row r="414" spans="2:25" ht="18.75">
      <c r="B414" s="58"/>
      <c r="C414" s="60"/>
      <c r="D414" s="52"/>
      <c r="E414" s="63"/>
      <c r="F414" s="8">
        <v>0.5</v>
      </c>
      <c r="G414" s="67"/>
      <c r="H414" s="68"/>
      <c r="I414" s="35"/>
      <c r="J414" s="9" t="str">
        <f t="shared" si="107"/>
        <v/>
      </c>
      <c r="K414" s="39"/>
      <c r="L414" s="39"/>
      <c r="M414" s="39"/>
      <c r="N414" s="39"/>
      <c r="O414" s="39"/>
      <c r="P414" s="39"/>
      <c r="Q414" s="39"/>
      <c r="R414" s="39"/>
      <c r="S414" s="10">
        <f t="shared" ref="S414:S424" si="111">SUM(K414:R414)</f>
        <v>0</v>
      </c>
      <c r="T414" s="10">
        <v>100000</v>
      </c>
      <c r="U414" s="10">
        <f t="shared" ref="U414:U415" si="112">T414*S414</f>
        <v>0</v>
      </c>
      <c r="V414" s="4"/>
      <c r="W414" s="4"/>
      <c r="X414" s="4"/>
      <c r="Y414" s="4"/>
    </row>
    <row r="415" spans="2:25" ht="18.75">
      <c r="B415" s="58"/>
      <c r="C415" s="60"/>
      <c r="D415" s="52"/>
      <c r="E415" s="63"/>
      <c r="F415" s="8">
        <v>0.58333333333333337</v>
      </c>
      <c r="G415" s="67"/>
      <c r="H415" s="68"/>
      <c r="I415" s="35"/>
      <c r="J415" s="9" t="str">
        <f t="shared" si="107"/>
        <v/>
      </c>
      <c r="K415" s="39"/>
      <c r="L415" s="39"/>
      <c r="M415" s="39"/>
      <c r="N415" s="39"/>
      <c r="O415" s="39"/>
      <c r="P415" s="39"/>
      <c r="Q415" s="39"/>
      <c r="R415" s="39"/>
      <c r="S415" s="10">
        <f t="shared" si="111"/>
        <v>0</v>
      </c>
      <c r="T415" s="10">
        <v>100000</v>
      </c>
      <c r="U415" s="10">
        <f t="shared" si="112"/>
        <v>0</v>
      </c>
      <c r="V415" s="4"/>
      <c r="W415" s="4"/>
      <c r="X415" s="4"/>
      <c r="Y415" s="4"/>
    </row>
    <row r="416" spans="2:25" ht="18.75">
      <c r="B416" s="58"/>
      <c r="C416" s="60"/>
      <c r="D416" s="52"/>
      <c r="E416" s="63"/>
      <c r="F416" s="8">
        <v>0.66666666666666663</v>
      </c>
      <c r="G416" s="67"/>
      <c r="H416" s="68"/>
      <c r="I416" s="35"/>
      <c r="J416" s="9" t="str">
        <f t="shared" si="107"/>
        <v/>
      </c>
      <c r="K416" s="39"/>
      <c r="L416" s="39"/>
      <c r="M416" s="39"/>
      <c r="N416" s="39"/>
      <c r="O416" s="39"/>
      <c r="P416" s="39"/>
      <c r="Q416" s="39"/>
      <c r="R416" s="39"/>
      <c r="S416" s="10">
        <f t="shared" si="111"/>
        <v>0</v>
      </c>
      <c r="T416" s="10">
        <v>100000</v>
      </c>
      <c r="U416" s="10">
        <f>T416*S416</f>
        <v>0</v>
      </c>
      <c r="V416" s="4"/>
      <c r="W416" s="4"/>
      <c r="X416" s="4"/>
      <c r="Y416" s="4"/>
    </row>
    <row r="417" spans="2:25" ht="18.75">
      <c r="B417" s="58"/>
      <c r="C417" s="60"/>
      <c r="D417" s="52"/>
      <c r="E417" s="63"/>
      <c r="F417" s="8">
        <v>0.75</v>
      </c>
      <c r="G417" s="67"/>
      <c r="H417" s="68"/>
      <c r="I417" s="35"/>
      <c r="J417" s="9" t="str">
        <f t="shared" si="107"/>
        <v/>
      </c>
      <c r="K417" s="39"/>
      <c r="L417" s="39"/>
      <c r="M417" s="39"/>
      <c r="N417" s="39"/>
      <c r="O417" s="39"/>
      <c r="P417" s="39"/>
      <c r="Q417" s="39"/>
      <c r="R417" s="39"/>
      <c r="S417" s="10">
        <f t="shared" si="111"/>
        <v>0</v>
      </c>
      <c r="T417" s="10">
        <v>100000</v>
      </c>
      <c r="U417" s="10">
        <f t="shared" ref="U417:U424" si="113">T417*S417</f>
        <v>0</v>
      </c>
      <c r="V417" s="4"/>
      <c r="W417" s="4"/>
      <c r="X417" s="11"/>
      <c r="Y417" s="4"/>
    </row>
    <row r="418" spans="2:25" ht="18.75">
      <c r="B418" s="58"/>
      <c r="C418" s="60"/>
      <c r="D418" s="53"/>
      <c r="E418" s="64"/>
      <c r="F418" s="12">
        <v>0.83333333333333337</v>
      </c>
      <c r="G418" s="67"/>
      <c r="H418" s="68"/>
      <c r="I418" s="36"/>
      <c r="J418" s="9" t="str">
        <f t="shared" si="107"/>
        <v/>
      </c>
      <c r="K418" s="41"/>
      <c r="L418" s="41"/>
      <c r="M418" s="41"/>
      <c r="N418" s="41"/>
      <c r="O418" s="41"/>
      <c r="P418" s="41"/>
      <c r="Q418" s="41"/>
      <c r="R418" s="41"/>
      <c r="S418" s="13">
        <f t="shared" si="111"/>
        <v>0</v>
      </c>
      <c r="T418" s="13">
        <v>100000</v>
      </c>
      <c r="U418" s="13">
        <f t="shared" si="113"/>
        <v>0</v>
      </c>
      <c r="V418" s="4"/>
      <c r="Y418" s="4"/>
    </row>
    <row r="419" spans="2:25" ht="18.75">
      <c r="B419" s="58"/>
      <c r="C419" s="60"/>
      <c r="D419" s="51"/>
      <c r="E419" s="62" t="s">
        <v>102</v>
      </c>
      <c r="F419" s="5">
        <v>0.91666666666666663</v>
      </c>
      <c r="G419" s="65"/>
      <c r="H419" s="66"/>
      <c r="I419" s="34"/>
      <c r="J419" s="6" t="str">
        <f t="shared" si="107"/>
        <v/>
      </c>
      <c r="K419" s="38"/>
      <c r="L419" s="38"/>
      <c r="M419" s="38"/>
      <c r="N419" s="38"/>
      <c r="O419" s="38"/>
      <c r="P419" s="38"/>
      <c r="Q419" s="38"/>
      <c r="R419" s="38"/>
      <c r="S419" s="7">
        <f t="shared" si="111"/>
        <v>0</v>
      </c>
      <c r="T419" s="7">
        <v>100000</v>
      </c>
      <c r="U419" s="7">
        <f t="shared" si="113"/>
        <v>0</v>
      </c>
      <c r="V419" s="4"/>
      <c r="Y419" s="4"/>
    </row>
    <row r="420" spans="2:25" ht="18.75">
      <c r="B420" s="58"/>
      <c r="C420" s="60"/>
      <c r="D420" s="52"/>
      <c r="E420" s="63"/>
      <c r="F420" s="8">
        <v>1</v>
      </c>
      <c r="G420" s="67"/>
      <c r="H420" s="68"/>
      <c r="I420" s="35"/>
      <c r="J420" s="9" t="str">
        <f t="shared" si="107"/>
        <v/>
      </c>
      <c r="K420" s="39"/>
      <c r="L420" s="39"/>
      <c r="M420" s="39"/>
      <c r="N420" s="39"/>
      <c r="O420" s="39"/>
      <c r="P420" s="39"/>
      <c r="Q420" s="39"/>
      <c r="R420" s="39"/>
      <c r="S420" s="10">
        <f t="shared" si="111"/>
        <v>0</v>
      </c>
      <c r="T420" s="10">
        <v>100000</v>
      </c>
      <c r="U420" s="10">
        <f t="shared" si="113"/>
        <v>0</v>
      </c>
      <c r="V420" s="4"/>
      <c r="Y420" s="4"/>
    </row>
    <row r="421" spans="2:25" ht="18.75">
      <c r="B421" s="58"/>
      <c r="C421" s="60"/>
      <c r="D421" s="52"/>
      <c r="E421" s="63"/>
      <c r="F421" s="8">
        <v>8.3333333333333329E-2</v>
      </c>
      <c r="G421" s="67"/>
      <c r="H421" s="68"/>
      <c r="I421" s="35"/>
      <c r="J421" s="9" t="str">
        <f t="shared" si="107"/>
        <v/>
      </c>
      <c r="K421" s="39"/>
      <c r="L421" s="39"/>
      <c r="M421" s="39"/>
      <c r="N421" s="39"/>
      <c r="O421" s="39"/>
      <c r="P421" s="39"/>
      <c r="Q421" s="39"/>
      <c r="R421" s="39"/>
      <c r="S421" s="10">
        <f t="shared" si="111"/>
        <v>0</v>
      </c>
      <c r="T421" s="10">
        <v>100000</v>
      </c>
      <c r="U421" s="10">
        <f t="shared" si="113"/>
        <v>0</v>
      </c>
      <c r="V421" s="4"/>
      <c r="Y421" s="4"/>
    </row>
    <row r="422" spans="2:25" ht="18.75">
      <c r="B422" s="58"/>
      <c r="C422" s="60"/>
      <c r="D422" s="52"/>
      <c r="E422" s="63"/>
      <c r="F422" s="8">
        <v>0.16666666666666666</v>
      </c>
      <c r="G422" s="67"/>
      <c r="H422" s="68"/>
      <c r="I422" s="35"/>
      <c r="J422" s="9" t="str">
        <f t="shared" si="107"/>
        <v/>
      </c>
      <c r="K422" s="39"/>
      <c r="L422" s="39"/>
      <c r="M422" s="39"/>
      <c r="N422" s="39"/>
      <c r="O422" s="39"/>
      <c r="P422" s="39"/>
      <c r="Q422" s="39"/>
      <c r="R422" s="39"/>
      <c r="S422" s="10">
        <f t="shared" si="111"/>
        <v>0</v>
      </c>
      <c r="T422" s="10">
        <v>100000</v>
      </c>
      <c r="U422" s="10">
        <f t="shared" si="113"/>
        <v>0</v>
      </c>
      <c r="V422" s="4"/>
      <c r="W422" s="4"/>
      <c r="X422" s="4"/>
      <c r="Y422" s="4"/>
    </row>
    <row r="423" spans="2:25" ht="18.75">
      <c r="B423" s="58"/>
      <c r="C423" s="60"/>
      <c r="D423" s="52"/>
      <c r="E423" s="63"/>
      <c r="F423" s="8">
        <v>0.25</v>
      </c>
      <c r="G423" s="67"/>
      <c r="H423" s="68"/>
      <c r="I423" s="35"/>
      <c r="J423" s="9" t="str">
        <f t="shared" si="107"/>
        <v/>
      </c>
      <c r="K423" s="39"/>
      <c r="L423" s="39"/>
      <c r="M423" s="39"/>
      <c r="N423" s="39"/>
      <c r="O423" s="39"/>
      <c r="P423" s="39"/>
      <c r="Q423" s="39"/>
      <c r="R423" s="39"/>
      <c r="S423" s="10">
        <f t="shared" si="111"/>
        <v>0</v>
      </c>
      <c r="T423" s="10">
        <v>100000</v>
      </c>
      <c r="U423" s="10">
        <f t="shared" si="113"/>
        <v>0</v>
      </c>
      <c r="V423" s="4"/>
      <c r="Y423" s="4"/>
    </row>
    <row r="424" spans="2:25" ht="18.75">
      <c r="B424" s="58"/>
      <c r="C424" s="61"/>
      <c r="D424" s="53"/>
      <c r="E424" s="69"/>
      <c r="F424" s="14">
        <v>0.33333333333333331</v>
      </c>
      <c r="G424" s="67"/>
      <c r="H424" s="68"/>
      <c r="I424" s="37"/>
      <c r="J424" s="15" t="str">
        <f t="shared" si="107"/>
        <v/>
      </c>
      <c r="K424" s="40"/>
      <c r="L424" s="40"/>
      <c r="M424" s="40"/>
      <c r="N424" s="40"/>
      <c r="O424" s="40"/>
      <c r="P424" s="40"/>
      <c r="Q424" s="40"/>
      <c r="R424" s="40"/>
      <c r="S424" s="16">
        <f t="shared" si="111"/>
        <v>0</v>
      </c>
      <c r="T424" s="16">
        <v>100000</v>
      </c>
      <c r="U424" s="16">
        <f t="shared" si="113"/>
        <v>0</v>
      </c>
      <c r="V424" s="4"/>
      <c r="W424" s="4"/>
      <c r="X424" s="4"/>
      <c r="Y424" s="4"/>
    </row>
    <row r="425" spans="2:25" ht="38.25" customHeight="1">
      <c r="B425" s="58">
        <v>46115</v>
      </c>
      <c r="C425" s="59" t="s">
        <v>17</v>
      </c>
      <c r="D425" s="51"/>
      <c r="E425" s="62" t="s">
        <v>101</v>
      </c>
      <c r="F425" s="5">
        <v>0.41666666666666669</v>
      </c>
      <c r="G425" s="65"/>
      <c r="H425" s="66"/>
      <c r="I425" s="34"/>
      <c r="J425" s="6" t="str">
        <f t="shared" ref="J425:J436" si="114">IFERROR(S425/I425,"")</f>
        <v/>
      </c>
      <c r="K425" s="38"/>
      <c r="L425" s="38"/>
      <c r="M425" s="38"/>
      <c r="N425" s="38"/>
      <c r="O425" s="38"/>
      <c r="P425" s="38"/>
      <c r="Q425" s="38"/>
      <c r="R425" s="38"/>
      <c r="S425" s="7">
        <f>SUM(K425:R425)</f>
        <v>0</v>
      </c>
      <c r="T425" s="7">
        <v>100000</v>
      </c>
      <c r="U425" s="7">
        <f>T425*S425</f>
        <v>0</v>
      </c>
      <c r="V425" s="4"/>
      <c r="W425" s="4"/>
      <c r="X425" s="4"/>
      <c r="Y425" s="4"/>
    </row>
    <row r="426" spans="2:25" ht="18.75">
      <c r="B426" s="58"/>
      <c r="C426" s="60"/>
      <c r="D426" s="52"/>
      <c r="E426" s="63"/>
      <c r="F426" s="8">
        <v>0.5</v>
      </c>
      <c r="G426" s="67"/>
      <c r="H426" s="68"/>
      <c r="I426" s="35"/>
      <c r="J426" s="9" t="str">
        <f t="shared" si="114"/>
        <v/>
      </c>
      <c r="K426" s="39"/>
      <c r="L426" s="39"/>
      <c r="M426" s="39"/>
      <c r="N426" s="39"/>
      <c r="O426" s="39"/>
      <c r="P426" s="39"/>
      <c r="Q426" s="39"/>
      <c r="R426" s="39"/>
      <c r="S426" s="10">
        <f t="shared" ref="S426:S436" si="115">SUM(K426:R426)</f>
        <v>0</v>
      </c>
      <c r="T426" s="10">
        <v>100000</v>
      </c>
      <c r="U426" s="10">
        <f t="shared" ref="U426:U427" si="116">T426*S426</f>
        <v>0</v>
      </c>
      <c r="V426" s="4"/>
      <c r="W426" s="4"/>
      <c r="X426" s="4"/>
      <c r="Y426" s="4"/>
    </row>
    <row r="427" spans="2:25" ht="18.75">
      <c r="B427" s="58"/>
      <c r="C427" s="60"/>
      <c r="D427" s="52"/>
      <c r="E427" s="63"/>
      <c r="F427" s="8">
        <v>0.58333333333333337</v>
      </c>
      <c r="G427" s="67"/>
      <c r="H427" s="68"/>
      <c r="I427" s="35"/>
      <c r="J427" s="9" t="str">
        <f t="shared" si="114"/>
        <v/>
      </c>
      <c r="K427" s="39"/>
      <c r="L427" s="39"/>
      <c r="M427" s="39"/>
      <c r="N427" s="39"/>
      <c r="O427" s="39"/>
      <c r="P427" s="39"/>
      <c r="Q427" s="39"/>
      <c r="R427" s="39"/>
      <c r="S427" s="10">
        <f t="shared" si="115"/>
        <v>0</v>
      </c>
      <c r="T427" s="10">
        <v>100000</v>
      </c>
      <c r="U427" s="10">
        <f t="shared" si="116"/>
        <v>0</v>
      </c>
      <c r="V427" s="4"/>
      <c r="W427" s="4"/>
      <c r="X427" s="4"/>
      <c r="Y427" s="4"/>
    </row>
    <row r="428" spans="2:25" ht="18.75">
      <c r="B428" s="58"/>
      <c r="C428" s="60"/>
      <c r="D428" s="52"/>
      <c r="E428" s="63"/>
      <c r="F428" s="8">
        <v>0.66666666666666663</v>
      </c>
      <c r="G428" s="67"/>
      <c r="H428" s="68"/>
      <c r="I428" s="35"/>
      <c r="J428" s="9" t="str">
        <f t="shared" si="114"/>
        <v/>
      </c>
      <c r="K428" s="39"/>
      <c r="L428" s="39"/>
      <c r="M428" s="39"/>
      <c r="N428" s="39"/>
      <c r="O428" s="39"/>
      <c r="P428" s="39"/>
      <c r="Q428" s="39"/>
      <c r="R428" s="39"/>
      <c r="S428" s="10">
        <f t="shared" si="115"/>
        <v>0</v>
      </c>
      <c r="T428" s="10">
        <v>100000</v>
      </c>
      <c r="U428" s="10">
        <f>T428*S428</f>
        <v>0</v>
      </c>
      <c r="V428" s="4"/>
      <c r="W428" s="4"/>
      <c r="X428" s="4"/>
      <c r="Y428" s="4"/>
    </row>
    <row r="429" spans="2:25" ht="18.75">
      <c r="B429" s="58"/>
      <c r="C429" s="60"/>
      <c r="D429" s="52"/>
      <c r="E429" s="63"/>
      <c r="F429" s="8">
        <v>0.75</v>
      </c>
      <c r="G429" s="67"/>
      <c r="H429" s="68"/>
      <c r="I429" s="35"/>
      <c r="J429" s="9" t="str">
        <f t="shared" si="114"/>
        <v/>
      </c>
      <c r="K429" s="39"/>
      <c r="L429" s="39"/>
      <c r="M429" s="39"/>
      <c r="N429" s="39"/>
      <c r="O429" s="39"/>
      <c r="P429" s="39"/>
      <c r="Q429" s="39"/>
      <c r="R429" s="39"/>
      <c r="S429" s="10">
        <f t="shared" si="115"/>
        <v>0</v>
      </c>
      <c r="T429" s="10">
        <v>100000</v>
      </c>
      <c r="U429" s="10">
        <f t="shared" ref="U429:U436" si="117">T429*S429</f>
        <v>0</v>
      </c>
      <c r="V429" s="4"/>
      <c r="W429" s="4"/>
      <c r="X429" s="11"/>
      <c r="Y429" s="4"/>
    </row>
    <row r="430" spans="2:25" ht="18.75">
      <c r="B430" s="58"/>
      <c r="C430" s="60"/>
      <c r="D430" s="53"/>
      <c r="E430" s="64"/>
      <c r="F430" s="12">
        <v>0.83333333333333337</v>
      </c>
      <c r="G430" s="67"/>
      <c r="H430" s="68"/>
      <c r="I430" s="36"/>
      <c r="J430" s="9" t="str">
        <f t="shared" si="114"/>
        <v/>
      </c>
      <c r="K430" s="41"/>
      <c r="L430" s="41"/>
      <c r="M430" s="41"/>
      <c r="N430" s="41"/>
      <c r="O430" s="41"/>
      <c r="P430" s="41"/>
      <c r="Q430" s="41"/>
      <c r="R430" s="41"/>
      <c r="S430" s="13">
        <f t="shared" si="115"/>
        <v>0</v>
      </c>
      <c r="T430" s="13">
        <v>100000</v>
      </c>
      <c r="U430" s="13">
        <f t="shared" si="117"/>
        <v>0</v>
      </c>
      <c r="V430" s="4"/>
      <c r="Y430" s="4"/>
    </row>
    <row r="431" spans="2:25" ht="18.75">
      <c r="B431" s="58"/>
      <c r="C431" s="60"/>
      <c r="D431" s="51"/>
      <c r="E431" s="62" t="s">
        <v>102</v>
      </c>
      <c r="F431" s="5">
        <v>0.91666666666666663</v>
      </c>
      <c r="G431" s="65"/>
      <c r="H431" s="66"/>
      <c r="I431" s="34"/>
      <c r="J431" s="6" t="str">
        <f t="shared" si="114"/>
        <v/>
      </c>
      <c r="K431" s="38"/>
      <c r="L431" s="38"/>
      <c r="M431" s="38"/>
      <c r="N431" s="38"/>
      <c r="O431" s="38"/>
      <c r="P431" s="38"/>
      <c r="Q431" s="38"/>
      <c r="R431" s="38"/>
      <c r="S431" s="7">
        <f t="shared" si="115"/>
        <v>0</v>
      </c>
      <c r="T431" s="7">
        <v>100000</v>
      </c>
      <c r="U431" s="7">
        <f t="shared" si="117"/>
        <v>0</v>
      </c>
      <c r="V431" s="4"/>
      <c r="Y431" s="4"/>
    </row>
    <row r="432" spans="2:25" ht="18.75">
      <c r="B432" s="58"/>
      <c r="C432" s="60"/>
      <c r="D432" s="52"/>
      <c r="E432" s="63"/>
      <c r="F432" s="8">
        <v>1</v>
      </c>
      <c r="G432" s="67"/>
      <c r="H432" s="68"/>
      <c r="I432" s="35"/>
      <c r="J432" s="9" t="str">
        <f t="shared" si="114"/>
        <v/>
      </c>
      <c r="K432" s="39"/>
      <c r="L432" s="39"/>
      <c r="M432" s="39"/>
      <c r="N432" s="39"/>
      <c r="O432" s="39"/>
      <c r="P432" s="39"/>
      <c r="Q432" s="39"/>
      <c r="R432" s="39"/>
      <c r="S432" s="10">
        <f t="shared" si="115"/>
        <v>0</v>
      </c>
      <c r="T432" s="10">
        <v>100000</v>
      </c>
      <c r="U432" s="10">
        <f t="shared" si="117"/>
        <v>0</v>
      </c>
      <c r="V432" s="4"/>
      <c r="Y432" s="4"/>
    </row>
    <row r="433" spans="2:25" ht="18.75">
      <c r="B433" s="58"/>
      <c r="C433" s="60"/>
      <c r="D433" s="52"/>
      <c r="E433" s="63"/>
      <c r="F433" s="8">
        <v>8.3333333333333329E-2</v>
      </c>
      <c r="G433" s="67"/>
      <c r="H433" s="68"/>
      <c r="I433" s="35"/>
      <c r="J433" s="9" t="str">
        <f t="shared" si="114"/>
        <v/>
      </c>
      <c r="K433" s="39"/>
      <c r="L433" s="39"/>
      <c r="M433" s="39"/>
      <c r="N433" s="39"/>
      <c r="O433" s="39"/>
      <c r="P433" s="39"/>
      <c r="Q433" s="39"/>
      <c r="R433" s="39"/>
      <c r="S433" s="10">
        <f t="shared" si="115"/>
        <v>0</v>
      </c>
      <c r="T433" s="10">
        <v>100000</v>
      </c>
      <c r="U433" s="10">
        <f t="shared" si="117"/>
        <v>0</v>
      </c>
      <c r="V433" s="4"/>
      <c r="Y433" s="4"/>
    </row>
    <row r="434" spans="2:25" ht="18.75">
      <c r="B434" s="58"/>
      <c r="C434" s="60"/>
      <c r="D434" s="52"/>
      <c r="E434" s="63"/>
      <c r="F434" s="8">
        <v>0.16666666666666666</v>
      </c>
      <c r="G434" s="67"/>
      <c r="H434" s="68"/>
      <c r="I434" s="35"/>
      <c r="J434" s="9" t="str">
        <f t="shared" si="114"/>
        <v/>
      </c>
      <c r="K434" s="39"/>
      <c r="L434" s="39"/>
      <c r="M434" s="39"/>
      <c r="N434" s="39"/>
      <c r="O434" s="39"/>
      <c r="P434" s="39"/>
      <c r="Q434" s="39"/>
      <c r="R434" s="39"/>
      <c r="S434" s="10">
        <f t="shared" si="115"/>
        <v>0</v>
      </c>
      <c r="T434" s="10">
        <v>100000</v>
      </c>
      <c r="U434" s="10">
        <f t="shared" si="117"/>
        <v>0</v>
      </c>
      <c r="V434" s="4"/>
      <c r="W434" s="4"/>
      <c r="X434" s="4"/>
      <c r="Y434" s="4"/>
    </row>
    <row r="435" spans="2:25" ht="18.75">
      <c r="B435" s="58"/>
      <c r="C435" s="60"/>
      <c r="D435" s="52"/>
      <c r="E435" s="63"/>
      <c r="F435" s="8">
        <v>0.25</v>
      </c>
      <c r="G435" s="67"/>
      <c r="H435" s="68"/>
      <c r="I435" s="35"/>
      <c r="J435" s="9" t="str">
        <f t="shared" si="114"/>
        <v/>
      </c>
      <c r="K435" s="39"/>
      <c r="L435" s="39"/>
      <c r="M435" s="39"/>
      <c r="N435" s="39"/>
      <c r="O435" s="39"/>
      <c r="P435" s="39"/>
      <c r="Q435" s="39"/>
      <c r="R435" s="39"/>
      <c r="S435" s="10">
        <f t="shared" si="115"/>
        <v>0</v>
      </c>
      <c r="T435" s="10">
        <v>100000</v>
      </c>
      <c r="U435" s="10">
        <f t="shared" si="117"/>
        <v>0</v>
      </c>
      <c r="V435" s="4"/>
      <c r="Y435" s="4"/>
    </row>
    <row r="436" spans="2:25" ht="18.75">
      <c r="B436" s="58"/>
      <c r="C436" s="61"/>
      <c r="D436" s="53"/>
      <c r="E436" s="69"/>
      <c r="F436" s="14">
        <v>0.33333333333333331</v>
      </c>
      <c r="G436" s="67"/>
      <c r="H436" s="68"/>
      <c r="I436" s="37"/>
      <c r="J436" s="15" t="str">
        <f t="shared" si="114"/>
        <v/>
      </c>
      <c r="K436" s="40"/>
      <c r="L436" s="40"/>
      <c r="M436" s="40"/>
      <c r="N436" s="40"/>
      <c r="O436" s="40"/>
      <c r="P436" s="40"/>
      <c r="Q436" s="40"/>
      <c r="R436" s="40"/>
      <c r="S436" s="16">
        <f t="shared" si="115"/>
        <v>0</v>
      </c>
      <c r="T436" s="16">
        <v>100000</v>
      </c>
      <c r="U436" s="16">
        <f t="shared" si="117"/>
        <v>0</v>
      </c>
      <c r="V436" s="4"/>
      <c r="W436" s="4"/>
      <c r="X436" s="4"/>
      <c r="Y436" s="4"/>
    </row>
    <row r="437" spans="2:25" ht="38.25" customHeight="1">
      <c r="B437" s="58">
        <v>46117</v>
      </c>
      <c r="C437" s="59" t="s">
        <v>17</v>
      </c>
      <c r="D437" s="51"/>
      <c r="E437" s="62" t="s">
        <v>101</v>
      </c>
      <c r="F437" s="5">
        <v>0.41666666666666669</v>
      </c>
      <c r="G437" s="65"/>
      <c r="H437" s="66"/>
      <c r="I437" s="34"/>
      <c r="J437" s="6" t="str">
        <f t="shared" ref="J437:J460" si="118">IFERROR(S437/I437,"")</f>
        <v/>
      </c>
      <c r="K437" s="38"/>
      <c r="L437" s="38"/>
      <c r="M437" s="38"/>
      <c r="N437" s="38"/>
      <c r="O437" s="38"/>
      <c r="P437" s="38"/>
      <c r="Q437" s="38"/>
      <c r="R437" s="38"/>
      <c r="S437" s="7">
        <f>SUM(K437:R437)</f>
        <v>0</v>
      </c>
      <c r="T437" s="7">
        <v>100000</v>
      </c>
      <c r="U437" s="7">
        <f>T437*S437</f>
        <v>0</v>
      </c>
      <c r="V437" s="4"/>
      <c r="W437" s="4"/>
      <c r="X437" s="4"/>
      <c r="Y437" s="4"/>
    </row>
    <row r="438" spans="2:25" ht="18.75">
      <c r="B438" s="58"/>
      <c r="C438" s="60"/>
      <c r="D438" s="52"/>
      <c r="E438" s="63"/>
      <c r="F438" s="8">
        <v>0.5</v>
      </c>
      <c r="G438" s="67"/>
      <c r="H438" s="68"/>
      <c r="I438" s="35"/>
      <c r="J438" s="9" t="str">
        <f t="shared" si="118"/>
        <v/>
      </c>
      <c r="K438" s="39"/>
      <c r="L438" s="39"/>
      <c r="M438" s="39"/>
      <c r="N438" s="39"/>
      <c r="O438" s="39"/>
      <c r="P438" s="39"/>
      <c r="Q438" s="39"/>
      <c r="R438" s="39"/>
      <c r="S438" s="10">
        <f t="shared" ref="S438:S448" si="119">SUM(K438:R438)</f>
        <v>0</v>
      </c>
      <c r="T438" s="10">
        <v>100000</v>
      </c>
      <c r="U438" s="10">
        <f t="shared" ref="U438:U439" si="120">T438*S438</f>
        <v>0</v>
      </c>
      <c r="V438" s="4"/>
      <c r="W438" s="4"/>
      <c r="X438" s="4"/>
      <c r="Y438" s="4"/>
    </row>
    <row r="439" spans="2:25" ht="18.75">
      <c r="B439" s="58"/>
      <c r="C439" s="60"/>
      <c r="D439" s="52"/>
      <c r="E439" s="63"/>
      <c r="F439" s="8">
        <v>0.58333333333333337</v>
      </c>
      <c r="G439" s="67"/>
      <c r="H439" s="68"/>
      <c r="I439" s="35"/>
      <c r="J439" s="9" t="str">
        <f t="shared" si="118"/>
        <v/>
      </c>
      <c r="K439" s="39"/>
      <c r="L439" s="39"/>
      <c r="M439" s="39"/>
      <c r="N439" s="39"/>
      <c r="O439" s="39"/>
      <c r="P439" s="39"/>
      <c r="Q439" s="39"/>
      <c r="R439" s="39"/>
      <c r="S439" s="10">
        <f t="shared" si="119"/>
        <v>0</v>
      </c>
      <c r="T439" s="10">
        <v>100000</v>
      </c>
      <c r="U439" s="10">
        <f t="shared" si="120"/>
        <v>0</v>
      </c>
      <c r="V439" s="4"/>
      <c r="W439" s="4"/>
      <c r="X439" s="4"/>
      <c r="Y439" s="4"/>
    </row>
    <row r="440" spans="2:25" ht="18.75">
      <c r="B440" s="58"/>
      <c r="C440" s="60"/>
      <c r="D440" s="52"/>
      <c r="E440" s="63"/>
      <c r="F440" s="8">
        <v>0.66666666666666663</v>
      </c>
      <c r="G440" s="67"/>
      <c r="H440" s="68"/>
      <c r="I440" s="35"/>
      <c r="J440" s="9" t="str">
        <f t="shared" si="118"/>
        <v/>
      </c>
      <c r="K440" s="39"/>
      <c r="L440" s="39"/>
      <c r="M440" s="39"/>
      <c r="N440" s="39"/>
      <c r="O440" s="39"/>
      <c r="P440" s="39"/>
      <c r="Q440" s="39"/>
      <c r="R440" s="39"/>
      <c r="S440" s="10">
        <f t="shared" si="119"/>
        <v>0</v>
      </c>
      <c r="T440" s="10">
        <v>100000</v>
      </c>
      <c r="U440" s="10">
        <f>T440*S440</f>
        <v>0</v>
      </c>
      <c r="V440" s="4"/>
      <c r="W440" s="4"/>
      <c r="X440" s="4"/>
      <c r="Y440" s="4"/>
    </row>
    <row r="441" spans="2:25" ht="18.75">
      <c r="B441" s="58"/>
      <c r="C441" s="60"/>
      <c r="D441" s="52"/>
      <c r="E441" s="63"/>
      <c r="F441" s="8">
        <v>0.75</v>
      </c>
      <c r="G441" s="67"/>
      <c r="H441" s="68"/>
      <c r="I441" s="35"/>
      <c r="J441" s="9" t="str">
        <f t="shared" si="118"/>
        <v/>
      </c>
      <c r="K441" s="39"/>
      <c r="L441" s="39"/>
      <c r="M441" s="39"/>
      <c r="N441" s="39"/>
      <c r="O441" s="39"/>
      <c r="P441" s="39"/>
      <c r="Q441" s="39"/>
      <c r="R441" s="39"/>
      <c r="S441" s="10">
        <f t="shared" si="119"/>
        <v>0</v>
      </c>
      <c r="T441" s="10">
        <v>100000</v>
      </c>
      <c r="U441" s="10">
        <f t="shared" ref="U441:U448" si="121">T441*S441</f>
        <v>0</v>
      </c>
      <c r="V441" s="4"/>
      <c r="W441" s="4"/>
      <c r="X441" s="11"/>
      <c r="Y441" s="4"/>
    </row>
    <row r="442" spans="2:25" ht="18.75">
      <c r="B442" s="58"/>
      <c r="C442" s="60"/>
      <c r="D442" s="53"/>
      <c r="E442" s="64"/>
      <c r="F442" s="12">
        <v>0.83333333333333337</v>
      </c>
      <c r="G442" s="67"/>
      <c r="H442" s="68"/>
      <c r="I442" s="36"/>
      <c r="J442" s="9" t="str">
        <f t="shared" si="118"/>
        <v/>
      </c>
      <c r="K442" s="41"/>
      <c r="L442" s="41"/>
      <c r="M442" s="41"/>
      <c r="N442" s="41"/>
      <c r="O442" s="41"/>
      <c r="P442" s="41"/>
      <c r="Q442" s="41"/>
      <c r="R442" s="41"/>
      <c r="S442" s="13">
        <f t="shared" si="119"/>
        <v>0</v>
      </c>
      <c r="T442" s="13">
        <v>100000</v>
      </c>
      <c r="U442" s="13">
        <f t="shared" si="121"/>
        <v>0</v>
      </c>
      <c r="V442" s="4"/>
      <c r="Y442" s="4"/>
    </row>
    <row r="443" spans="2:25" ht="18.75">
      <c r="B443" s="58"/>
      <c r="C443" s="60"/>
      <c r="D443" s="51"/>
      <c r="E443" s="62" t="s">
        <v>102</v>
      </c>
      <c r="F443" s="5">
        <v>0.91666666666666663</v>
      </c>
      <c r="G443" s="65"/>
      <c r="H443" s="66"/>
      <c r="I443" s="34"/>
      <c r="J443" s="6" t="str">
        <f t="shared" si="118"/>
        <v/>
      </c>
      <c r="K443" s="38"/>
      <c r="L443" s="38"/>
      <c r="M443" s="38"/>
      <c r="N443" s="38"/>
      <c r="O443" s="38"/>
      <c r="P443" s="38"/>
      <c r="Q443" s="38"/>
      <c r="R443" s="38"/>
      <c r="S443" s="7">
        <f t="shared" si="119"/>
        <v>0</v>
      </c>
      <c r="T443" s="7">
        <v>100000</v>
      </c>
      <c r="U443" s="7">
        <f t="shared" si="121"/>
        <v>0</v>
      </c>
      <c r="V443" s="4"/>
      <c r="Y443" s="4"/>
    </row>
    <row r="444" spans="2:25" ht="18.75">
      <c r="B444" s="58"/>
      <c r="C444" s="60"/>
      <c r="D444" s="52"/>
      <c r="E444" s="63"/>
      <c r="F444" s="8">
        <v>1</v>
      </c>
      <c r="G444" s="67"/>
      <c r="H444" s="68"/>
      <c r="I444" s="35"/>
      <c r="J444" s="9" t="str">
        <f t="shared" si="118"/>
        <v/>
      </c>
      <c r="K444" s="39"/>
      <c r="L444" s="39"/>
      <c r="M444" s="39"/>
      <c r="N444" s="39"/>
      <c r="O444" s="39"/>
      <c r="P444" s="39"/>
      <c r="Q444" s="39"/>
      <c r="R444" s="39"/>
      <c r="S444" s="10">
        <f t="shared" si="119"/>
        <v>0</v>
      </c>
      <c r="T444" s="10">
        <v>100000</v>
      </c>
      <c r="U444" s="10">
        <f t="shared" si="121"/>
        <v>0</v>
      </c>
      <c r="V444" s="4"/>
      <c r="Y444" s="4"/>
    </row>
    <row r="445" spans="2:25" ht="18.75">
      <c r="B445" s="58"/>
      <c r="C445" s="60"/>
      <c r="D445" s="52"/>
      <c r="E445" s="63"/>
      <c r="F445" s="8">
        <v>8.3333333333333329E-2</v>
      </c>
      <c r="G445" s="67"/>
      <c r="H445" s="68"/>
      <c r="I445" s="35"/>
      <c r="J445" s="9" t="str">
        <f t="shared" si="118"/>
        <v/>
      </c>
      <c r="K445" s="39"/>
      <c r="L445" s="39"/>
      <c r="M445" s="39"/>
      <c r="N445" s="39"/>
      <c r="O445" s="39"/>
      <c r="P445" s="39"/>
      <c r="Q445" s="39"/>
      <c r="R445" s="39"/>
      <c r="S445" s="10">
        <f t="shared" si="119"/>
        <v>0</v>
      </c>
      <c r="T445" s="10">
        <v>100000</v>
      </c>
      <c r="U445" s="10">
        <f t="shared" si="121"/>
        <v>0</v>
      </c>
      <c r="V445" s="4"/>
      <c r="Y445" s="4"/>
    </row>
    <row r="446" spans="2:25" ht="18.75">
      <c r="B446" s="58"/>
      <c r="C446" s="60"/>
      <c r="D446" s="52"/>
      <c r="E446" s="63"/>
      <c r="F446" s="8">
        <v>0.16666666666666666</v>
      </c>
      <c r="G446" s="67"/>
      <c r="H446" s="68"/>
      <c r="I446" s="35"/>
      <c r="J446" s="9" t="str">
        <f t="shared" si="118"/>
        <v/>
      </c>
      <c r="K446" s="39"/>
      <c r="L446" s="39"/>
      <c r="M446" s="39"/>
      <c r="N446" s="39"/>
      <c r="O446" s="39"/>
      <c r="P446" s="39"/>
      <c r="Q446" s="39"/>
      <c r="R446" s="39"/>
      <c r="S446" s="10">
        <f t="shared" si="119"/>
        <v>0</v>
      </c>
      <c r="T446" s="10">
        <v>100000</v>
      </c>
      <c r="U446" s="10">
        <f t="shared" si="121"/>
        <v>0</v>
      </c>
      <c r="V446" s="4"/>
      <c r="W446" s="4"/>
      <c r="X446" s="4"/>
      <c r="Y446" s="4"/>
    </row>
    <row r="447" spans="2:25" ht="18.75">
      <c r="B447" s="58"/>
      <c r="C447" s="60"/>
      <c r="D447" s="52"/>
      <c r="E447" s="63"/>
      <c r="F447" s="8">
        <v>0.25</v>
      </c>
      <c r="G447" s="67"/>
      <c r="H447" s="68"/>
      <c r="I447" s="35"/>
      <c r="J447" s="9" t="str">
        <f t="shared" si="118"/>
        <v/>
      </c>
      <c r="K447" s="39"/>
      <c r="L447" s="39"/>
      <c r="M447" s="39"/>
      <c r="N447" s="39"/>
      <c r="O447" s="39"/>
      <c r="P447" s="39"/>
      <c r="Q447" s="39"/>
      <c r="R447" s="39"/>
      <c r="S447" s="10">
        <f t="shared" si="119"/>
        <v>0</v>
      </c>
      <c r="T447" s="10">
        <v>100000</v>
      </c>
      <c r="U447" s="10">
        <f t="shared" si="121"/>
        <v>0</v>
      </c>
      <c r="V447" s="4"/>
      <c r="Y447" s="4"/>
    </row>
    <row r="448" spans="2:25" ht="18.75">
      <c r="B448" s="58"/>
      <c r="C448" s="61"/>
      <c r="D448" s="53"/>
      <c r="E448" s="69"/>
      <c r="F448" s="14">
        <v>0.33333333333333331</v>
      </c>
      <c r="G448" s="67"/>
      <c r="H448" s="68"/>
      <c r="I448" s="37"/>
      <c r="J448" s="15" t="str">
        <f t="shared" si="118"/>
        <v/>
      </c>
      <c r="K448" s="40"/>
      <c r="L448" s="40"/>
      <c r="M448" s="40"/>
      <c r="N448" s="40"/>
      <c r="O448" s="40"/>
      <c r="P448" s="40"/>
      <c r="Q448" s="40"/>
      <c r="R448" s="40"/>
      <c r="S448" s="16">
        <f t="shared" si="119"/>
        <v>0</v>
      </c>
      <c r="T448" s="16">
        <v>100000</v>
      </c>
      <c r="U448" s="16">
        <f t="shared" si="121"/>
        <v>0</v>
      </c>
      <c r="V448" s="4"/>
      <c r="W448" s="4"/>
      <c r="X448" s="4"/>
      <c r="Y448" s="4"/>
    </row>
    <row r="449" spans="2:25" ht="38.25" customHeight="1">
      <c r="B449" s="58">
        <v>46118</v>
      </c>
      <c r="C449" s="59" t="s">
        <v>17</v>
      </c>
      <c r="D449" s="51"/>
      <c r="E449" s="62" t="s">
        <v>101</v>
      </c>
      <c r="F449" s="5">
        <v>0.41666666666666669</v>
      </c>
      <c r="G449" s="65"/>
      <c r="H449" s="66"/>
      <c r="I449" s="34"/>
      <c r="J449" s="6" t="str">
        <f t="shared" si="118"/>
        <v/>
      </c>
      <c r="K449" s="38"/>
      <c r="L449" s="38"/>
      <c r="M449" s="38"/>
      <c r="N449" s="38"/>
      <c r="O449" s="38"/>
      <c r="P449" s="38"/>
      <c r="Q449" s="38"/>
      <c r="R449" s="38"/>
      <c r="S449" s="7">
        <f>SUM(K449:R449)</f>
        <v>0</v>
      </c>
      <c r="T449" s="7">
        <v>100000</v>
      </c>
      <c r="U449" s="7">
        <f>T449*S449</f>
        <v>0</v>
      </c>
      <c r="V449" s="4"/>
      <c r="W449" s="4"/>
      <c r="X449" s="4"/>
      <c r="Y449" s="4"/>
    </row>
    <row r="450" spans="2:25" ht="18.75">
      <c r="B450" s="58"/>
      <c r="C450" s="60"/>
      <c r="D450" s="52"/>
      <c r="E450" s="63"/>
      <c r="F450" s="8">
        <v>0.5</v>
      </c>
      <c r="G450" s="67"/>
      <c r="H450" s="68"/>
      <c r="I450" s="35"/>
      <c r="J450" s="9" t="str">
        <f t="shared" si="118"/>
        <v/>
      </c>
      <c r="K450" s="39"/>
      <c r="L450" s="39"/>
      <c r="M450" s="39"/>
      <c r="N450" s="39"/>
      <c r="O450" s="39"/>
      <c r="P450" s="39"/>
      <c r="Q450" s="39"/>
      <c r="R450" s="39"/>
      <c r="S450" s="10">
        <f t="shared" ref="S450:S460" si="122">SUM(K450:R450)</f>
        <v>0</v>
      </c>
      <c r="T450" s="10">
        <v>100000</v>
      </c>
      <c r="U450" s="10">
        <f t="shared" ref="U450:U451" si="123">T450*S450</f>
        <v>0</v>
      </c>
      <c r="V450" s="4"/>
      <c r="W450" s="4"/>
      <c r="X450" s="4"/>
      <c r="Y450" s="4"/>
    </row>
    <row r="451" spans="2:25" ht="18.75">
      <c r="B451" s="58"/>
      <c r="C451" s="60"/>
      <c r="D451" s="52"/>
      <c r="E451" s="63"/>
      <c r="F451" s="8">
        <v>0.58333333333333337</v>
      </c>
      <c r="G451" s="67"/>
      <c r="H451" s="68"/>
      <c r="I451" s="35"/>
      <c r="J451" s="9" t="str">
        <f t="shared" si="118"/>
        <v/>
      </c>
      <c r="K451" s="39"/>
      <c r="L451" s="39"/>
      <c r="M451" s="39"/>
      <c r="N451" s="39"/>
      <c r="O451" s="39"/>
      <c r="P451" s="39"/>
      <c r="Q451" s="39"/>
      <c r="R451" s="39"/>
      <c r="S451" s="10">
        <f t="shared" si="122"/>
        <v>0</v>
      </c>
      <c r="T451" s="10">
        <v>100000</v>
      </c>
      <c r="U451" s="10">
        <f t="shared" si="123"/>
        <v>0</v>
      </c>
      <c r="V451" s="4"/>
      <c r="W451" s="4"/>
      <c r="X451" s="4"/>
      <c r="Y451" s="4"/>
    </row>
    <row r="452" spans="2:25" ht="18.75">
      <c r="B452" s="58"/>
      <c r="C452" s="60"/>
      <c r="D452" s="52"/>
      <c r="E452" s="63"/>
      <c r="F452" s="8">
        <v>0.66666666666666663</v>
      </c>
      <c r="G452" s="67"/>
      <c r="H452" s="68"/>
      <c r="I452" s="35"/>
      <c r="J452" s="9" t="str">
        <f t="shared" si="118"/>
        <v/>
      </c>
      <c r="K452" s="39"/>
      <c r="L452" s="39"/>
      <c r="M452" s="39"/>
      <c r="N452" s="39"/>
      <c r="O452" s="39"/>
      <c r="P452" s="39"/>
      <c r="Q452" s="39"/>
      <c r="R452" s="39"/>
      <c r="S452" s="10">
        <f t="shared" si="122"/>
        <v>0</v>
      </c>
      <c r="T452" s="10">
        <v>100000</v>
      </c>
      <c r="U452" s="10">
        <f>T452*S452</f>
        <v>0</v>
      </c>
      <c r="V452" s="4"/>
      <c r="W452" s="4"/>
      <c r="X452" s="4"/>
      <c r="Y452" s="4"/>
    </row>
    <row r="453" spans="2:25" ht="18.75">
      <c r="B453" s="58"/>
      <c r="C453" s="60"/>
      <c r="D453" s="52"/>
      <c r="E453" s="63"/>
      <c r="F453" s="8">
        <v>0.75</v>
      </c>
      <c r="G453" s="67"/>
      <c r="H453" s="68"/>
      <c r="I453" s="35"/>
      <c r="J453" s="9" t="str">
        <f t="shared" si="118"/>
        <v/>
      </c>
      <c r="K453" s="39"/>
      <c r="L453" s="39"/>
      <c r="M453" s="39"/>
      <c r="N453" s="39"/>
      <c r="O453" s="39"/>
      <c r="P453" s="39"/>
      <c r="Q453" s="39"/>
      <c r="R453" s="39"/>
      <c r="S453" s="10">
        <f t="shared" si="122"/>
        <v>0</v>
      </c>
      <c r="T453" s="10">
        <v>100000</v>
      </c>
      <c r="U453" s="10">
        <f t="shared" ref="U453:U460" si="124">T453*S453</f>
        <v>0</v>
      </c>
      <c r="V453" s="4"/>
      <c r="W453" s="4"/>
      <c r="X453" s="11"/>
      <c r="Y453" s="4"/>
    </row>
    <row r="454" spans="2:25" ht="18.75">
      <c r="B454" s="58"/>
      <c r="C454" s="60"/>
      <c r="D454" s="53"/>
      <c r="E454" s="64"/>
      <c r="F454" s="12">
        <v>0.83333333333333337</v>
      </c>
      <c r="G454" s="67"/>
      <c r="H454" s="68"/>
      <c r="I454" s="36"/>
      <c r="J454" s="9" t="str">
        <f t="shared" si="118"/>
        <v/>
      </c>
      <c r="K454" s="41"/>
      <c r="L454" s="41"/>
      <c r="M454" s="41"/>
      <c r="N454" s="41"/>
      <c r="O454" s="41"/>
      <c r="P454" s="41"/>
      <c r="Q454" s="41"/>
      <c r="R454" s="41"/>
      <c r="S454" s="13">
        <f t="shared" si="122"/>
        <v>0</v>
      </c>
      <c r="T454" s="13">
        <v>100000</v>
      </c>
      <c r="U454" s="13">
        <f t="shared" si="124"/>
        <v>0</v>
      </c>
      <c r="V454" s="4"/>
      <c r="Y454" s="4"/>
    </row>
    <row r="455" spans="2:25" ht="18.75">
      <c r="B455" s="58"/>
      <c r="C455" s="60"/>
      <c r="D455" s="51"/>
      <c r="E455" s="62" t="s">
        <v>102</v>
      </c>
      <c r="F455" s="5">
        <v>0.91666666666666663</v>
      </c>
      <c r="G455" s="65"/>
      <c r="H455" s="66"/>
      <c r="I455" s="34"/>
      <c r="J455" s="6" t="str">
        <f t="shared" si="118"/>
        <v/>
      </c>
      <c r="K455" s="38"/>
      <c r="L455" s="38"/>
      <c r="M455" s="38"/>
      <c r="N455" s="38"/>
      <c r="O455" s="38"/>
      <c r="P455" s="38"/>
      <c r="Q455" s="38"/>
      <c r="R455" s="38"/>
      <c r="S455" s="7">
        <f t="shared" si="122"/>
        <v>0</v>
      </c>
      <c r="T455" s="7">
        <v>100000</v>
      </c>
      <c r="U455" s="7">
        <f t="shared" si="124"/>
        <v>0</v>
      </c>
      <c r="V455" s="4"/>
      <c r="Y455" s="4"/>
    </row>
    <row r="456" spans="2:25" ht="18.75">
      <c r="B456" s="58"/>
      <c r="C456" s="60"/>
      <c r="D456" s="52"/>
      <c r="E456" s="63"/>
      <c r="F456" s="8">
        <v>1</v>
      </c>
      <c r="G456" s="67"/>
      <c r="H456" s="68"/>
      <c r="I456" s="35"/>
      <c r="J456" s="9" t="str">
        <f t="shared" si="118"/>
        <v/>
      </c>
      <c r="K456" s="39"/>
      <c r="L456" s="39"/>
      <c r="M456" s="39"/>
      <c r="N456" s="39"/>
      <c r="O456" s="39"/>
      <c r="P456" s="39"/>
      <c r="Q456" s="39"/>
      <c r="R456" s="39"/>
      <c r="S456" s="10">
        <f t="shared" si="122"/>
        <v>0</v>
      </c>
      <c r="T456" s="10">
        <v>100000</v>
      </c>
      <c r="U456" s="10">
        <f t="shared" si="124"/>
        <v>0</v>
      </c>
      <c r="V456" s="4"/>
      <c r="Y456" s="4"/>
    </row>
    <row r="457" spans="2:25" ht="18.75">
      <c r="B457" s="58"/>
      <c r="C457" s="60"/>
      <c r="D457" s="52"/>
      <c r="E457" s="63"/>
      <c r="F457" s="8">
        <v>8.3333333333333329E-2</v>
      </c>
      <c r="G457" s="67"/>
      <c r="H457" s="68"/>
      <c r="I457" s="35"/>
      <c r="J457" s="9" t="str">
        <f t="shared" si="118"/>
        <v/>
      </c>
      <c r="K457" s="39"/>
      <c r="L457" s="39"/>
      <c r="M457" s="39"/>
      <c r="N457" s="39"/>
      <c r="O457" s="39"/>
      <c r="P457" s="39"/>
      <c r="Q457" s="39"/>
      <c r="R457" s="39"/>
      <c r="S457" s="10">
        <f t="shared" si="122"/>
        <v>0</v>
      </c>
      <c r="T457" s="10">
        <v>100000</v>
      </c>
      <c r="U457" s="10">
        <f t="shared" si="124"/>
        <v>0</v>
      </c>
      <c r="V457" s="4"/>
      <c r="Y457" s="4"/>
    </row>
    <row r="458" spans="2:25" ht="18.75">
      <c r="B458" s="58"/>
      <c r="C458" s="60"/>
      <c r="D458" s="52"/>
      <c r="E458" s="63"/>
      <c r="F458" s="8">
        <v>0.16666666666666666</v>
      </c>
      <c r="G458" s="67"/>
      <c r="H458" s="68"/>
      <c r="I458" s="35"/>
      <c r="J458" s="9" t="str">
        <f t="shared" si="118"/>
        <v/>
      </c>
      <c r="K458" s="39"/>
      <c r="L458" s="39"/>
      <c r="M458" s="39"/>
      <c r="N458" s="39"/>
      <c r="O458" s="39"/>
      <c r="P458" s="39"/>
      <c r="Q458" s="39"/>
      <c r="R458" s="39"/>
      <c r="S458" s="10">
        <f t="shared" si="122"/>
        <v>0</v>
      </c>
      <c r="T458" s="10">
        <v>100000</v>
      </c>
      <c r="U458" s="10">
        <f t="shared" si="124"/>
        <v>0</v>
      </c>
      <c r="V458" s="4"/>
      <c r="W458" s="4"/>
      <c r="X458" s="4"/>
      <c r="Y458" s="4"/>
    </row>
    <row r="459" spans="2:25" ht="18.75">
      <c r="B459" s="58"/>
      <c r="C459" s="60"/>
      <c r="D459" s="52"/>
      <c r="E459" s="63"/>
      <c r="F459" s="8">
        <v>0.25</v>
      </c>
      <c r="G459" s="67"/>
      <c r="H459" s="68"/>
      <c r="I459" s="35"/>
      <c r="J459" s="9" t="str">
        <f t="shared" si="118"/>
        <v/>
      </c>
      <c r="K459" s="39"/>
      <c r="L459" s="39"/>
      <c r="M459" s="39"/>
      <c r="N459" s="39"/>
      <c r="O459" s="39"/>
      <c r="P459" s="39"/>
      <c r="Q459" s="39"/>
      <c r="R459" s="39"/>
      <c r="S459" s="10">
        <f t="shared" si="122"/>
        <v>0</v>
      </c>
      <c r="T459" s="10">
        <v>100000</v>
      </c>
      <c r="U459" s="10">
        <f t="shared" si="124"/>
        <v>0</v>
      </c>
      <c r="V459" s="4"/>
      <c r="Y459" s="4"/>
    </row>
    <row r="460" spans="2:25" ht="18.75">
      <c r="B460" s="58"/>
      <c r="C460" s="61"/>
      <c r="D460" s="53"/>
      <c r="E460" s="69"/>
      <c r="F460" s="14">
        <v>0.33333333333333331</v>
      </c>
      <c r="G460" s="67"/>
      <c r="H460" s="68"/>
      <c r="I460" s="37"/>
      <c r="J460" s="15" t="str">
        <f t="shared" si="118"/>
        <v/>
      </c>
      <c r="K460" s="40"/>
      <c r="L460" s="40"/>
      <c r="M460" s="40"/>
      <c r="N460" s="40"/>
      <c r="O460" s="40"/>
      <c r="P460" s="40"/>
      <c r="Q460" s="40"/>
      <c r="R460" s="40"/>
      <c r="S460" s="16">
        <f t="shared" si="122"/>
        <v>0</v>
      </c>
      <c r="T460" s="16">
        <v>100000</v>
      </c>
      <c r="U460" s="16">
        <f t="shared" si="124"/>
        <v>0</v>
      </c>
      <c r="V460" s="4"/>
      <c r="W460" s="4"/>
      <c r="X460" s="4"/>
      <c r="Y460" s="4"/>
    </row>
    <row r="461" spans="2:25" ht="38.25" customHeight="1">
      <c r="B461" s="58">
        <v>46119</v>
      </c>
      <c r="C461" s="59" t="s">
        <v>17</v>
      </c>
      <c r="D461" s="51"/>
      <c r="E461" s="62" t="s">
        <v>101</v>
      </c>
      <c r="F461" s="5">
        <v>0.41666666666666669</v>
      </c>
      <c r="G461" s="65"/>
      <c r="H461" s="66"/>
      <c r="I461" s="34"/>
      <c r="J461" s="6" t="str">
        <f t="shared" ref="J461:J484" si="125">IFERROR(S461/I461,"")</f>
        <v/>
      </c>
      <c r="K461" s="38"/>
      <c r="L461" s="38"/>
      <c r="M461" s="38"/>
      <c r="N461" s="38"/>
      <c r="O461" s="38"/>
      <c r="P461" s="38"/>
      <c r="Q461" s="38"/>
      <c r="R461" s="38"/>
      <c r="S461" s="7">
        <f>SUM(K461:R461)</f>
        <v>0</v>
      </c>
      <c r="T461" s="7">
        <v>100000</v>
      </c>
      <c r="U461" s="7">
        <f>T461*S461</f>
        <v>0</v>
      </c>
      <c r="V461" s="4"/>
      <c r="W461" s="4"/>
      <c r="X461" s="4"/>
      <c r="Y461" s="4"/>
    </row>
    <row r="462" spans="2:25" ht="18.75">
      <c r="B462" s="58"/>
      <c r="C462" s="60"/>
      <c r="D462" s="52"/>
      <c r="E462" s="63"/>
      <c r="F462" s="8">
        <v>0.5</v>
      </c>
      <c r="G462" s="67"/>
      <c r="H462" s="68"/>
      <c r="I462" s="35"/>
      <c r="J462" s="9" t="str">
        <f t="shared" si="125"/>
        <v/>
      </c>
      <c r="K462" s="39"/>
      <c r="L462" s="39"/>
      <c r="M462" s="39"/>
      <c r="N462" s="39"/>
      <c r="O462" s="39"/>
      <c r="P462" s="39"/>
      <c r="Q462" s="39"/>
      <c r="R462" s="39"/>
      <c r="S462" s="10">
        <f t="shared" ref="S462:S472" si="126">SUM(K462:R462)</f>
        <v>0</v>
      </c>
      <c r="T462" s="10">
        <v>100000</v>
      </c>
      <c r="U462" s="10">
        <f t="shared" ref="U462:U463" si="127">T462*S462</f>
        <v>0</v>
      </c>
      <c r="V462" s="4"/>
      <c r="W462" s="4"/>
      <c r="X462" s="4"/>
      <c r="Y462" s="4"/>
    </row>
    <row r="463" spans="2:25" ht="18.75">
      <c r="B463" s="58"/>
      <c r="C463" s="60"/>
      <c r="D463" s="52"/>
      <c r="E463" s="63"/>
      <c r="F463" s="8">
        <v>0.58333333333333337</v>
      </c>
      <c r="G463" s="67"/>
      <c r="H463" s="68"/>
      <c r="I463" s="35"/>
      <c r="J463" s="9" t="str">
        <f t="shared" si="125"/>
        <v/>
      </c>
      <c r="K463" s="39"/>
      <c r="L463" s="39"/>
      <c r="M463" s="39"/>
      <c r="N463" s="39"/>
      <c r="O463" s="39"/>
      <c r="P463" s="39"/>
      <c r="Q463" s="39"/>
      <c r="R463" s="39"/>
      <c r="S463" s="10">
        <f t="shared" si="126"/>
        <v>0</v>
      </c>
      <c r="T463" s="10">
        <v>100000</v>
      </c>
      <c r="U463" s="10">
        <f t="shared" si="127"/>
        <v>0</v>
      </c>
      <c r="V463" s="4"/>
      <c r="W463" s="4"/>
      <c r="X463" s="4"/>
      <c r="Y463" s="4"/>
    </row>
    <row r="464" spans="2:25" ht="18.75">
      <c r="B464" s="58"/>
      <c r="C464" s="60"/>
      <c r="D464" s="52"/>
      <c r="E464" s="63"/>
      <c r="F464" s="8">
        <v>0.66666666666666663</v>
      </c>
      <c r="G464" s="67"/>
      <c r="H464" s="68"/>
      <c r="I464" s="35"/>
      <c r="J464" s="9" t="str">
        <f t="shared" si="125"/>
        <v/>
      </c>
      <c r="K464" s="39"/>
      <c r="L464" s="39"/>
      <c r="M464" s="39"/>
      <c r="N464" s="39"/>
      <c r="O464" s="39"/>
      <c r="P464" s="39"/>
      <c r="Q464" s="39"/>
      <c r="R464" s="39"/>
      <c r="S464" s="10">
        <f t="shared" si="126"/>
        <v>0</v>
      </c>
      <c r="T464" s="10">
        <v>100000</v>
      </c>
      <c r="U464" s="10">
        <f>T464*S464</f>
        <v>0</v>
      </c>
      <c r="V464" s="4"/>
      <c r="W464" s="4"/>
      <c r="X464" s="4"/>
      <c r="Y464" s="4"/>
    </row>
    <row r="465" spans="2:25" ht="18.75">
      <c r="B465" s="58"/>
      <c r="C465" s="60"/>
      <c r="D465" s="52"/>
      <c r="E465" s="63"/>
      <c r="F465" s="8">
        <v>0.75</v>
      </c>
      <c r="G465" s="67"/>
      <c r="H465" s="68"/>
      <c r="I465" s="35"/>
      <c r="J465" s="9" t="str">
        <f t="shared" si="125"/>
        <v/>
      </c>
      <c r="K465" s="39"/>
      <c r="L465" s="39"/>
      <c r="M465" s="39"/>
      <c r="N465" s="39"/>
      <c r="O465" s="39"/>
      <c r="P465" s="39"/>
      <c r="Q465" s="39"/>
      <c r="R465" s="39"/>
      <c r="S465" s="10">
        <f t="shared" si="126"/>
        <v>0</v>
      </c>
      <c r="T465" s="10">
        <v>100000</v>
      </c>
      <c r="U465" s="10">
        <f t="shared" ref="U465:U472" si="128">T465*S465</f>
        <v>0</v>
      </c>
      <c r="V465" s="4"/>
      <c r="W465" s="4"/>
      <c r="X465" s="11"/>
      <c r="Y465" s="4"/>
    </row>
    <row r="466" spans="2:25" ht="18.75">
      <c r="B466" s="58"/>
      <c r="C466" s="60"/>
      <c r="D466" s="53"/>
      <c r="E466" s="64"/>
      <c r="F466" s="12">
        <v>0.83333333333333337</v>
      </c>
      <c r="G466" s="67"/>
      <c r="H466" s="68"/>
      <c r="I466" s="36"/>
      <c r="J466" s="9" t="str">
        <f t="shared" si="125"/>
        <v/>
      </c>
      <c r="K466" s="41"/>
      <c r="L466" s="41"/>
      <c r="M466" s="41"/>
      <c r="N466" s="41"/>
      <c r="O466" s="41"/>
      <c r="P466" s="41"/>
      <c r="Q466" s="41"/>
      <c r="R466" s="41"/>
      <c r="S466" s="13">
        <f t="shared" si="126"/>
        <v>0</v>
      </c>
      <c r="T466" s="13">
        <v>100000</v>
      </c>
      <c r="U466" s="13">
        <f t="shared" si="128"/>
        <v>0</v>
      </c>
      <c r="V466" s="4"/>
      <c r="Y466" s="4"/>
    </row>
    <row r="467" spans="2:25" ht="18.75">
      <c r="B467" s="58"/>
      <c r="C467" s="60"/>
      <c r="D467" s="51"/>
      <c r="E467" s="62" t="s">
        <v>102</v>
      </c>
      <c r="F467" s="5">
        <v>0.91666666666666663</v>
      </c>
      <c r="G467" s="65"/>
      <c r="H467" s="66"/>
      <c r="I467" s="34"/>
      <c r="J467" s="6" t="str">
        <f t="shared" si="125"/>
        <v/>
      </c>
      <c r="K467" s="38"/>
      <c r="L467" s="38"/>
      <c r="M467" s="38"/>
      <c r="N467" s="38"/>
      <c r="O467" s="38"/>
      <c r="P467" s="38"/>
      <c r="Q467" s="38"/>
      <c r="R467" s="38"/>
      <c r="S467" s="7">
        <f t="shared" si="126"/>
        <v>0</v>
      </c>
      <c r="T467" s="7">
        <v>100000</v>
      </c>
      <c r="U467" s="7">
        <f t="shared" si="128"/>
        <v>0</v>
      </c>
      <c r="V467" s="4"/>
      <c r="Y467" s="4"/>
    </row>
    <row r="468" spans="2:25" ht="18.75">
      <c r="B468" s="58"/>
      <c r="C468" s="60"/>
      <c r="D468" s="52"/>
      <c r="E468" s="63"/>
      <c r="F468" s="8">
        <v>1</v>
      </c>
      <c r="G468" s="67"/>
      <c r="H468" s="68"/>
      <c r="I468" s="35"/>
      <c r="J468" s="9" t="str">
        <f t="shared" si="125"/>
        <v/>
      </c>
      <c r="K468" s="39"/>
      <c r="L468" s="39"/>
      <c r="M468" s="39"/>
      <c r="N468" s="39"/>
      <c r="O468" s="39"/>
      <c r="P468" s="39"/>
      <c r="Q468" s="39"/>
      <c r="R468" s="39"/>
      <c r="S468" s="10">
        <f t="shared" si="126"/>
        <v>0</v>
      </c>
      <c r="T468" s="10">
        <v>100000</v>
      </c>
      <c r="U468" s="10">
        <f t="shared" si="128"/>
        <v>0</v>
      </c>
      <c r="V468" s="4"/>
      <c r="Y468" s="4"/>
    </row>
    <row r="469" spans="2:25" ht="18.75">
      <c r="B469" s="58"/>
      <c r="C469" s="60"/>
      <c r="D469" s="52"/>
      <c r="E469" s="63"/>
      <c r="F469" s="8">
        <v>8.3333333333333329E-2</v>
      </c>
      <c r="G469" s="67"/>
      <c r="H469" s="68"/>
      <c r="I469" s="35"/>
      <c r="J469" s="9" t="str">
        <f t="shared" si="125"/>
        <v/>
      </c>
      <c r="K469" s="39"/>
      <c r="L469" s="39"/>
      <c r="M469" s="39"/>
      <c r="N469" s="39"/>
      <c r="O469" s="39"/>
      <c r="P469" s="39"/>
      <c r="Q469" s="39"/>
      <c r="R469" s="39"/>
      <c r="S469" s="10">
        <f t="shared" si="126"/>
        <v>0</v>
      </c>
      <c r="T469" s="10">
        <v>100000</v>
      </c>
      <c r="U469" s="10">
        <f t="shared" si="128"/>
        <v>0</v>
      </c>
      <c r="V469" s="4"/>
      <c r="Y469" s="4"/>
    </row>
    <row r="470" spans="2:25" ht="18.75">
      <c r="B470" s="58"/>
      <c r="C470" s="60"/>
      <c r="D470" s="52"/>
      <c r="E470" s="63"/>
      <c r="F470" s="8">
        <v>0.16666666666666666</v>
      </c>
      <c r="G470" s="67"/>
      <c r="H470" s="68"/>
      <c r="I470" s="35"/>
      <c r="J470" s="9" t="str">
        <f t="shared" si="125"/>
        <v/>
      </c>
      <c r="K470" s="39"/>
      <c r="L470" s="39"/>
      <c r="M470" s="39"/>
      <c r="N470" s="39"/>
      <c r="O470" s="39"/>
      <c r="P470" s="39"/>
      <c r="Q470" s="39"/>
      <c r="R470" s="39"/>
      <c r="S470" s="10">
        <f t="shared" si="126"/>
        <v>0</v>
      </c>
      <c r="T470" s="10">
        <v>100000</v>
      </c>
      <c r="U470" s="10">
        <f t="shared" si="128"/>
        <v>0</v>
      </c>
      <c r="V470" s="4"/>
      <c r="W470" s="4"/>
      <c r="X470" s="4"/>
      <c r="Y470" s="4"/>
    </row>
    <row r="471" spans="2:25" ht="18.75">
      <c r="B471" s="58"/>
      <c r="C471" s="60"/>
      <c r="D471" s="52"/>
      <c r="E471" s="63"/>
      <c r="F471" s="8">
        <v>0.25</v>
      </c>
      <c r="G471" s="67"/>
      <c r="H471" s="68"/>
      <c r="I471" s="35"/>
      <c r="J471" s="9" t="str">
        <f t="shared" si="125"/>
        <v/>
      </c>
      <c r="K471" s="39"/>
      <c r="L471" s="39"/>
      <c r="M471" s="39"/>
      <c r="N471" s="39"/>
      <c r="O471" s="39"/>
      <c r="P471" s="39"/>
      <c r="Q471" s="39"/>
      <c r="R471" s="39"/>
      <c r="S471" s="10">
        <f t="shared" si="126"/>
        <v>0</v>
      </c>
      <c r="T471" s="10">
        <v>100000</v>
      </c>
      <c r="U471" s="10">
        <f t="shared" si="128"/>
        <v>0</v>
      </c>
      <c r="V471" s="4"/>
      <c r="Y471" s="4"/>
    </row>
    <row r="472" spans="2:25" ht="18.75">
      <c r="B472" s="58"/>
      <c r="C472" s="61"/>
      <c r="D472" s="53"/>
      <c r="E472" s="69"/>
      <c r="F472" s="14">
        <v>0.33333333333333331</v>
      </c>
      <c r="G472" s="67"/>
      <c r="H472" s="68"/>
      <c r="I472" s="37"/>
      <c r="J472" s="15" t="str">
        <f t="shared" si="125"/>
        <v/>
      </c>
      <c r="K472" s="40"/>
      <c r="L472" s="40"/>
      <c r="M472" s="40"/>
      <c r="N472" s="40"/>
      <c r="O472" s="40"/>
      <c r="P472" s="40"/>
      <c r="Q472" s="40"/>
      <c r="R472" s="40"/>
      <c r="S472" s="16">
        <f t="shared" si="126"/>
        <v>0</v>
      </c>
      <c r="T472" s="16">
        <v>100000</v>
      </c>
      <c r="U472" s="16">
        <f t="shared" si="128"/>
        <v>0</v>
      </c>
      <c r="V472" s="4"/>
      <c r="W472" s="4"/>
      <c r="X472" s="4"/>
      <c r="Y472" s="4"/>
    </row>
    <row r="473" spans="2:25" ht="38.25" customHeight="1">
      <c r="B473" s="58">
        <v>46120</v>
      </c>
      <c r="C473" s="59" t="s">
        <v>17</v>
      </c>
      <c r="D473" s="51"/>
      <c r="E473" s="62" t="s">
        <v>101</v>
      </c>
      <c r="F473" s="5">
        <v>0.41666666666666669</v>
      </c>
      <c r="G473" s="65"/>
      <c r="H473" s="66"/>
      <c r="I473" s="34"/>
      <c r="J473" s="6" t="str">
        <f t="shared" si="125"/>
        <v/>
      </c>
      <c r="K473" s="38"/>
      <c r="L473" s="38"/>
      <c r="M473" s="38"/>
      <c r="N473" s="38"/>
      <c r="O473" s="38"/>
      <c r="P473" s="38"/>
      <c r="Q473" s="38"/>
      <c r="R473" s="38"/>
      <c r="S473" s="7">
        <f>SUM(K473:R473)</f>
        <v>0</v>
      </c>
      <c r="T473" s="7">
        <v>100000</v>
      </c>
      <c r="U473" s="7">
        <f>T473*S473</f>
        <v>0</v>
      </c>
      <c r="V473" s="4"/>
      <c r="W473" s="4"/>
      <c r="X473" s="4"/>
      <c r="Y473" s="4"/>
    </row>
    <row r="474" spans="2:25" ht="18.75">
      <c r="B474" s="58"/>
      <c r="C474" s="60"/>
      <c r="D474" s="52"/>
      <c r="E474" s="63"/>
      <c r="F474" s="8">
        <v>0.5</v>
      </c>
      <c r="G474" s="67"/>
      <c r="H474" s="68"/>
      <c r="I474" s="35"/>
      <c r="J474" s="9" t="str">
        <f t="shared" si="125"/>
        <v/>
      </c>
      <c r="K474" s="39"/>
      <c r="L474" s="39"/>
      <c r="M474" s="39"/>
      <c r="N474" s="39"/>
      <c r="O474" s="39"/>
      <c r="P474" s="39"/>
      <c r="Q474" s="39"/>
      <c r="R474" s="39"/>
      <c r="S474" s="10">
        <f t="shared" ref="S474:S484" si="129">SUM(K474:R474)</f>
        <v>0</v>
      </c>
      <c r="T474" s="10">
        <v>100000</v>
      </c>
      <c r="U474" s="10">
        <f t="shared" ref="U474:U475" si="130">T474*S474</f>
        <v>0</v>
      </c>
      <c r="V474" s="4"/>
      <c r="W474" s="4"/>
      <c r="X474" s="4"/>
      <c r="Y474" s="4"/>
    </row>
    <row r="475" spans="2:25" ht="18.75">
      <c r="B475" s="58"/>
      <c r="C475" s="60"/>
      <c r="D475" s="52"/>
      <c r="E475" s="63"/>
      <c r="F475" s="8">
        <v>0.58333333333333337</v>
      </c>
      <c r="G475" s="67"/>
      <c r="H475" s="68"/>
      <c r="I475" s="35"/>
      <c r="J475" s="9" t="str">
        <f t="shared" si="125"/>
        <v/>
      </c>
      <c r="K475" s="39"/>
      <c r="L475" s="39"/>
      <c r="M475" s="39"/>
      <c r="N475" s="39"/>
      <c r="O475" s="39"/>
      <c r="P475" s="39"/>
      <c r="Q475" s="39"/>
      <c r="R475" s="39"/>
      <c r="S475" s="10">
        <f t="shared" si="129"/>
        <v>0</v>
      </c>
      <c r="T475" s="10">
        <v>100000</v>
      </c>
      <c r="U475" s="10">
        <f t="shared" si="130"/>
        <v>0</v>
      </c>
      <c r="V475" s="4"/>
      <c r="W475" s="4"/>
      <c r="X475" s="4"/>
      <c r="Y475" s="4"/>
    </row>
    <row r="476" spans="2:25" ht="18.75">
      <c r="B476" s="58"/>
      <c r="C476" s="60"/>
      <c r="D476" s="52"/>
      <c r="E476" s="63"/>
      <c r="F476" s="8">
        <v>0.66666666666666663</v>
      </c>
      <c r="G476" s="67"/>
      <c r="H476" s="68"/>
      <c r="I476" s="35"/>
      <c r="J476" s="9" t="str">
        <f t="shared" si="125"/>
        <v/>
      </c>
      <c r="K476" s="39"/>
      <c r="L476" s="39"/>
      <c r="M476" s="39"/>
      <c r="N476" s="39"/>
      <c r="O476" s="39"/>
      <c r="P476" s="39"/>
      <c r="Q476" s="39"/>
      <c r="R476" s="39"/>
      <c r="S476" s="10">
        <f t="shared" si="129"/>
        <v>0</v>
      </c>
      <c r="T476" s="10">
        <v>100000</v>
      </c>
      <c r="U476" s="10">
        <f>T476*S476</f>
        <v>0</v>
      </c>
      <c r="V476" s="4"/>
      <c r="W476" s="4"/>
      <c r="X476" s="4"/>
      <c r="Y476" s="4"/>
    </row>
    <row r="477" spans="2:25" ht="18.75">
      <c r="B477" s="58"/>
      <c r="C477" s="60"/>
      <c r="D477" s="52"/>
      <c r="E477" s="63"/>
      <c r="F477" s="8">
        <v>0.75</v>
      </c>
      <c r="G477" s="67"/>
      <c r="H477" s="68"/>
      <c r="I477" s="35"/>
      <c r="J477" s="9" t="str">
        <f t="shared" si="125"/>
        <v/>
      </c>
      <c r="K477" s="39"/>
      <c r="L477" s="39"/>
      <c r="M477" s="39"/>
      <c r="N477" s="39"/>
      <c r="O477" s="39"/>
      <c r="P477" s="39"/>
      <c r="Q477" s="39"/>
      <c r="R477" s="39"/>
      <c r="S477" s="10">
        <f t="shared" si="129"/>
        <v>0</v>
      </c>
      <c r="T477" s="10">
        <v>100000</v>
      </c>
      <c r="U477" s="10">
        <f t="shared" ref="U477:U484" si="131">T477*S477</f>
        <v>0</v>
      </c>
      <c r="V477" s="4"/>
      <c r="W477" s="4"/>
      <c r="X477" s="11"/>
      <c r="Y477" s="4"/>
    </row>
    <row r="478" spans="2:25" ht="18.75">
      <c r="B478" s="58"/>
      <c r="C478" s="60"/>
      <c r="D478" s="53"/>
      <c r="E478" s="64"/>
      <c r="F478" s="12">
        <v>0.83333333333333337</v>
      </c>
      <c r="G478" s="67"/>
      <c r="H478" s="68"/>
      <c r="I478" s="36"/>
      <c r="J478" s="9" t="str">
        <f t="shared" si="125"/>
        <v/>
      </c>
      <c r="K478" s="41"/>
      <c r="L478" s="41"/>
      <c r="M478" s="41"/>
      <c r="N478" s="41"/>
      <c r="O478" s="41"/>
      <c r="P478" s="41"/>
      <c r="Q478" s="41"/>
      <c r="R478" s="41"/>
      <c r="S478" s="13">
        <f t="shared" si="129"/>
        <v>0</v>
      </c>
      <c r="T478" s="13">
        <v>100000</v>
      </c>
      <c r="U478" s="13">
        <f t="shared" si="131"/>
        <v>0</v>
      </c>
      <c r="V478" s="4"/>
      <c r="Y478" s="4"/>
    </row>
    <row r="479" spans="2:25" ht="18.75">
      <c r="B479" s="58"/>
      <c r="C479" s="60"/>
      <c r="D479" s="51"/>
      <c r="E479" s="62" t="s">
        <v>102</v>
      </c>
      <c r="F479" s="5">
        <v>0.91666666666666663</v>
      </c>
      <c r="G479" s="65"/>
      <c r="H479" s="66"/>
      <c r="I479" s="34"/>
      <c r="J479" s="6" t="str">
        <f t="shared" si="125"/>
        <v/>
      </c>
      <c r="K479" s="38"/>
      <c r="L479" s="38"/>
      <c r="M479" s="38"/>
      <c r="N479" s="38"/>
      <c r="O479" s="38"/>
      <c r="P479" s="38"/>
      <c r="Q479" s="38"/>
      <c r="R479" s="38"/>
      <c r="S479" s="7">
        <f t="shared" si="129"/>
        <v>0</v>
      </c>
      <c r="T479" s="7">
        <v>100000</v>
      </c>
      <c r="U479" s="7">
        <f t="shared" si="131"/>
        <v>0</v>
      </c>
      <c r="V479" s="4"/>
      <c r="Y479" s="4"/>
    </row>
    <row r="480" spans="2:25" ht="18.75">
      <c r="B480" s="58"/>
      <c r="C480" s="60"/>
      <c r="D480" s="52"/>
      <c r="E480" s="63"/>
      <c r="F480" s="8">
        <v>1</v>
      </c>
      <c r="G480" s="67"/>
      <c r="H480" s="68"/>
      <c r="I480" s="35"/>
      <c r="J480" s="9" t="str">
        <f t="shared" si="125"/>
        <v/>
      </c>
      <c r="K480" s="39"/>
      <c r="L480" s="39"/>
      <c r="M480" s="39"/>
      <c r="N480" s="39"/>
      <c r="O480" s="39"/>
      <c r="P480" s="39"/>
      <c r="Q480" s="39"/>
      <c r="R480" s="39"/>
      <c r="S480" s="10">
        <f t="shared" si="129"/>
        <v>0</v>
      </c>
      <c r="T480" s="10">
        <v>100000</v>
      </c>
      <c r="U480" s="10">
        <f t="shared" si="131"/>
        <v>0</v>
      </c>
      <c r="V480" s="4"/>
      <c r="Y480" s="4"/>
    </row>
    <row r="481" spans="2:25" ht="18.75">
      <c r="B481" s="58"/>
      <c r="C481" s="60"/>
      <c r="D481" s="52"/>
      <c r="E481" s="63"/>
      <c r="F481" s="8">
        <v>8.3333333333333329E-2</v>
      </c>
      <c r="G481" s="67"/>
      <c r="H481" s="68"/>
      <c r="I481" s="35"/>
      <c r="J481" s="9" t="str">
        <f t="shared" si="125"/>
        <v/>
      </c>
      <c r="K481" s="39"/>
      <c r="L481" s="39"/>
      <c r="M481" s="39"/>
      <c r="N481" s="39"/>
      <c r="O481" s="39"/>
      <c r="P481" s="39"/>
      <c r="Q481" s="39"/>
      <c r="R481" s="39"/>
      <c r="S481" s="10">
        <f t="shared" si="129"/>
        <v>0</v>
      </c>
      <c r="T481" s="10">
        <v>100000</v>
      </c>
      <c r="U481" s="10">
        <f t="shared" si="131"/>
        <v>0</v>
      </c>
      <c r="V481" s="4"/>
      <c r="Y481" s="4"/>
    </row>
    <row r="482" spans="2:25" ht="18.75">
      <c r="B482" s="58"/>
      <c r="C482" s="60"/>
      <c r="D482" s="52"/>
      <c r="E482" s="63"/>
      <c r="F482" s="8">
        <v>0.16666666666666666</v>
      </c>
      <c r="G482" s="67"/>
      <c r="H482" s="68"/>
      <c r="I482" s="35"/>
      <c r="J482" s="9" t="str">
        <f t="shared" si="125"/>
        <v/>
      </c>
      <c r="K482" s="39"/>
      <c r="L482" s="39"/>
      <c r="M482" s="39"/>
      <c r="N482" s="39"/>
      <c r="O482" s="39"/>
      <c r="P482" s="39"/>
      <c r="Q482" s="39"/>
      <c r="R482" s="39"/>
      <c r="S482" s="10">
        <f t="shared" si="129"/>
        <v>0</v>
      </c>
      <c r="T482" s="10">
        <v>100000</v>
      </c>
      <c r="U482" s="10">
        <f t="shared" si="131"/>
        <v>0</v>
      </c>
      <c r="V482" s="4"/>
      <c r="W482" s="4"/>
      <c r="X482" s="4"/>
      <c r="Y482" s="4"/>
    </row>
    <row r="483" spans="2:25" ht="18.75">
      <c r="B483" s="58"/>
      <c r="C483" s="60"/>
      <c r="D483" s="52"/>
      <c r="E483" s="63"/>
      <c r="F483" s="8">
        <v>0.25</v>
      </c>
      <c r="G483" s="67"/>
      <c r="H483" s="68"/>
      <c r="I483" s="35"/>
      <c r="J483" s="9" t="str">
        <f t="shared" si="125"/>
        <v/>
      </c>
      <c r="K483" s="39"/>
      <c r="L483" s="39"/>
      <c r="M483" s="39"/>
      <c r="N483" s="39"/>
      <c r="O483" s="39"/>
      <c r="P483" s="39"/>
      <c r="Q483" s="39"/>
      <c r="R483" s="39"/>
      <c r="S483" s="10">
        <f t="shared" si="129"/>
        <v>0</v>
      </c>
      <c r="T483" s="10">
        <v>100000</v>
      </c>
      <c r="U483" s="10">
        <f t="shared" si="131"/>
        <v>0</v>
      </c>
      <c r="V483" s="4"/>
      <c r="Y483" s="4"/>
    </row>
    <row r="484" spans="2:25" ht="18.75">
      <c r="B484" s="58"/>
      <c r="C484" s="61"/>
      <c r="D484" s="53"/>
      <c r="E484" s="69"/>
      <c r="F484" s="14">
        <v>0.33333333333333331</v>
      </c>
      <c r="G484" s="67"/>
      <c r="H484" s="68"/>
      <c r="I484" s="37"/>
      <c r="J484" s="15" t="str">
        <f t="shared" si="125"/>
        <v/>
      </c>
      <c r="K484" s="40"/>
      <c r="L484" s="40"/>
      <c r="M484" s="40"/>
      <c r="N484" s="40"/>
      <c r="O484" s="40"/>
      <c r="P484" s="40"/>
      <c r="Q484" s="40"/>
      <c r="R484" s="40"/>
      <c r="S484" s="16">
        <f t="shared" si="129"/>
        <v>0</v>
      </c>
      <c r="T484" s="16">
        <v>100000</v>
      </c>
      <c r="U484" s="16">
        <f t="shared" si="131"/>
        <v>0</v>
      </c>
      <c r="V484" s="4"/>
      <c r="W484" s="4"/>
      <c r="X484" s="4"/>
      <c r="Y484" s="4"/>
    </row>
  </sheetData>
  <mergeCells count="642">
    <mergeCell ref="B473:B484"/>
    <mergeCell ref="C473:C484"/>
    <mergeCell ref="E473:E478"/>
    <mergeCell ref="G473:H473"/>
    <mergeCell ref="G474:H474"/>
    <mergeCell ref="G475:H475"/>
    <mergeCell ref="G476:H476"/>
    <mergeCell ref="G477:H477"/>
    <mergeCell ref="G478:H478"/>
    <mergeCell ref="E479:E484"/>
    <mergeCell ref="G479:H479"/>
    <mergeCell ref="G480:H480"/>
    <mergeCell ref="G481:H481"/>
    <mergeCell ref="G482:H482"/>
    <mergeCell ref="G483:H483"/>
    <mergeCell ref="G484:H484"/>
    <mergeCell ref="B461:B472"/>
    <mergeCell ref="C461:C472"/>
    <mergeCell ref="E461:E466"/>
    <mergeCell ref="G461:H461"/>
    <mergeCell ref="G462:H462"/>
    <mergeCell ref="G463:H463"/>
    <mergeCell ref="G464:H464"/>
    <mergeCell ref="G465:H465"/>
    <mergeCell ref="G466:H466"/>
    <mergeCell ref="E467:E472"/>
    <mergeCell ref="G467:H467"/>
    <mergeCell ref="G468:H468"/>
    <mergeCell ref="G469:H469"/>
    <mergeCell ref="G470:H470"/>
    <mergeCell ref="G471:H471"/>
    <mergeCell ref="G472:H472"/>
    <mergeCell ref="B413:B424"/>
    <mergeCell ref="C413:C424"/>
    <mergeCell ref="E413:E418"/>
    <mergeCell ref="G413:H413"/>
    <mergeCell ref="G414:H414"/>
    <mergeCell ref="G415:H415"/>
    <mergeCell ref="G416:H416"/>
    <mergeCell ref="G417:H417"/>
    <mergeCell ref="G418:H418"/>
    <mergeCell ref="E419:E424"/>
    <mergeCell ref="G419:H419"/>
    <mergeCell ref="G420:H420"/>
    <mergeCell ref="G421:H421"/>
    <mergeCell ref="G422:H422"/>
    <mergeCell ref="G423:H423"/>
    <mergeCell ref="G424:H424"/>
    <mergeCell ref="B401:B412"/>
    <mergeCell ref="C401:C412"/>
    <mergeCell ref="E401:E406"/>
    <mergeCell ref="G401:H401"/>
    <mergeCell ref="G402:H402"/>
    <mergeCell ref="G403:H403"/>
    <mergeCell ref="G404:H404"/>
    <mergeCell ref="G405:H405"/>
    <mergeCell ref="G406:H406"/>
    <mergeCell ref="E407:E412"/>
    <mergeCell ref="G407:H407"/>
    <mergeCell ref="G408:H408"/>
    <mergeCell ref="G409:H409"/>
    <mergeCell ref="G410:H410"/>
    <mergeCell ref="G411:H411"/>
    <mergeCell ref="G412:H412"/>
    <mergeCell ref="B353:B364"/>
    <mergeCell ref="C353:C364"/>
    <mergeCell ref="E353:E358"/>
    <mergeCell ref="G353:H353"/>
    <mergeCell ref="G354:H354"/>
    <mergeCell ref="G355:H355"/>
    <mergeCell ref="G356:H356"/>
    <mergeCell ref="G357:H357"/>
    <mergeCell ref="G358:H358"/>
    <mergeCell ref="E359:E364"/>
    <mergeCell ref="G359:H359"/>
    <mergeCell ref="G360:H360"/>
    <mergeCell ref="G361:H361"/>
    <mergeCell ref="G362:H362"/>
    <mergeCell ref="G363:H363"/>
    <mergeCell ref="G364:H364"/>
    <mergeCell ref="B341:B352"/>
    <mergeCell ref="C341:C352"/>
    <mergeCell ref="E341:E346"/>
    <mergeCell ref="G341:H341"/>
    <mergeCell ref="G342:H342"/>
    <mergeCell ref="G343:H343"/>
    <mergeCell ref="G344:H344"/>
    <mergeCell ref="G345:H345"/>
    <mergeCell ref="G346:H346"/>
    <mergeCell ref="E347:E352"/>
    <mergeCell ref="G347:H347"/>
    <mergeCell ref="G348:H348"/>
    <mergeCell ref="G349:H349"/>
    <mergeCell ref="G350:H350"/>
    <mergeCell ref="G351:H351"/>
    <mergeCell ref="G352:H352"/>
    <mergeCell ref="B329:B340"/>
    <mergeCell ref="C329:C340"/>
    <mergeCell ref="E329:E334"/>
    <mergeCell ref="G329:H329"/>
    <mergeCell ref="G330:H330"/>
    <mergeCell ref="G331:H331"/>
    <mergeCell ref="G332:H332"/>
    <mergeCell ref="G333:H333"/>
    <mergeCell ref="G334:H334"/>
    <mergeCell ref="E335:E340"/>
    <mergeCell ref="G335:H335"/>
    <mergeCell ref="G336:H336"/>
    <mergeCell ref="G337:H337"/>
    <mergeCell ref="G338:H338"/>
    <mergeCell ref="G339:H339"/>
    <mergeCell ref="G340:H340"/>
    <mergeCell ref="B317:B328"/>
    <mergeCell ref="C317:C328"/>
    <mergeCell ref="E317:E322"/>
    <mergeCell ref="G317:H317"/>
    <mergeCell ref="G318:H318"/>
    <mergeCell ref="G319:H319"/>
    <mergeCell ref="G320:H320"/>
    <mergeCell ref="G321:H321"/>
    <mergeCell ref="G322:H322"/>
    <mergeCell ref="E323:E328"/>
    <mergeCell ref="G323:H323"/>
    <mergeCell ref="G324:H324"/>
    <mergeCell ref="G325:H325"/>
    <mergeCell ref="G326:H326"/>
    <mergeCell ref="G327:H327"/>
    <mergeCell ref="G328:H328"/>
    <mergeCell ref="B305:B316"/>
    <mergeCell ref="C305:C316"/>
    <mergeCell ref="E305:E310"/>
    <mergeCell ref="G305:H305"/>
    <mergeCell ref="G306:H306"/>
    <mergeCell ref="G307:H307"/>
    <mergeCell ref="G308:H308"/>
    <mergeCell ref="G309:H309"/>
    <mergeCell ref="G310:H310"/>
    <mergeCell ref="E311:E316"/>
    <mergeCell ref="G311:H311"/>
    <mergeCell ref="G312:H312"/>
    <mergeCell ref="G313:H313"/>
    <mergeCell ref="G314:H314"/>
    <mergeCell ref="G315:H315"/>
    <mergeCell ref="G316:H316"/>
    <mergeCell ref="B269:B280"/>
    <mergeCell ref="C269:C280"/>
    <mergeCell ref="E269:E274"/>
    <mergeCell ref="G269:H269"/>
    <mergeCell ref="G270:H270"/>
    <mergeCell ref="G271:H271"/>
    <mergeCell ref="G272:H272"/>
    <mergeCell ref="G273:H273"/>
    <mergeCell ref="G274:H274"/>
    <mergeCell ref="E275:E280"/>
    <mergeCell ref="G275:H275"/>
    <mergeCell ref="G276:H276"/>
    <mergeCell ref="G277:H277"/>
    <mergeCell ref="G278:H278"/>
    <mergeCell ref="G279:H279"/>
    <mergeCell ref="G280:H280"/>
    <mergeCell ref="B257:B268"/>
    <mergeCell ref="C257:C268"/>
    <mergeCell ref="E257:E262"/>
    <mergeCell ref="G257:H257"/>
    <mergeCell ref="G258:H258"/>
    <mergeCell ref="G259:H259"/>
    <mergeCell ref="G260:H260"/>
    <mergeCell ref="G261:H261"/>
    <mergeCell ref="G262:H262"/>
    <mergeCell ref="E263:E268"/>
    <mergeCell ref="G263:H263"/>
    <mergeCell ref="G264:H264"/>
    <mergeCell ref="G265:H265"/>
    <mergeCell ref="G266:H266"/>
    <mergeCell ref="G267:H267"/>
    <mergeCell ref="G268:H268"/>
    <mergeCell ref="B245:B256"/>
    <mergeCell ref="C245:C256"/>
    <mergeCell ref="E245:E250"/>
    <mergeCell ref="G245:H245"/>
    <mergeCell ref="G246:H246"/>
    <mergeCell ref="G247:H247"/>
    <mergeCell ref="G248:H248"/>
    <mergeCell ref="G249:H249"/>
    <mergeCell ref="G250:H250"/>
    <mergeCell ref="E251:E256"/>
    <mergeCell ref="G251:H251"/>
    <mergeCell ref="G252:H252"/>
    <mergeCell ref="G253:H253"/>
    <mergeCell ref="G254:H254"/>
    <mergeCell ref="G255:H255"/>
    <mergeCell ref="G256:H256"/>
    <mergeCell ref="B197:B208"/>
    <mergeCell ref="C197:C208"/>
    <mergeCell ref="E197:E202"/>
    <mergeCell ref="G197:H197"/>
    <mergeCell ref="G198:H198"/>
    <mergeCell ref="G199:H199"/>
    <mergeCell ref="G200:H200"/>
    <mergeCell ref="G201:H201"/>
    <mergeCell ref="G202:H202"/>
    <mergeCell ref="E203:E208"/>
    <mergeCell ref="G203:H203"/>
    <mergeCell ref="G204:H204"/>
    <mergeCell ref="G205:H205"/>
    <mergeCell ref="G206:H206"/>
    <mergeCell ref="G207:H207"/>
    <mergeCell ref="G208:H208"/>
    <mergeCell ref="B185:B196"/>
    <mergeCell ref="C185:C196"/>
    <mergeCell ref="E185:E190"/>
    <mergeCell ref="G185:H185"/>
    <mergeCell ref="G186:H186"/>
    <mergeCell ref="G187:H187"/>
    <mergeCell ref="G188:H188"/>
    <mergeCell ref="G189:H189"/>
    <mergeCell ref="G190:H190"/>
    <mergeCell ref="E191:E196"/>
    <mergeCell ref="G191:H191"/>
    <mergeCell ref="G192:H192"/>
    <mergeCell ref="G193:H193"/>
    <mergeCell ref="G194:H194"/>
    <mergeCell ref="G195:H195"/>
    <mergeCell ref="G196:H196"/>
    <mergeCell ref="B173:B184"/>
    <mergeCell ref="C173:C184"/>
    <mergeCell ref="E173:E178"/>
    <mergeCell ref="G173:H173"/>
    <mergeCell ref="G174:H174"/>
    <mergeCell ref="G175:H175"/>
    <mergeCell ref="G176:H176"/>
    <mergeCell ref="G177:H177"/>
    <mergeCell ref="G178:H178"/>
    <mergeCell ref="E179:E184"/>
    <mergeCell ref="G179:H179"/>
    <mergeCell ref="G180:H180"/>
    <mergeCell ref="G181:H181"/>
    <mergeCell ref="G182:H182"/>
    <mergeCell ref="G183:H183"/>
    <mergeCell ref="G184:H184"/>
    <mergeCell ref="B161:B172"/>
    <mergeCell ref="C161:C172"/>
    <mergeCell ref="E161:E166"/>
    <mergeCell ref="G161:H161"/>
    <mergeCell ref="G162:H162"/>
    <mergeCell ref="G163:H163"/>
    <mergeCell ref="G164:H164"/>
    <mergeCell ref="G165:H165"/>
    <mergeCell ref="G166:H166"/>
    <mergeCell ref="E167:E172"/>
    <mergeCell ref="G167:H167"/>
    <mergeCell ref="G168:H168"/>
    <mergeCell ref="G169:H169"/>
    <mergeCell ref="G170:H170"/>
    <mergeCell ref="G171:H171"/>
    <mergeCell ref="G172:H172"/>
    <mergeCell ref="B4:U4"/>
    <mergeCell ref="B8:U8"/>
    <mergeCell ref="B2:U2"/>
    <mergeCell ref="B17:B28"/>
    <mergeCell ref="C17:C28"/>
    <mergeCell ref="E17:E22"/>
    <mergeCell ref="E23:E28"/>
    <mergeCell ref="S14:U14"/>
    <mergeCell ref="B15:B16"/>
    <mergeCell ref="C15:C16"/>
    <mergeCell ref="E15:E16"/>
    <mergeCell ref="F15:F16"/>
    <mergeCell ref="I15:J15"/>
    <mergeCell ref="K15:S15"/>
    <mergeCell ref="T15:U15"/>
    <mergeCell ref="E59:E64"/>
    <mergeCell ref="B65:B76"/>
    <mergeCell ref="C65:C76"/>
    <mergeCell ref="E65:E70"/>
    <mergeCell ref="E71:E76"/>
    <mergeCell ref="B29:B40"/>
    <mergeCell ref="C29:C40"/>
    <mergeCell ref="E29:E34"/>
    <mergeCell ref="E35:E40"/>
    <mergeCell ref="B41:B52"/>
    <mergeCell ref="C41:C52"/>
    <mergeCell ref="E41:E46"/>
    <mergeCell ref="E47:E52"/>
    <mergeCell ref="B125:B136"/>
    <mergeCell ref="C125:C136"/>
    <mergeCell ref="E125:E130"/>
    <mergeCell ref="E131:E136"/>
    <mergeCell ref="D15:D16"/>
    <mergeCell ref="B101:B112"/>
    <mergeCell ref="C101:C112"/>
    <mergeCell ref="E101:E106"/>
    <mergeCell ref="E107:E112"/>
    <mergeCell ref="B113:B124"/>
    <mergeCell ref="C113:C124"/>
    <mergeCell ref="E113:E118"/>
    <mergeCell ref="E119:E124"/>
    <mergeCell ref="B77:B88"/>
    <mergeCell ref="C77:C88"/>
    <mergeCell ref="E77:E82"/>
    <mergeCell ref="E83:E88"/>
    <mergeCell ref="B89:B100"/>
    <mergeCell ref="C89:C100"/>
    <mergeCell ref="E89:E94"/>
    <mergeCell ref="E95:E100"/>
    <mergeCell ref="B53:B64"/>
    <mergeCell ref="C53:C64"/>
    <mergeCell ref="E53:E58"/>
    <mergeCell ref="G30:H30"/>
    <mergeCell ref="G31:H31"/>
    <mergeCell ref="G32:H32"/>
    <mergeCell ref="G33:H33"/>
    <mergeCell ref="G34:H34"/>
    <mergeCell ref="G15:H16"/>
    <mergeCell ref="G17:H17"/>
    <mergeCell ref="G18:H18"/>
    <mergeCell ref="G19:H19"/>
    <mergeCell ref="G20:H20"/>
    <mergeCell ref="G21:H21"/>
    <mergeCell ref="G22:H22"/>
    <mergeCell ref="G23:H23"/>
    <mergeCell ref="G24:H24"/>
    <mergeCell ref="G25:H25"/>
    <mergeCell ref="G26:H26"/>
    <mergeCell ref="G27:H27"/>
    <mergeCell ref="G28:H28"/>
    <mergeCell ref="G29:H29"/>
    <mergeCell ref="G40:H40"/>
    <mergeCell ref="G41:H41"/>
    <mergeCell ref="G42:H42"/>
    <mergeCell ref="G43:H43"/>
    <mergeCell ref="G44:H44"/>
    <mergeCell ref="G35:H35"/>
    <mergeCell ref="G36:H36"/>
    <mergeCell ref="G37:H37"/>
    <mergeCell ref="G38:H38"/>
    <mergeCell ref="G39:H39"/>
    <mergeCell ref="G50:H50"/>
    <mergeCell ref="G51:H51"/>
    <mergeCell ref="G52:H52"/>
    <mergeCell ref="G53:H53"/>
    <mergeCell ref="G54:H54"/>
    <mergeCell ref="G45:H45"/>
    <mergeCell ref="G46:H46"/>
    <mergeCell ref="G47:H47"/>
    <mergeCell ref="G48:H48"/>
    <mergeCell ref="G49:H49"/>
    <mergeCell ref="G60:H60"/>
    <mergeCell ref="G61:H61"/>
    <mergeCell ref="G62:H62"/>
    <mergeCell ref="G63:H63"/>
    <mergeCell ref="G64:H64"/>
    <mergeCell ref="G55:H55"/>
    <mergeCell ref="G56:H56"/>
    <mergeCell ref="G57:H57"/>
    <mergeCell ref="G58:H58"/>
    <mergeCell ref="G59:H59"/>
    <mergeCell ref="G70:H70"/>
    <mergeCell ref="G71:H71"/>
    <mergeCell ref="G72:H72"/>
    <mergeCell ref="G73:H73"/>
    <mergeCell ref="G74:H74"/>
    <mergeCell ref="G65:H65"/>
    <mergeCell ref="G66:H66"/>
    <mergeCell ref="G67:H67"/>
    <mergeCell ref="G68:H68"/>
    <mergeCell ref="G69:H69"/>
    <mergeCell ref="G80:H80"/>
    <mergeCell ref="G81:H81"/>
    <mergeCell ref="G82:H82"/>
    <mergeCell ref="G83:H83"/>
    <mergeCell ref="G84:H84"/>
    <mergeCell ref="G75:H75"/>
    <mergeCell ref="G76:H76"/>
    <mergeCell ref="G77:H77"/>
    <mergeCell ref="G78:H78"/>
    <mergeCell ref="G79:H79"/>
    <mergeCell ref="G90:H90"/>
    <mergeCell ref="G91:H91"/>
    <mergeCell ref="G92:H92"/>
    <mergeCell ref="G93:H93"/>
    <mergeCell ref="G94:H94"/>
    <mergeCell ref="G85:H85"/>
    <mergeCell ref="G86:H86"/>
    <mergeCell ref="G87:H87"/>
    <mergeCell ref="G88:H88"/>
    <mergeCell ref="G89:H89"/>
    <mergeCell ref="G100:H100"/>
    <mergeCell ref="G101:H101"/>
    <mergeCell ref="G102:H102"/>
    <mergeCell ref="G103:H103"/>
    <mergeCell ref="G104:H104"/>
    <mergeCell ref="G95:H95"/>
    <mergeCell ref="G96:H96"/>
    <mergeCell ref="G97:H97"/>
    <mergeCell ref="G98:H98"/>
    <mergeCell ref="G99:H99"/>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35:H135"/>
    <mergeCell ref="G136:H136"/>
    <mergeCell ref="D6:J6"/>
    <mergeCell ref="M6:U6"/>
    <mergeCell ref="D7:K7"/>
    <mergeCell ref="M7:U7"/>
    <mergeCell ref="B13:U13"/>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47:H147"/>
    <mergeCell ref="G148:H148"/>
    <mergeCell ref="B137:B148"/>
    <mergeCell ref="C137:C148"/>
    <mergeCell ref="E137:E142"/>
    <mergeCell ref="G137:H137"/>
    <mergeCell ref="G138:H138"/>
    <mergeCell ref="G139:H139"/>
    <mergeCell ref="G140:H140"/>
    <mergeCell ref="G141:H141"/>
    <mergeCell ref="G142:H142"/>
    <mergeCell ref="E143:E148"/>
    <mergeCell ref="G143:H143"/>
    <mergeCell ref="G144:H144"/>
    <mergeCell ref="G145:H145"/>
    <mergeCell ref="G146:H146"/>
    <mergeCell ref="B149:B160"/>
    <mergeCell ref="C149:C160"/>
    <mergeCell ref="E149:E154"/>
    <mergeCell ref="G149:H149"/>
    <mergeCell ref="G150:H150"/>
    <mergeCell ref="G151:H151"/>
    <mergeCell ref="G152:H152"/>
    <mergeCell ref="G153:H153"/>
    <mergeCell ref="G154:H154"/>
    <mergeCell ref="E155:E160"/>
    <mergeCell ref="G155:H155"/>
    <mergeCell ref="G156:H156"/>
    <mergeCell ref="G157:H157"/>
    <mergeCell ref="G158:H158"/>
    <mergeCell ref="G159:H159"/>
    <mergeCell ref="G160:H160"/>
    <mergeCell ref="B209:B220"/>
    <mergeCell ref="C209:C220"/>
    <mergeCell ref="E209:E214"/>
    <mergeCell ref="G209:H209"/>
    <mergeCell ref="G210:H210"/>
    <mergeCell ref="G211:H211"/>
    <mergeCell ref="G212:H212"/>
    <mergeCell ref="G213:H213"/>
    <mergeCell ref="G214:H214"/>
    <mergeCell ref="E215:E220"/>
    <mergeCell ref="G215:H215"/>
    <mergeCell ref="G216:H216"/>
    <mergeCell ref="G217:H217"/>
    <mergeCell ref="G218:H218"/>
    <mergeCell ref="G219:H219"/>
    <mergeCell ref="G220:H220"/>
    <mergeCell ref="B221:B232"/>
    <mergeCell ref="C221:C232"/>
    <mergeCell ref="E221:E226"/>
    <mergeCell ref="G221:H221"/>
    <mergeCell ref="G222:H222"/>
    <mergeCell ref="G223:H223"/>
    <mergeCell ref="G224:H224"/>
    <mergeCell ref="G225:H225"/>
    <mergeCell ref="G226:H226"/>
    <mergeCell ref="E227:E232"/>
    <mergeCell ref="G227:H227"/>
    <mergeCell ref="G228:H228"/>
    <mergeCell ref="G229:H229"/>
    <mergeCell ref="G230:H230"/>
    <mergeCell ref="G231:H231"/>
    <mergeCell ref="G232:H232"/>
    <mergeCell ref="B233:B244"/>
    <mergeCell ref="C233:C244"/>
    <mergeCell ref="E233:E238"/>
    <mergeCell ref="G233:H233"/>
    <mergeCell ref="G234:H234"/>
    <mergeCell ref="G235:H235"/>
    <mergeCell ref="G236:H236"/>
    <mergeCell ref="G237:H237"/>
    <mergeCell ref="G238:H238"/>
    <mergeCell ref="E239:E244"/>
    <mergeCell ref="G239:H239"/>
    <mergeCell ref="G240:H240"/>
    <mergeCell ref="G241:H241"/>
    <mergeCell ref="G242:H242"/>
    <mergeCell ref="G243:H243"/>
    <mergeCell ref="G244:H244"/>
    <mergeCell ref="B281:B292"/>
    <mergeCell ref="C281:C292"/>
    <mergeCell ref="E281:E286"/>
    <mergeCell ref="G281:H281"/>
    <mergeCell ref="G282:H282"/>
    <mergeCell ref="G283:H283"/>
    <mergeCell ref="G284:H284"/>
    <mergeCell ref="G285:H285"/>
    <mergeCell ref="G286:H286"/>
    <mergeCell ref="E287:E292"/>
    <mergeCell ref="G287:H287"/>
    <mergeCell ref="G288:H288"/>
    <mergeCell ref="G289:H289"/>
    <mergeCell ref="G290:H290"/>
    <mergeCell ref="G291:H291"/>
    <mergeCell ref="G292:H292"/>
    <mergeCell ref="B293:B304"/>
    <mergeCell ref="C293:C304"/>
    <mergeCell ref="E293:E298"/>
    <mergeCell ref="G293:H293"/>
    <mergeCell ref="G294:H294"/>
    <mergeCell ref="G295:H295"/>
    <mergeCell ref="G296:H296"/>
    <mergeCell ref="G297:H297"/>
    <mergeCell ref="G298:H298"/>
    <mergeCell ref="E299:E304"/>
    <mergeCell ref="G299:H299"/>
    <mergeCell ref="G300:H300"/>
    <mergeCell ref="G301:H301"/>
    <mergeCell ref="G302:H302"/>
    <mergeCell ref="G303:H303"/>
    <mergeCell ref="G304:H304"/>
    <mergeCell ref="B365:B376"/>
    <mergeCell ref="C365:C376"/>
    <mergeCell ref="E365:E370"/>
    <mergeCell ref="G365:H365"/>
    <mergeCell ref="G366:H366"/>
    <mergeCell ref="G367:H367"/>
    <mergeCell ref="G368:H368"/>
    <mergeCell ref="G369:H369"/>
    <mergeCell ref="G370:H370"/>
    <mergeCell ref="E371:E376"/>
    <mergeCell ref="G371:H371"/>
    <mergeCell ref="G372:H372"/>
    <mergeCell ref="G373:H373"/>
    <mergeCell ref="G374:H374"/>
    <mergeCell ref="G375:H375"/>
    <mergeCell ref="G376:H376"/>
    <mergeCell ref="B377:B388"/>
    <mergeCell ref="C377:C388"/>
    <mergeCell ref="E377:E382"/>
    <mergeCell ref="G377:H377"/>
    <mergeCell ref="G378:H378"/>
    <mergeCell ref="G379:H379"/>
    <mergeCell ref="G380:H380"/>
    <mergeCell ref="G381:H381"/>
    <mergeCell ref="G382:H382"/>
    <mergeCell ref="E383:E388"/>
    <mergeCell ref="G383:H383"/>
    <mergeCell ref="G384:H384"/>
    <mergeCell ref="G385:H385"/>
    <mergeCell ref="G386:H386"/>
    <mergeCell ref="G387:H387"/>
    <mergeCell ref="G388:H388"/>
    <mergeCell ref="B389:B400"/>
    <mergeCell ref="C389:C400"/>
    <mergeCell ref="E389:E394"/>
    <mergeCell ref="G389:H389"/>
    <mergeCell ref="G390:H390"/>
    <mergeCell ref="G391:H391"/>
    <mergeCell ref="G392:H392"/>
    <mergeCell ref="G393:H393"/>
    <mergeCell ref="G394:H394"/>
    <mergeCell ref="E395:E400"/>
    <mergeCell ref="G395:H395"/>
    <mergeCell ref="G396:H396"/>
    <mergeCell ref="G397:H397"/>
    <mergeCell ref="G398:H398"/>
    <mergeCell ref="G399:H399"/>
    <mergeCell ref="G400:H400"/>
    <mergeCell ref="B425:B436"/>
    <mergeCell ref="C425:C436"/>
    <mergeCell ref="E425:E430"/>
    <mergeCell ref="G425:H425"/>
    <mergeCell ref="G426:H426"/>
    <mergeCell ref="G427:H427"/>
    <mergeCell ref="G428:H428"/>
    <mergeCell ref="G429:H429"/>
    <mergeCell ref="G430:H430"/>
    <mergeCell ref="E431:E436"/>
    <mergeCell ref="G431:H431"/>
    <mergeCell ref="G432:H432"/>
    <mergeCell ref="G433:H433"/>
    <mergeCell ref="G434:H434"/>
    <mergeCell ref="G435:H435"/>
    <mergeCell ref="G436:H436"/>
    <mergeCell ref="B437:B448"/>
    <mergeCell ref="C437:C448"/>
    <mergeCell ref="E437:E442"/>
    <mergeCell ref="G437:H437"/>
    <mergeCell ref="G438:H438"/>
    <mergeCell ref="G439:H439"/>
    <mergeCell ref="G440:H440"/>
    <mergeCell ref="G441:H441"/>
    <mergeCell ref="G442:H442"/>
    <mergeCell ref="E443:E448"/>
    <mergeCell ref="G443:H443"/>
    <mergeCell ref="G444:H444"/>
    <mergeCell ref="G445:H445"/>
    <mergeCell ref="G446:H446"/>
    <mergeCell ref="G447:H447"/>
    <mergeCell ref="G448:H448"/>
    <mergeCell ref="B449:B460"/>
    <mergeCell ref="C449:C460"/>
    <mergeCell ref="E449:E454"/>
    <mergeCell ref="G449:H449"/>
    <mergeCell ref="G450:H450"/>
    <mergeCell ref="G451:H451"/>
    <mergeCell ref="G452:H452"/>
    <mergeCell ref="G453:H453"/>
    <mergeCell ref="G454:H454"/>
    <mergeCell ref="E455:E460"/>
    <mergeCell ref="G455:H455"/>
    <mergeCell ref="G456:H456"/>
    <mergeCell ref="G457:H457"/>
    <mergeCell ref="G458:H458"/>
    <mergeCell ref="G459:H459"/>
    <mergeCell ref="G460:H460"/>
  </mergeCells>
  <phoneticPr fontId="1" type="noConversion"/>
  <dataValidations count="6">
    <dataValidation type="list" allowBlank="1" showInputMessage="1" showErrorMessage="1" sqref="G17:G22 G29:G34 G41:G46 G53:G58 G65:G70 G137:G142 G89:G94 G101:G106 G77:G82 G113:G118 G125:G130 G149:G154 G233:G238 G161:G166 G185:G190 G173:G178 G197:G202 G209:G214 G221:G226 G269:G274 G245:G250 G257:G262 G281:G286 G293:G298 G305:G310 G317:G322 G329:G334 G341:G346 G353:G358 G365:G370 G377:G382 G389:G394 G401:G406 G413:G418 G425:G430 G437:G442 G449:G454 G461:G466 G473:G478" xr:uid="{6C067AEE-CAB5-43E2-AD1F-B5005E3CCCA2}">
      <formula1>$C$11:$S$11</formula1>
    </dataValidation>
    <dataValidation type="list" allowBlank="1" showInputMessage="1" showErrorMessage="1" sqref="C6" xr:uid="{A5564117-42A0-4DC2-BF02-96FBD92CB783}">
      <formula1>$X$2:$X$7</formula1>
    </dataValidation>
    <dataValidation type="list" allowBlank="1" showInputMessage="1" showErrorMessage="1" sqref="C125 C17 C29 C41 C53 C65 C77 C89 C101 C113 C137 C149 C161 C173 C185 C197 C209 C221 C233 C245 C257 C269 C281 C293 C305 C317 C329 C341 C353 C365 C377 C389 C401 C413 C425 C437 C449 C461 C473" xr:uid="{58553C05-1849-4CDA-B0E2-3B094F9E4BDA}">
      <formula1>$X$17:$X$21</formula1>
    </dataValidation>
    <dataValidation type="list" allowBlank="1" showInputMessage="1" showErrorMessage="1" sqref="E17 E23 E29 E41 E53 E65 E77 E89 E101 E113 E125 E137 E35 E47 E59 E71 E83 E95 E107 E119 E131 E143 E149 E155 E161 E167 E173 E179 E185 E191 E197 E203 E209 E215 E221 E227 E233 E239 E245 E251 E257 E263 E269 E275 E281 E287 E293 E299 E305 E311 E317 E323 E329 E335 E341 E347 E353 E359 E365 E371 E377 E383 E389 E395 E401 E407 E413 E419 E425 E431 E437 E443 E449 E455 E461 E467 E473 E479" xr:uid="{4EF1C21A-7E2D-4C07-B707-9FC1DBBAF8B9}">
      <formula1>$X$22:$X$23</formula1>
    </dataValidation>
    <dataValidation type="list" allowBlank="1" showInputMessage="1" showErrorMessage="1" sqref="D17:D484" xr:uid="{7E874D98-D5E9-44FC-BBBE-1D6FB0116A76}">
      <formula1>$Z$21:$Z$61</formula1>
    </dataValidation>
    <dataValidation type="list" allowBlank="1" showInputMessage="1" showErrorMessage="1" sqref="G23:H28 G35:H40 G47:H52 G59:H64 G71:H76 G203:H208 G83:H88 G107:H112 G119:H124 G95:H100 G131:H136 G143:H148 G155:H160 G167:H172 G191:H196 G179:H184 G227:H232 G215:H220 G239:H244 G275:H280 G263:H268 G251:H256 G287:H292 G299:H304 G311:H316 G323:H328 G335:H340 G347:H352 G359:H364 G371:H376 G383:H388 G395:H400 G407:H412 G419:H424 G431:H436 G443:H448 G455:H460 G467:H472 G479:H484" xr:uid="{DF8987A4-84F3-48A9-AA6D-BBB2D93082AD}">
      <formula1>$C$12:$S$12</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1호기</vt:lpstr>
      <vt:lpstr>2호기</vt:lpstr>
      <vt:lpstr>3호기</vt:lpstr>
      <vt:lpstr>4호기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Hello</dc:creator>
  <cp:lastModifiedBy>PL- 1</cp:lastModifiedBy>
  <dcterms:created xsi:type="dcterms:W3CDTF">2015-06-05T18:17:20Z</dcterms:created>
  <dcterms:modified xsi:type="dcterms:W3CDTF">2026-04-09T04:30:05Z</dcterms:modified>
</cp:coreProperties>
</file>