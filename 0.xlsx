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a1f3150794129c75/Desktop/DIEM/BAO CAO EP NHUA/AI/"/>
    </mc:Choice>
  </mc:AlternateContent>
  <xr:revisionPtr revIDLastSave="1" documentId="8_{BF380A2E-20E1-4B26-B0EF-8DB4199A8A36}" xr6:coauthVersionLast="47" xr6:coauthVersionMax="47" xr10:uidLastSave="{7DFEDAD6-9476-462E-8DF1-36532E77BA0D}"/>
  <bookViews>
    <workbookView xWindow="-120" yWindow="-120" windowWidth="29040" windowHeight="15720" xr2:uid="{00000000-000D-0000-FFFF-FFFF00000000}"/>
  </bookViews>
  <sheets>
    <sheet name="1호기" sheetId="1" r:id="rId1"/>
    <sheet name="2호기" sheetId="2" r:id="rId2"/>
    <sheet name="3호기" sheetId="3" r:id="rId3"/>
    <sheet name="4호기"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80" i="4" l="1"/>
  <c r="U280" i="4" s="1"/>
  <c r="S279" i="4"/>
  <c r="U279" i="4" s="1"/>
  <c r="J279" i="4"/>
  <c r="S278" i="4"/>
  <c r="U278" i="4" s="1"/>
  <c r="J278" i="4"/>
  <c r="S277" i="4"/>
  <c r="U277" i="4" s="1"/>
  <c r="J277" i="4"/>
  <c r="S276" i="4"/>
  <c r="U276" i="4" s="1"/>
  <c r="S275" i="4"/>
  <c r="U275" i="4" s="1"/>
  <c r="J275" i="4"/>
  <c r="S274" i="4"/>
  <c r="U274" i="4" s="1"/>
  <c r="J274" i="4"/>
  <c r="S273" i="4"/>
  <c r="U273" i="4" s="1"/>
  <c r="J273" i="4"/>
  <c r="S272" i="4"/>
  <c r="U272" i="4" s="1"/>
  <c r="S271" i="4"/>
  <c r="U271" i="4" s="1"/>
  <c r="J271" i="4"/>
  <c r="S270" i="4"/>
  <c r="U270" i="4" s="1"/>
  <c r="J270" i="4"/>
  <c r="S269" i="4"/>
  <c r="U269" i="4" s="1"/>
  <c r="J269" i="4"/>
  <c r="S268" i="4"/>
  <c r="U268" i="4" s="1"/>
  <c r="J268" i="4"/>
  <c r="S267" i="4"/>
  <c r="U267" i="4" s="1"/>
  <c r="J267" i="4"/>
  <c r="S266" i="4"/>
  <c r="U266" i="4" s="1"/>
  <c r="J266" i="4"/>
  <c r="S265" i="4"/>
  <c r="U265" i="4" s="1"/>
  <c r="S264" i="4"/>
  <c r="U264" i="4" s="1"/>
  <c r="J264" i="4"/>
  <c r="S263" i="4"/>
  <c r="U263" i="4" s="1"/>
  <c r="J263" i="4"/>
  <c r="S262" i="4"/>
  <c r="U262" i="4" s="1"/>
  <c r="J262" i="4"/>
  <c r="S261" i="4"/>
  <c r="U261" i="4" s="1"/>
  <c r="S260" i="4"/>
  <c r="U260" i="4" s="1"/>
  <c r="J260" i="4"/>
  <c r="S259" i="4"/>
  <c r="U259" i="4" s="1"/>
  <c r="J259" i="4"/>
  <c r="S258" i="4"/>
  <c r="U258" i="4" s="1"/>
  <c r="J258" i="4"/>
  <c r="S257" i="4"/>
  <c r="U257" i="4" s="1"/>
  <c r="S256" i="4"/>
  <c r="U256" i="4" s="1"/>
  <c r="J256" i="4"/>
  <c r="S255" i="4"/>
  <c r="U255" i="4" s="1"/>
  <c r="S254" i="4"/>
  <c r="U254" i="4" s="1"/>
  <c r="S253" i="4"/>
  <c r="U253" i="4" s="1"/>
  <c r="S252" i="4"/>
  <c r="U252" i="4" s="1"/>
  <c r="S251" i="4"/>
  <c r="U251" i="4" s="1"/>
  <c r="S250" i="4"/>
  <c r="U250" i="4" s="1"/>
  <c r="J250" i="4"/>
  <c r="S249" i="4"/>
  <c r="U249" i="4" s="1"/>
  <c r="J249" i="4"/>
  <c r="S248" i="4"/>
  <c r="U248" i="4" s="1"/>
  <c r="J248" i="4"/>
  <c r="S247" i="4"/>
  <c r="U247" i="4" s="1"/>
  <c r="J247" i="4"/>
  <c r="S246" i="4"/>
  <c r="U246" i="4" s="1"/>
  <c r="J246" i="4"/>
  <c r="S245" i="4"/>
  <c r="U245" i="4" s="1"/>
  <c r="J245" i="4"/>
  <c r="S304" i="3"/>
  <c r="U304" i="3" s="1"/>
  <c r="J304" i="3"/>
  <c r="U303" i="3"/>
  <c r="S303" i="3"/>
  <c r="J303" i="3"/>
  <c r="S302" i="3"/>
  <c r="U302" i="3" s="1"/>
  <c r="J302" i="3"/>
  <c r="S301" i="3"/>
  <c r="U301" i="3" s="1"/>
  <c r="J301" i="3"/>
  <c r="S300" i="3"/>
  <c r="U300" i="3" s="1"/>
  <c r="J300" i="3"/>
  <c r="U299" i="3"/>
  <c r="S299" i="3"/>
  <c r="J299" i="3"/>
  <c r="S298" i="3"/>
  <c r="U298" i="3" s="1"/>
  <c r="J298" i="3"/>
  <c r="S297" i="3"/>
  <c r="U297" i="3" s="1"/>
  <c r="J297" i="3"/>
  <c r="S296" i="3"/>
  <c r="U296" i="3" s="1"/>
  <c r="J296" i="3"/>
  <c r="U295" i="3"/>
  <c r="S295" i="3"/>
  <c r="J295" i="3"/>
  <c r="S294" i="3"/>
  <c r="U294" i="3" s="1"/>
  <c r="J294" i="3"/>
  <c r="S293" i="3"/>
  <c r="U293" i="3" s="1"/>
  <c r="J293" i="3"/>
  <c r="S292" i="3"/>
  <c r="U292" i="3" s="1"/>
  <c r="S291" i="3"/>
  <c r="U291" i="3" s="1"/>
  <c r="J291" i="3"/>
  <c r="S290" i="3"/>
  <c r="U290" i="3" s="1"/>
  <c r="J290" i="3"/>
  <c r="S289" i="3"/>
  <c r="U289" i="3" s="1"/>
  <c r="J289" i="3"/>
  <c r="S288" i="3"/>
  <c r="U288" i="3" s="1"/>
  <c r="S287" i="3"/>
  <c r="U287" i="3" s="1"/>
  <c r="J287" i="3"/>
  <c r="S286" i="3"/>
  <c r="U286" i="3" s="1"/>
  <c r="J286" i="3"/>
  <c r="S285" i="3"/>
  <c r="U285" i="3" s="1"/>
  <c r="J285" i="3"/>
  <c r="S284" i="3"/>
  <c r="U284" i="3" s="1"/>
  <c r="S283" i="3"/>
  <c r="U283" i="3" s="1"/>
  <c r="J283" i="3"/>
  <c r="S282" i="3"/>
  <c r="U282" i="3" s="1"/>
  <c r="J282" i="3"/>
  <c r="S281" i="3"/>
  <c r="U281" i="3" s="1"/>
  <c r="J281" i="3"/>
  <c r="S280" i="3"/>
  <c r="U280" i="3" s="1"/>
  <c r="J280" i="3"/>
  <c r="S279" i="3"/>
  <c r="U279" i="3" s="1"/>
  <c r="J279" i="3"/>
  <c r="S278" i="3"/>
  <c r="U278" i="3" s="1"/>
  <c r="J278" i="3"/>
  <c r="S277" i="3"/>
  <c r="U277" i="3" s="1"/>
  <c r="J277" i="3"/>
  <c r="S276" i="3"/>
  <c r="U276" i="3" s="1"/>
  <c r="J276" i="3"/>
  <c r="S275" i="3"/>
  <c r="U275" i="3" s="1"/>
  <c r="J275" i="3"/>
  <c r="S274" i="3"/>
  <c r="U274" i="3" s="1"/>
  <c r="J274" i="3"/>
  <c r="S273" i="3"/>
  <c r="U273" i="3" s="1"/>
  <c r="J273" i="3"/>
  <c r="S272" i="3"/>
  <c r="U272" i="3" s="1"/>
  <c r="J272" i="3"/>
  <c r="S271" i="3"/>
  <c r="U271" i="3" s="1"/>
  <c r="J271" i="3"/>
  <c r="S270" i="3"/>
  <c r="U270" i="3" s="1"/>
  <c r="J270" i="3"/>
  <c r="S269" i="3"/>
  <c r="U269" i="3" s="1"/>
  <c r="J269" i="3"/>
  <c r="S268" i="3"/>
  <c r="U268" i="3" s="1"/>
  <c r="S267" i="3"/>
  <c r="U267" i="3" s="1"/>
  <c r="S266" i="3"/>
  <c r="U266" i="3" s="1"/>
  <c r="J266" i="3"/>
  <c r="S265" i="3"/>
  <c r="U265" i="3" s="1"/>
  <c r="S264" i="3"/>
  <c r="U264" i="3" s="1"/>
  <c r="J264" i="3"/>
  <c r="S263" i="3"/>
  <c r="U263" i="3" s="1"/>
  <c r="J263" i="3"/>
  <c r="S262" i="3"/>
  <c r="U262" i="3" s="1"/>
  <c r="S261" i="3"/>
  <c r="U261" i="3" s="1"/>
  <c r="J261" i="3"/>
  <c r="S260" i="3"/>
  <c r="U260" i="3" s="1"/>
  <c r="J260" i="3"/>
  <c r="S259" i="3"/>
  <c r="U259" i="3" s="1"/>
  <c r="J259" i="3"/>
  <c r="S258" i="3"/>
  <c r="U258" i="3" s="1"/>
  <c r="J258" i="3"/>
  <c r="S257" i="3"/>
  <c r="U257" i="3" s="1"/>
  <c r="U292" i="2"/>
  <c r="S292" i="2"/>
  <c r="J292" i="2" s="1"/>
  <c r="S291" i="2"/>
  <c r="U291" i="2" s="1"/>
  <c r="J291" i="2"/>
  <c r="S290" i="2"/>
  <c r="U290" i="2" s="1"/>
  <c r="J290" i="2"/>
  <c r="S289" i="2"/>
  <c r="U289" i="2" s="1"/>
  <c r="J289" i="2"/>
  <c r="U288" i="2"/>
  <c r="S288" i="2"/>
  <c r="J288" i="2"/>
  <c r="S287" i="2"/>
  <c r="U287" i="2" s="1"/>
  <c r="J287" i="2"/>
  <c r="S286" i="2"/>
  <c r="U286" i="2" s="1"/>
  <c r="J286" i="2"/>
  <c r="S285" i="2"/>
  <c r="U285" i="2" s="1"/>
  <c r="J285" i="2"/>
  <c r="U284" i="2"/>
  <c r="S284" i="2"/>
  <c r="J284" i="2"/>
  <c r="S283" i="2"/>
  <c r="U283" i="2" s="1"/>
  <c r="J283" i="2"/>
  <c r="S282" i="2"/>
  <c r="U282" i="2" s="1"/>
  <c r="J282" i="2"/>
  <c r="S281" i="2"/>
  <c r="U281" i="2" s="1"/>
  <c r="J281" i="2"/>
  <c r="S280" i="2"/>
  <c r="U280" i="2" s="1"/>
  <c r="J280" i="2"/>
  <c r="S279" i="2"/>
  <c r="U279" i="2" s="1"/>
  <c r="J279" i="2"/>
  <c r="S278" i="2"/>
  <c r="U278" i="2" s="1"/>
  <c r="J278" i="2"/>
  <c r="S277" i="2"/>
  <c r="U277" i="2" s="1"/>
  <c r="J277" i="2"/>
  <c r="S276" i="2"/>
  <c r="U276" i="2" s="1"/>
  <c r="J276" i="2"/>
  <c r="S275" i="2"/>
  <c r="U275" i="2" s="1"/>
  <c r="J275" i="2"/>
  <c r="S274" i="2"/>
  <c r="U274" i="2" s="1"/>
  <c r="J274" i="2"/>
  <c r="S273" i="2"/>
  <c r="U273" i="2" s="1"/>
  <c r="J273" i="2"/>
  <c r="S272" i="2"/>
  <c r="U272" i="2" s="1"/>
  <c r="J272" i="2"/>
  <c r="S271" i="2"/>
  <c r="U271" i="2" s="1"/>
  <c r="J271" i="2"/>
  <c r="S270" i="2"/>
  <c r="U270" i="2" s="1"/>
  <c r="J270" i="2"/>
  <c r="S269" i="2"/>
  <c r="U269" i="2" s="1"/>
  <c r="J269" i="2"/>
  <c r="S268" i="2"/>
  <c r="U268" i="2" s="1"/>
  <c r="J268" i="2"/>
  <c r="S267" i="2"/>
  <c r="U267" i="2" s="1"/>
  <c r="J267" i="2"/>
  <c r="S266" i="2"/>
  <c r="U266" i="2" s="1"/>
  <c r="J266" i="2"/>
  <c r="S265" i="2"/>
  <c r="U265" i="2" s="1"/>
  <c r="J265" i="2"/>
  <c r="S264" i="2"/>
  <c r="U264" i="2" s="1"/>
  <c r="J264" i="2"/>
  <c r="S263" i="2"/>
  <c r="U263" i="2" s="1"/>
  <c r="J263" i="2"/>
  <c r="S262" i="2"/>
  <c r="U262" i="2" s="1"/>
  <c r="J262" i="2"/>
  <c r="S261" i="2"/>
  <c r="U261" i="2" s="1"/>
  <c r="J261" i="2"/>
  <c r="S260" i="2"/>
  <c r="U260" i="2" s="1"/>
  <c r="J260" i="2"/>
  <c r="S259" i="2"/>
  <c r="U259" i="2" s="1"/>
  <c r="J259" i="2"/>
  <c r="S258" i="2"/>
  <c r="U258" i="2" s="1"/>
  <c r="J258" i="2"/>
  <c r="S257" i="2"/>
  <c r="U257" i="2" s="1"/>
  <c r="J257" i="2"/>
  <c r="S256" i="2"/>
  <c r="U256" i="2" s="1"/>
  <c r="J256" i="2"/>
  <c r="S255" i="2"/>
  <c r="U255" i="2" s="1"/>
  <c r="J255" i="2"/>
  <c r="S254" i="2"/>
  <c r="U254" i="2" s="1"/>
  <c r="J254" i="2"/>
  <c r="S253" i="2"/>
  <c r="U253" i="2" s="1"/>
  <c r="J253" i="2"/>
  <c r="S252" i="2"/>
  <c r="U252" i="2" s="1"/>
  <c r="J252" i="2"/>
  <c r="S251" i="2"/>
  <c r="U251" i="2" s="1"/>
  <c r="J251" i="2"/>
  <c r="S250" i="2"/>
  <c r="U250" i="2" s="1"/>
  <c r="J250" i="2"/>
  <c r="S249" i="2"/>
  <c r="U249" i="2" s="1"/>
  <c r="J249" i="2"/>
  <c r="S248" i="2"/>
  <c r="U248" i="2" s="1"/>
  <c r="J248" i="2"/>
  <c r="S247" i="2"/>
  <c r="U247" i="2" s="1"/>
  <c r="J247" i="2"/>
  <c r="S246" i="2"/>
  <c r="U246" i="2" s="1"/>
  <c r="J246" i="2"/>
  <c r="S245" i="2"/>
  <c r="U245" i="2" s="1"/>
  <c r="J245" i="2"/>
  <c r="S244" i="2"/>
  <c r="U244" i="2" s="1"/>
  <c r="J244" i="2"/>
  <c r="S243" i="2"/>
  <c r="U243" i="2" s="1"/>
  <c r="J243" i="2"/>
  <c r="S242" i="2"/>
  <c r="U242" i="2" s="1"/>
  <c r="J242" i="2"/>
  <c r="S241" i="2"/>
  <c r="U241" i="2" s="1"/>
  <c r="J241" i="2"/>
  <c r="S240" i="2"/>
  <c r="U240" i="2" s="1"/>
  <c r="J240" i="2"/>
  <c r="S239" i="2"/>
  <c r="U239" i="2" s="1"/>
  <c r="J239" i="2"/>
  <c r="S238" i="2"/>
  <c r="U238" i="2" s="1"/>
  <c r="J238" i="2"/>
  <c r="S237" i="2"/>
  <c r="U237" i="2" s="1"/>
  <c r="J237" i="2"/>
  <c r="S236" i="2"/>
  <c r="U236" i="2" s="1"/>
  <c r="J236" i="2"/>
  <c r="S235" i="2"/>
  <c r="U235" i="2" s="1"/>
  <c r="J235" i="2"/>
  <c r="S234" i="2"/>
  <c r="U234" i="2" s="1"/>
  <c r="J234" i="2"/>
  <c r="S233" i="2"/>
  <c r="U233" i="2" s="1"/>
  <c r="J233" i="2"/>
  <c r="S232" i="2"/>
  <c r="U232" i="2" s="1"/>
  <c r="J232" i="2"/>
  <c r="S231" i="2"/>
  <c r="U231" i="2" s="1"/>
  <c r="J231" i="2"/>
  <c r="S230" i="2"/>
  <c r="U230" i="2" s="1"/>
  <c r="J230" i="2"/>
  <c r="S229" i="2"/>
  <c r="U229" i="2" s="1"/>
  <c r="J229" i="2"/>
  <c r="S228" i="2"/>
  <c r="U228" i="2" s="1"/>
  <c r="J228" i="2"/>
  <c r="S227" i="2"/>
  <c r="U227" i="2" s="1"/>
  <c r="J227" i="2"/>
  <c r="S226" i="2"/>
  <c r="U226" i="2" s="1"/>
  <c r="J226" i="2"/>
  <c r="S225" i="2"/>
  <c r="U225" i="2" s="1"/>
  <c r="J225" i="2"/>
  <c r="S224" i="2"/>
  <c r="U224" i="2" s="1"/>
  <c r="J224" i="2"/>
  <c r="S223" i="2"/>
  <c r="U223" i="2" s="1"/>
  <c r="J223" i="2"/>
  <c r="S222" i="2"/>
  <c r="U222" i="2" s="1"/>
  <c r="J222" i="2"/>
  <c r="S221" i="2"/>
  <c r="U221" i="2" s="1"/>
  <c r="J221" i="2"/>
  <c r="U280" i="1"/>
  <c r="S280" i="1"/>
  <c r="J280" i="1" s="1"/>
  <c r="S279" i="1"/>
  <c r="U279" i="1" s="1"/>
  <c r="J279" i="1"/>
  <c r="S278" i="1"/>
  <c r="U278" i="1" s="1"/>
  <c r="J278" i="1"/>
  <c r="S277" i="1"/>
  <c r="U277" i="1" s="1"/>
  <c r="J277" i="1"/>
  <c r="U276" i="1"/>
  <c r="S276" i="1"/>
  <c r="J276" i="1" s="1"/>
  <c r="S275" i="1"/>
  <c r="U275" i="1" s="1"/>
  <c r="J275" i="1"/>
  <c r="S274" i="1"/>
  <c r="U274" i="1" s="1"/>
  <c r="J274" i="1"/>
  <c r="S273" i="1"/>
  <c r="U273" i="1" s="1"/>
  <c r="J273" i="1"/>
  <c r="U272" i="1"/>
  <c r="S272" i="1"/>
  <c r="J272" i="1" s="1"/>
  <c r="S271" i="1"/>
  <c r="U271" i="1" s="1"/>
  <c r="J271" i="1"/>
  <c r="S270" i="1"/>
  <c r="U270" i="1" s="1"/>
  <c r="J270" i="1"/>
  <c r="S269" i="1"/>
  <c r="U269" i="1" s="1"/>
  <c r="J269" i="1"/>
  <c r="S268" i="1"/>
  <c r="U268" i="1" s="1"/>
  <c r="S267" i="1"/>
  <c r="U267" i="1" s="1"/>
  <c r="S266" i="1"/>
  <c r="U266" i="1" s="1"/>
  <c r="S265" i="1"/>
  <c r="U265" i="1" s="1"/>
  <c r="S264" i="1"/>
  <c r="U264" i="1" s="1"/>
  <c r="J264" i="1"/>
  <c r="S263" i="1"/>
  <c r="U263" i="1" s="1"/>
  <c r="S262" i="1"/>
  <c r="U262" i="1" s="1"/>
  <c r="J262" i="1"/>
  <c r="U261" i="1"/>
  <c r="S261" i="1"/>
  <c r="J261" i="1"/>
  <c r="U260" i="1"/>
  <c r="S260" i="1"/>
  <c r="J260" i="1"/>
  <c r="S259" i="1"/>
  <c r="U259" i="1" s="1"/>
  <c r="J259" i="1"/>
  <c r="S258" i="1"/>
  <c r="U258" i="1" s="1"/>
  <c r="J258" i="1"/>
  <c r="S257" i="1"/>
  <c r="U257" i="1" s="1"/>
  <c r="J257" i="1"/>
  <c r="U256" i="1"/>
  <c r="S256" i="1"/>
  <c r="J256" i="1"/>
  <c r="S255" i="1"/>
  <c r="U255" i="1" s="1"/>
  <c r="S254" i="1"/>
  <c r="U254" i="1" s="1"/>
  <c r="J254" i="1"/>
  <c r="U253" i="1"/>
  <c r="S253" i="1"/>
  <c r="J253" i="1"/>
  <c r="U252" i="1"/>
  <c r="S252" i="1"/>
  <c r="J252" i="1"/>
  <c r="U251" i="1"/>
  <c r="S251" i="1"/>
  <c r="J251" i="1"/>
  <c r="U250" i="1"/>
  <c r="S250" i="1"/>
  <c r="J250" i="1"/>
  <c r="U249" i="1"/>
  <c r="S249" i="1"/>
  <c r="J249" i="1"/>
  <c r="S248" i="1"/>
  <c r="J248" i="1" s="1"/>
  <c r="U247" i="1"/>
  <c r="S247" i="1"/>
  <c r="J247" i="1"/>
  <c r="S246" i="1"/>
  <c r="U246" i="1" s="1"/>
  <c r="U245" i="1"/>
  <c r="S245" i="1"/>
  <c r="J245" i="1"/>
  <c r="S244" i="4"/>
  <c r="U244" i="4" s="1"/>
  <c r="S243" i="4"/>
  <c r="U243" i="4" s="1"/>
  <c r="S242" i="4"/>
  <c r="U242" i="4" s="1"/>
  <c r="S241" i="4"/>
  <c r="U241" i="4" s="1"/>
  <c r="S240" i="4"/>
  <c r="U240" i="4" s="1"/>
  <c r="S239" i="4"/>
  <c r="U239" i="4" s="1"/>
  <c r="S238" i="4"/>
  <c r="U238" i="4" s="1"/>
  <c r="J238" i="4"/>
  <c r="S237" i="4"/>
  <c r="U237" i="4" s="1"/>
  <c r="J237" i="4"/>
  <c r="S236" i="4"/>
  <c r="U236" i="4" s="1"/>
  <c r="J236" i="4"/>
  <c r="S235" i="4"/>
  <c r="U235" i="4" s="1"/>
  <c r="J235" i="4"/>
  <c r="S234" i="4"/>
  <c r="U234" i="4" s="1"/>
  <c r="J234" i="4"/>
  <c r="S233" i="4"/>
  <c r="U233" i="4" s="1"/>
  <c r="J233" i="4"/>
  <c r="S256" i="3"/>
  <c r="U256" i="3" s="1"/>
  <c r="J256" i="3"/>
  <c r="S255" i="3"/>
  <c r="U255" i="3" s="1"/>
  <c r="S254" i="3"/>
  <c r="U254" i="3" s="1"/>
  <c r="J254" i="3"/>
  <c r="S253" i="3"/>
  <c r="U253" i="3" s="1"/>
  <c r="J253" i="3"/>
  <c r="S252" i="3"/>
  <c r="U252" i="3" s="1"/>
  <c r="J252" i="3"/>
  <c r="S251" i="3"/>
  <c r="U251" i="3" s="1"/>
  <c r="J251" i="3"/>
  <c r="S250" i="3"/>
  <c r="U250" i="3" s="1"/>
  <c r="J250" i="3"/>
  <c r="S249" i="3"/>
  <c r="U249" i="3" s="1"/>
  <c r="J249" i="3"/>
  <c r="S248" i="3"/>
  <c r="U248" i="3" s="1"/>
  <c r="J248" i="3"/>
  <c r="S247" i="3"/>
  <c r="U247" i="3" s="1"/>
  <c r="J247" i="3"/>
  <c r="S246" i="3"/>
  <c r="U246" i="3" s="1"/>
  <c r="J246" i="3"/>
  <c r="S245" i="3"/>
  <c r="U245" i="3" s="1"/>
  <c r="S244" i="3"/>
  <c r="U244" i="3" s="1"/>
  <c r="S243" i="3"/>
  <c r="U243" i="3" s="1"/>
  <c r="S242" i="3"/>
  <c r="U242" i="3" s="1"/>
  <c r="S241" i="3"/>
  <c r="U241" i="3" s="1"/>
  <c r="U240" i="3"/>
  <c r="S240" i="3"/>
  <c r="J240" i="3"/>
  <c r="S239" i="3"/>
  <c r="U239" i="3" s="1"/>
  <c r="J239" i="3"/>
  <c r="S238" i="3"/>
  <c r="U238" i="3" s="1"/>
  <c r="J238" i="3"/>
  <c r="S237" i="3"/>
  <c r="U237" i="3" s="1"/>
  <c r="J237" i="3"/>
  <c r="U236" i="3"/>
  <c r="S236" i="3"/>
  <c r="J236" i="3"/>
  <c r="S235" i="3"/>
  <c r="U235" i="3" s="1"/>
  <c r="J235" i="3"/>
  <c r="S234" i="3"/>
  <c r="U234" i="3" s="1"/>
  <c r="J234" i="3"/>
  <c r="S233" i="3"/>
  <c r="U233" i="3" s="1"/>
  <c r="J233" i="3"/>
  <c r="S232" i="3"/>
  <c r="U232" i="3" s="1"/>
  <c r="J232" i="3"/>
  <c r="S231" i="3"/>
  <c r="U231" i="3" s="1"/>
  <c r="J231" i="3"/>
  <c r="S230" i="3"/>
  <c r="U230" i="3" s="1"/>
  <c r="S229" i="3"/>
  <c r="U229" i="3" s="1"/>
  <c r="S228" i="3"/>
  <c r="U228" i="3" s="1"/>
  <c r="J228" i="3"/>
  <c r="S227" i="3"/>
  <c r="U227" i="3" s="1"/>
  <c r="S226" i="3"/>
  <c r="U226" i="3" s="1"/>
  <c r="J226" i="3"/>
  <c r="S225" i="3"/>
  <c r="U225" i="3" s="1"/>
  <c r="S224" i="3"/>
  <c r="U224" i="3" s="1"/>
  <c r="J224" i="3"/>
  <c r="S223" i="3"/>
  <c r="U223" i="3" s="1"/>
  <c r="J223" i="3"/>
  <c r="S222" i="3"/>
  <c r="U222" i="3" s="1"/>
  <c r="J222" i="3"/>
  <c r="S221" i="3"/>
  <c r="U221" i="3" s="1"/>
  <c r="S244" i="1"/>
  <c r="U244" i="1" s="1"/>
  <c r="J244" i="1"/>
  <c r="S243" i="1"/>
  <c r="U243" i="1" s="1"/>
  <c r="J243" i="1"/>
  <c r="S242" i="1"/>
  <c r="U242" i="1" s="1"/>
  <c r="J242" i="1"/>
  <c r="S241" i="1"/>
  <c r="J241" i="1" s="1"/>
  <c r="S240" i="1"/>
  <c r="U240" i="1" s="1"/>
  <c r="J240" i="1"/>
  <c r="S239" i="1"/>
  <c r="U239" i="1" s="1"/>
  <c r="J239" i="1"/>
  <c r="S238" i="1"/>
  <c r="U238" i="1" s="1"/>
  <c r="J238" i="1"/>
  <c r="S237" i="1"/>
  <c r="J237" i="1" s="1"/>
  <c r="S236" i="1"/>
  <c r="U236" i="1" s="1"/>
  <c r="J236" i="1"/>
  <c r="S235" i="1"/>
  <c r="U235" i="1" s="1"/>
  <c r="J235" i="1"/>
  <c r="S234" i="1"/>
  <c r="U234" i="1" s="1"/>
  <c r="J234" i="1"/>
  <c r="S233" i="1"/>
  <c r="J233" i="1" s="1"/>
  <c r="U232" i="1"/>
  <c r="S232" i="1"/>
  <c r="J232" i="1"/>
  <c r="U231" i="1"/>
  <c r="S231" i="1"/>
  <c r="J231" i="1"/>
  <c r="S230" i="1"/>
  <c r="U230" i="1" s="1"/>
  <c r="J230" i="1"/>
  <c r="S229" i="1"/>
  <c r="U229" i="1" s="1"/>
  <c r="S228" i="1"/>
  <c r="J228" i="1" s="1"/>
  <c r="S227" i="1"/>
  <c r="U227" i="1" s="1"/>
  <c r="J227" i="1"/>
  <c r="U226" i="1"/>
  <c r="S226" i="1"/>
  <c r="J226" i="1"/>
  <c r="U225" i="1"/>
  <c r="S225" i="1"/>
  <c r="J225" i="1"/>
  <c r="S224" i="1"/>
  <c r="J224" i="1" s="1"/>
  <c r="U223" i="1"/>
  <c r="S223" i="1"/>
  <c r="J223" i="1"/>
  <c r="S222" i="1"/>
  <c r="U222" i="1" s="1"/>
  <c r="J222" i="1"/>
  <c r="S221" i="1"/>
  <c r="J221" i="1" s="1"/>
  <c r="S232" i="4"/>
  <c r="U232" i="4" s="1"/>
  <c r="J232" i="4"/>
  <c r="S231" i="4"/>
  <c r="U231" i="4" s="1"/>
  <c r="J231" i="4"/>
  <c r="S230" i="4"/>
  <c r="U230" i="4" s="1"/>
  <c r="S229" i="4"/>
  <c r="U229" i="4" s="1"/>
  <c r="J229" i="4"/>
  <c r="S228" i="4"/>
  <c r="U228" i="4" s="1"/>
  <c r="S227" i="4"/>
  <c r="U227" i="4" s="1"/>
  <c r="S226" i="4"/>
  <c r="U226" i="4" s="1"/>
  <c r="J226" i="4"/>
  <c r="S225" i="4"/>
  <c r="U225" i="4" s="1"/>
  <c r="J225" i="4"/>
  <c r="S224" i="4"/>
  <c r="U224" i="4" s="1"/>
  <c r="J224" i="4"/>
  <c r="S223" i="4"/>
  <c r="U223" i="4" s="1"/>
  <c r="J223" i="4"/>
  <c r="S222" i="4"/>
  <c r="U222" i="4" s="1"/>
  <c r="J222" i="4"/>
  <c r="S221" i="4"/>
  <c r="U221" i="4" s="1"/>
  <c r="S220" i="4"/>
  <c r="U220" i="4" s="1"/>
  <c r="S219" i="4"/>
  <c r="J219" i="4" s="1"/>
  <c r="S218" i="4"/>
  <c r="U218" i="4" s="1"/>
  <c r="J218" i="4"/>
  <c r="S217" i="4"/>
  <c r="U217" i="4" s="1"/>
  <c r="S216" i="4"/>
  <c r="U216" i="4" s="1"/>
  <c r="S215" i="4"/>
  <c r="U215" i="4" s="1"/>
  <c r="S214" i="4"/>
  <c r="U214" i="4" s="1"/>
  <c r="J214" i="4"/>
  <c r="S213" i="4"/>
  <c r="U213" i="4" s="1"/>
  <c r="J213" i="4"/>
  <c r="S212" i="4"/>
  <c r="U212" i="4" s="1"/>
  <c r="S211" i="4"/>
  <c r="U211" i="4" s="1"/>
  <c r="J211" i="4"/>
  <c r="S210" i="4"/>
  <c r="U210" i="4" s="1"/>
  <c r="S209" i="4"/>
  <c r="U209" i="4" s="1"/>
  <c r="J254" i="4" l="1"/>
  <c r="J253" i="4"/>
  <c r="J252" i="4"/>
  <c r="J251" i="4"/>
  <c r="J268" i="3"/>
  <c r="J267" i="3"/>
  <c r="J265" i="3"/>
  <c r="J262" i="3"/>
  <c r="J257" i="3"/>
  <c r="J268" i="1"/>
  <c r="J267" i="1"/>
  <c r="J266" i="1"/>
  <c r="J265" i="1"/>
  <c r="J263" i="1"/>
  <c r="J255" i="3"/>
  <c r="J245" i="3"/>
  <c r="J255" i="1"/>
  <c r="U248" i="1"/>
  <c r="J246" i="1"/>
  <c r="J244" i="4"/>
  <c r="J243" i="4"/>
  <c r="J242" i="4"/>
  <c r="J241" i="4"/>
  <c r="J240" i="4"/>
  <c r="J239" i="4"/>
  <c r="J244" i="3"/>
  <c r="J243" i="3"/>
  <c r="J242" i="3"/>
  <c r="J241" i="3"/>
  <c r="J272" i="4"/>
  <c r="J276" i="4"/>
  <c r="J280" i="4"/>
  <c r="J257" i="4"/>
  <c r="J261" i="4"/>
  <c r="J265" i="4"/>
  <c r="J255" i="4"/>
  <c r="J284" i="3"/>
  <c r="J288" i="3"/>
  <c r="J292" i="3"/>
  <c r="J230" i="4"/>
  <c r="J228" i="4"/>
  <c r="J227" i="4"/>
  <c r="J221" i="4"/>
  <c r="J230" i="3"/>
  <c r="J229" i="3"/>
  <c r="J227" i="3"/>
  <c r="J225" i="3"/>
  <c r="J221" i="3"/>
  <c r="J229" i="1"/>
  <c r="U228" i="1"/>
  <c r="U224" i="1"/>
  <c r="U221" i="1"/>
  <c r="J217" i="4"/>
  <c r="J215" i="4"/>
  <c r="J210" i="4"/>
  <c r="J209" i="4"/>
  <c r="U233" i="1"/>
  <c r="U237" i="1"/>
  <c r="U241" i="1"/>
  <c r="U219" i="4"/>
  <c r="J212" i="4"/>
  <c r="J216" i="4"/>
  <c r="J220" i="4"/>
  <c r="S208" i="4"/>
  <c r="U208" i="4" s="1"/>
  <c r="J208" i="4"/>
  <c r="S207" i="4"/>
  <c r="U207" i="4" s="1"/>
  <c r="J207" i="4"/>
  <c r="S206" i="4"/>
  <c r="U206" i="4" s="1"/>
  <c r="J206" i="4"/>
  <c r="S205" i="4"/>
  <c r="U205" i="4" s="1"/>
  <c r="J205" i="4"/>
  <c r="S204" i="4"/>
  <c r="U204" i="4" s="1"/>
  <c r="J204" i="4"/>
  <c r="S203" i="4"/>
  <c r="U203" i="4" s="1"/>
  <c r="J203" i="4"/>
  <c r="S202" i="4"/>
  <c r="U202" i="4" s="1"/>
  <c r="J202" i="4"/>
  <c r="S201" i="4"/>
  <c r="U201" i="4" s="1"/>
  <c r="J201" i="4"/>
  <c r="S200" i="4"/>
  <c r="U200" i="4" s="1"/>
  <c r="J200" i="4"/>
  <c r="S199" i="4"/>
  <c r="U199" i="4" s="1"/>
  <c r="J199" i="4"/>
  <c r="S198" i="4"/>
  <c r="U198" i="4" s="1"/>
  <c r="J198" i="4"/>
  <c r="S197" i="4"/>
  <c r="U197" i="4" s="1"/>
  <c r="S196" i="4"/>
  <c r="U196" i="4" s="1"/>
  <c r="J196" i="4"/>
  <c r="S195" i="4"/>
  <c r="U195" i="4" s="1"/>
  <c r="S194" i="4"/>
  <c r="U194" i="4" s="1"/>
  <c r="S193" i="4"/>
  <c r="U193" i="4" s="1"/>
  <c r="J193" i="4"/>
  <c r="S192" i="4"/>
  <c r="U192" i="4" s="1"/>
  <c r="J192" i="4"/>
  <c r="S191" i="4"/>
  <c r="U191" i="4" s="1"/>
  <c r="J191" i="4"/>
  <c r="S190" i="4"/>
  <c r="U190" i="4" s="1"/>
  <c r="J190" i="4"/>
  <c r="S189" i="4"/>
  <c r="U189" i="4" s="1"/>
  <c r="S188" i="4"/>
  <c r="U188" i="4" s="1"/>
  <c r="S187" i="4"/>
  <c r="U187" i="4" s="1"/>
  <c r="J187" i="4"/>
  <c r="S186" i="4"/>
  <c r="U186" i="4" s="1"/>
  <c r="J186" i="4"/>
  <c r="S185" i="4"/>
  <c r="U185" i="4" s="1"/>
  <c r="J185" i="4"/>
  <c r="S184" i="4"/>
  <c r="U184" i="4" s="1"/>
  <c r="J184" i="4"/>
  <c r="S183" i="4"/>
  <c r="U183" i="4" s="1"/>
  <c r="S182" i="4"/>
  <c r="U182" i="4" s="1"/>
  <c r="S181" i="4"/>
  <c r="U181" i="4" s="1"/>
  <c r="J181" i="4"/>
  <c r="S180" i="4"/>
  <c r="U180" i="4" s="1"/>
  <c r="J180" i="4"/>
  <c r="S179" i="4"/>
  <c r="U179" i="4" s="1"/>
  <c r="S178" i="4"/>
  <c r="U178" i="4" s="1"/>
  <c r="S177" i="4"/>
  <c r="U177" i="4" s="1"/>
  <c r="S176" i="4"/>
  <c r="U176" i="4" s="1"/>
  <c r="J176" i="4"/>
  <c r="S175" i="4"/>
  <c r="U175" i="4" s="1"/>
  <c r="J175" i="4"/>
  <c r="S174" i="4"/>
  <c r="U174" i="4" s="1"/>
  <c r="J174" i="4"/>
  <c r="S173" i="4"/>
  <c r="U173" i="4" s="1"/>
  <c r="S172" i="4"/>
  <c r="U172" i="4" s="1"/>
  <c r="S171" i="4"/>
  <c r="U171" i="4" s="1"/>
  <c r="S170" i="4"/>
  <c r="U170" i="4" s="1"/>
  <c r="J170" i="4"/>
  <c r="S169" i="4"/>
  <c r="U169" i="4" s="1"/>
  <c r="J169" i="4"/>
  <c r="S168" i="4"/>
  <c r="U168" i="4" s="1"/>
  <c r="S167" i="4"/>
  <c r="U167" i="4" s="1"/>
  <c r="S166" i="4"/>
  <c r="U166" i="4" s="1"/>
  <c r="J166" i="4"/>
  <c r="S165" i="4"/>
  <c r="U165" i="4" s="1"/>
  <c r="J165" i="4"/>
  <c r="S164" i="4"/>
  <c r="U164" i="4" s="1"/>
  <c r="S163" i="4"/>
  <c r="U163" i="4" s="1"/>
  <c r="J163" i="4"/>
  <c r="S162" i="4"/>
  <c r="U162" i="4" s="1"/>
  <c r="S161" i="4"/>
  <c r="U161" i="4" s="1"/>
  <c r="S220" i="3"/>
  <c r="U220" i="3" s="1"/>
  <c r="J220" i="3"/>
  <c r="S219" i="3"/>
  <c r="U219" i="3" s="1"/>
  <c r="S218" i="3"/>
  <c r="U218" i="3" s="1"/>
  <c r="S217" i="3"/>
  <c r="J217" i="3" s="1"/>
  <c r="S216" i="3"/>
  <c r="U216" i="3" s="1"/>
  <c r="J216" i="3"/>
  <c r="S215" i="3"/>
  <c r="U215" i="3" s="1"/>
  <c r="S214" i="3"/>
  <c r="U214" i="3" s="1"/>
  <c r="S213" i="3"/>
  <c r="J213" i="3" s="1"/>
  <c r="U212" i="3"/>
  <c r="S212" i="3"/>
  <c r="J212" i="3"/>
  <c r="S211" i="3"/>
  <c r="U211" i="3" s="1"/>
  <c r="S210" i="3"/>
  <c r="U210" i="3" s="1"/>
  <c r="S209" i="3"/>
  <c r="J209" i="3" s="1"/>
  <c r="S208" i="3"/>
  <c r="U208" i="3" s="1"/>
  <c r="J208" i="3"/>
  <c r="S207" i="3"/>
  <c r="U207" i="3" s="1"/>
  <c r="J207" i="3"/>
  <c r="S206" i="3"/>
  <c r="U206" i="3" s="1"/>
  <c r="J206" i="3"/>
  <c r="S205" i="3"/>
  <c r="U205" i="3" s="1"/>
  <c r="J205" i="3"/>
  <c r="S204" i="3"/>
  <c r="U204" i="3" s="1"/>
  <c r="J204" i="3"/>
  <c r="S203" i="3"/>
  <c r="U203" i="3" s="1"/>
  <c r="J203" i="3"/>
  <c r="S202" i="3"/>
  <c r="U202" i="3" s="1"/>
  <c r="S201" i="3"/>
  <c r="U201" i="3" s="1"/>
  <c r="J201" i="3"/>
  <c r="S200" i="3"/>
  <c r="U200" i="3" s="1"/>
  <c r="J200" i="3"/>
  <c r="S199" i="3"/>
  <c r="U199" i="3" s="1"/>
  <c r="S198" i="3"/>
  <c r="U198" i="3" s="1"/>
  <c r="J198" i="3"/>
  <c r="S197" i="3"/>
  <c r="U197" i="3" s="1"/>
  <c r="J197" i="3"/>
  <c r="S196" i="3"/>
  <c r="U196" i="3" s="1"/>
  <c r="J196" i="3"/>
  <c r="S195" i="3"/>
  <c r="U195" i="3" s="1"/>
  <c r="J195" i="3"/>
  <c r="S194" i="3"/>
  <c r="U194" i="3" s="1"/>
  <c r="J194" i="3"/>
  <c r="S193" i="3"/>
  <c r="U193" i="3" s="1"/>
  <c r="S192" i="3"/>
  <c r="U192" i="3" s="1"/>
  <c r="J192" i="3"/>
  <c r="S191" i="3"/>
  <c r="U191" i="3" s="1"/>
  <c r="J191" i="3"/>
  <c r="S190" i="3"/>
  <c r="U190" i="3" s="1"/>
  <c r="S189" i="3"/>
  <c r="U189" i="3" s="1"/>
  <c r="S188" i="3"/>
  <c r="U188" i="3" s="1"/>
  <c r="S187" i="3"/>
  <c r="U187" i="3" s="1"/>
  <c r="J187" i="3"/>
  <c r="S186" i="3"/>
  <c r="U186" i="3" s="1"/>
  <c r="S185" i="3"/>
  <c r="U185" i="3" s="1"/>
  <c r="S220" i="2"/>
  <c r="U220" i="2" s="1"/>
  <c r="S219" i="2"/>
  <c r="U219" i="2" s="1"/>
  <c r="S218" i="2"/>
  <c r="J218" i="2" s="1"/>
  <c r="S217" i="2"/>
  <c r="U217" i="2" s="1"/>
  <c r="J217" i="2"/>
  <c r="S216" i="2"/>
  <c r="U216" i="2" s="1"/>
  <c r="J216" i="2"/>
  <c r="S215" i="2"/>
  <c r="U215" i="2" s="1"/>
  <c r="J215" i="2"/>
  <c r="S214" i="2"/>
  <c r="U214" i="2" s="1"/>
  <c r="J214" i="2"/>
  <c r="S213" i="2"/>
  <c r="U213" i="2" s="1"/>
  <c r="J213" i="2"/>
  <c r="S212" i="2"/>
  <c r="U212" i="2" s="1"/>
  <c r="J212" i="2"/>
  <c r="S211" i="2"/>
  <c r="U211" i="2" s="1"/>
  <c r="J211" i="2"/>
  <c r="S210" i="2"/>
  <c r="U210" i="2" s="1"/>
  <c r="J210" i="2"/>
  <c r="S209" i="2"/>
  <c r="U209" i="2" s="1"/>
  <c r="J209" i="2"/>
  <c r="S208" i="2"/>
  <c r="U208" i="2" s="1"/>
  <c r="J208" i="2"/>
  <c r="S207" i="2"/>
  <c r="U207" i="2" s="1"/>
  <c r="J207" i="2"/>
  <c r="S206" i="2"/>
  <c r="U206" i="2" s="1"/>
  <c r="J206" i="2"/>
  <c r="S205" i="2"/>
  <c r="U205" i="2" s="1"/>
  <c r="J205" i="2"/>
  <c r="S204" i="2"/>
  <c r="U204" i="2" s="1"/>
  <c r="J204" i="2"/>
  <c r="S203" i="2"/>
  <c r="U203" i="2" s="1"/>
  <c r="J203" i="2"/>
  <c r="S202" i="2"/>
  <c r="U202" i="2" s="1"/>
  <c r="J202" i="2"/>
  <c r="S201" i="2"/>
  <c r="U201" i="2" s="1"/>
  <c r="J201" i="2"/>
  <c r="S200" i="2"/>
  <c r="U200" i="2" s="1"/>
  <c r="J200" i="2"/>
  <c r="S199" i="2"/>
  <c r="U199" i="2" s="1"/>
  <c r="J199" i="2"/>
  <c r="S198" i="2"/>
  <c r="U198" i="2" s="1"/>
  <c r="J198" i="2"/>
  <c r="S197" i="2"/>
  <c r="U197" i="2" s="1"/>
  <c r="J197" i="2"/>
  <c r="S196" i="2"/>
  <c r="U196" i="2" s="1"/>
  <c r="S195" i="2"/>
  <c r="U195" i="2" s="1"/>
  <c r="S194" i="2"/>
  <c r="U194" i="2" s="1"/>
  <c r="S193" i="2"/>
  <c r="U193" i="2" s="1"/>
  <c r="S192" i="2"/>
  <c r="U192" i="2" s="1"/>
  <c r="J192" i="2"/>
  <c r="S191" i="2"/>
  <c r="U191" i="2" s="1"/>
  <c r="S190" i="2"/>
  <c r="U190" i="2" s="1"/>
  <c r="J190" i="2"/>
  <c r="S189" i="2"/>
  <c r="J189" i="2" s="1"/>
  <c r="S188" i="2"/>
  <c r="U188" i="2" s="1"/>
  <c r="J188" i="2"/>
  <c r="S187" i="2"/>
  <c r="U187" i="2" s="1"/>
  <c r="S186" i="2"/>
  <c r="U186" i="2" s="1"/>
  <c r="S185" i="2"/>
  <c r="U185" i="2" s="1"/>
  <c r="S220" i="1"/>
  <c r="U220" i="1" s="1"/>
  <c r="J220" i="1"/>
  <c r="S219" i="1"/>
  <c r="U219" i="1" s="1"/>
  <c r="J219" i="1"/>
  <c r="S218" i="1"/>
  <c r="U218" i="1" s="1"/>
  <c r="J218" i="1"/>
  <c r="S217" i="1"/>
  <c r="U217" i="1" s="1"/>
  <c r="S216" i="1"/>
  <c r="U216" i="1" s="1"/>
  <c r="J216" i="1"/>
  <c r="S215" i="1"/>
  <c r="U215" i="1" s="1"/>
  <c r="S214" i="1"/>
  <c r="U214" i="1" s="1"/>
  <c r="J214" i="1"/>
  <c r="S213" i="1"/>
  <c r="U213" i="1" s="1"/>
  <c r="J213" i="1"/>
  <c r="S212" i="1"/>
  <c r="U212" i="1" s="1"/>
  <c r="J212" i="1"/>
  <c r="S211" i="1"/>
  <c r="U211" i="1" s="1"/>
  <c r="S210" i="1"/>
  <c r="U210" i="1" s="1"/>
  <c r="S209" i="1"/>
  <c r="U209" i="1" s="1"/>
  <c r="S208" i="1"/>
  <c r="U208" i="1" s="1"/>
  <c r="S207" i="1"/>
  <c r="U207" i="1" s="1"/>
  <c r="S206" i="1"/>
  <c r="U206" i="1" s="1"/>
  <c r="J206" i="1"/>
  <c r="S205" i="1"/>
  <c r="U205" i="1" s="1"/>
  <c r="J205" i="1"/>
  <c r="S204" i="1"/>
  <c r="U204" i="1" s="1"/>
  <c r="J204" i="1"/>
  <c r="S203" i="1"/>
  <c r="U203" i="1" s="1"/>
  <c r="J203" i="1"/>
  <c r="S202" i="1"/>
  <c r="U202" i="1" s="1"/>
  <c r="S201" i="1"/>
  <c r="U201" i="1" s="1"/>
  <c r="S200" i="1"/>
  <c r="U200" i="1" s="1"/>
  <c r="S199" i="1"/>
  <c r="U199" i="1" s="1"/>
  <c r="S198" i="1"/>
  <c r="U198" i="1" s="1"/>
  <c r="S197" i="1"/>
  <c r="U197" i="1" s="1"/>
  <c r="S196" i="1"/>
  <c r="U196" i="1" s="1"/>
  <c r="J196" i="1"/>
  <c r="S195" i="1"/>
  <c r="U195" i="1" s="1"/>
  <c r="J195" i="1"/>
  <c r="S194" i="1"/>
  <c r="U194" i="1" s="1"/>
  <c r="J194" i="1"/>
  <c r="S193" i="1"/>
  <c r="U193" i="1" s="1"/>
  <c r="S192" i="1"/>
  <c r="U192" i="1" s="1"/>
  <c r="J192" i="1"/>
  <c r="S191" i="1"/>
  <c r="U191" i="1" s="1"/>
  <c r="S190" i="1"/>
  <c r="U190" i="1" s="1"/>
  <c r="J190" i="1"/>
  <c r="S189" i="1"/>
  <c r="U189" i="1" s="1"/>
  <c r="S188" i="1"/>
  <c r="U188" i="1" s="1"/>
  <c r="J188" i="1"/>
  <c r="S187" i="1"/>
  <c r="U187" i="1" s="1"/>
  <c r="J187" i="1"/>
  <c r="S186" i="1"/>
  <c r="U186" i="1" s="1"/>
  <c r="J186" i="1"/>
  <c r="S185" i="1"/>
  <c r="U185" i="1" s="1"/>
  <c r="S184" i="3"/>
  <c r="U184" i="3" s="1"/>
  <c r="J184" i="3"/>
  <c r="S183" i="3"/>
  <c r="U183" i="3" s="1"/>
  <c r="S182" i="3"/>
  <c r="U182" i="3" s="1"/>
  <c r="S181" i="3"/>
  <c r="U181" i="3" s="1"/>
  <c r="J181" i="3"/>
  <c r="S180" i="3"/>
  <c r="U180" i="3" s="1"/>
  <c r="J180" i="3"/>
  <c r="S179" i="3"/>
  <c r="U179" i="3" s="1"/>
  <c r="S178" i="3"/>
  <c r="U178" i="3" s="1"/>
  <c r="J178" i="3"/>
  <c r="S177" i="3"/>
  <c r="U177" i="3" s="1"/>
  <c r="S176" i="3"/>
  <c r="U176" i="3" s="1"/>
  <c r="S175" i="3"/>
  <c r="U175" i="3" s="1"/>
  <c r="S174" i="3"/>
  <c r="U174" i="3" s="1"/>
  <c r="J174" i="3"/>
  <c r="S173" i="3"/>
  <c r="U173" i="3" s="1"/>
  <c r="J173" i="3"/>
  <c r="S172" i="3"/>
  <c r="U172" i="3" s="1"/>
  <c r="J172" i="3"/>
  <c r="S171" i="3"/>
  <c r="U171" i="3" s="1"/>
  <c r="J171" i="3"/>
  <c r="S170" i="3"/>
  <c r="U170" i="3" s="1"/>
  <c r="S169" i="3"/>
  <c r="U169" i="3" s="1"/>
  <c r="S168" i="3"/>
  <c r="U168" i="3" s="1"/>
  <c r="J168" i="3"/>
  <c r="S167" i="3"/>
  <c r="U167" i="3" s="1"/>
  <c r="S166" i="3"/>
  <c r="U166" i="3" s="1"/>
  <c r="J166" i="3"/>
  <c r="S165" i="3"/>
  <c r="U165" i="3" s="1"/>
  <c r="J165" i="3"/>
  <c r="S164" i="3"/>
  <c r="U164" i="3" s="1"/>
  <c r="J164" i="3"/>
  <c r="S163" i="3"/>
  <c r="U163" i="3" s="1"/>
  <c r="S162" i="3"/>
  <c r="U162" i="3" s="1"/>
  <c r="S161" i="3"/>
  <c r="U161" i="3" s="1"/>
  <c r="J161" i="3"/>
  <c r="S184" i="2"/>
  <c r="U184" i="2" s="1"/>
  <c r="S183" i="2"/>
  <c r="U183" i="2" s="1"/>
  <c r="J183" i="2"/>
  <c r="S182" i="2"/>
  <c r="U182" i="2" s="1"/>
  <c r="J182" i="2"/>
  <c r="S181" i="2"/>
  <c r="U181" i="2" s="1"/>
  <c r="S180" i="2"/>
  <c r="U180" i="2" s="1"/>
  <c r="S179" i="2"/>
  <c r="U179" i="2" s="1"/>
  <c r="S178" i="2"/>
  <c r="U178" i="2" s="1"/>
  <c r="S177" i="2"/>
  <c r="U177" i="2" s="1"/>
  <c r="J177" i="2"/>
  <c r="S176" i="2"/>
  <c r="U176" i="2" s="1"/>
  <c r="J176" i="2"/>
  <c r="S175" i="2"/>
  <c r="U175" i="2" s="1"/>
  <c r="J175" i="2"/>
  <c r="S174" i="2"/>
  <c r="U174" i="2" s="1"/>
  <c r="S173" i="2"/>
  <c r="U173" i="2" s="1"/>
  <c r="S172" i="2"/>
  <c r="U172" i="2" s="1"/>
  <c r="S171" i="2"/>
  <c r="U171" i="2" s="1"/>
  <c r="J171" i="2"/>
  <c r="S170" i="2"/>
  <c r="U170" i="2" s="1"/>
  <c r="J170" i="2"/>
  <c r="S169" i="2"/>
  <c r="U169" i="2" s="1"/>
  <c r="J169" i="2"/>
  <c r="S168" i="2"/>
  <c r="U168" i="2" s="1"/>
  <c r="J168" i="2"/>
  <c r="S167" i="2"/>
  <c r="U167" i="2" s="1"/>
  <c r="S166" i="2"/>
  <c r="U166" i="2" s="1"/>
  <c r="S165" i="2"/>
  <c r="U165" i="2" s="1"/>
  <c r="S164" i="2"/>
  <c r="U164" i="2" s="1"/>
  <c r="J164" i="2"/>
  <c r="S163" i="2"/>
  <c r="U163" i="2" s="1"/>
  <c r="J163" i="2"/>
  <c r="S162" i="2"/>
  <c r="U162" i="2" s="1"/>
  <c r="J162" i="2"/>
  <c r="S161" i="2"/>
  <c r="U161" i="2" s="1"/>
  <c r="S184" i="1"/>
  <c r="U184" i="1" s="1"/>
  <c r="S183" i="1"/>
  <c r="U183" i="1" s="1"/>
  <c r="S182" i="1"/>
  <c r="U182" i="1" s="1"/>
  <c r="J182" i="1"/>
  <c r="S181" i="1"/>
  <c r="U181" i="1" s="1"/>
  <c r="J181" i="1"/>
  <c r="S180" i="1"/>
  <c r="U180" i="1" s="1"/>
  <c r="S179" i="1"/>
  <c r="U179" i="1" s="1"/>
  <c r="S178" i="1"/>
  <c r="U178" i="1" s="1"/>
  <c r="J178" i="1"/>
  <c r="S177" i="1"/>
  <c r="U177" i="1" s="1"/>
  <c r="J177" i="1"/>
  <c r="S176" i="1"/>
  <c r="U176" i="1" s="1"/>
  <c r="S175" i="1"/>
  <c r="J175" i="1" s="1"/>
  <c r="S174" i="1"/>
  <c r="U174" i="1" s="1"/>
  <c r="S173" i="1"/>
  <c r="U173" i="1" s="1"/>
  <c r="S172" i="1"/>
  <c r="U172" i="1" s="1"/>
  <c r="J172" i="1"/>
  <c r="S171" i="1"/>
  <c r="U171" i="1" s="1"/>
  <c r="J171" i="1"/>
  <c r="S170" i="1"/>
  <c r="U170" i="1" s="1"/>
  <c r="S169" i="1"/>
  <c r="U169" i="1" s="1"/>
  <c r="S168" i="1"/>
  <c r="U168" i="1" s="1"/>
  <c r="S167" i="1"/>
  <c r="J167" i="1" s="1"/>
  <c r="S166" i="1"/>
  <c r="U166" i="1" s="1"/>
  <c r="S165" i="1"/>
  <c r="U165" i="1" s="1"/>
  <c r="J165" i="1"/>
  <c r="S164" i="1"/>
  <c r="U164" i="1" s="1"/>
  <c r="J164" i="1"/>
  <c r="U163" i="1"/>
  <c r="S163" i="1"/>
  <c r="J163" i="1"/>
  <c r="S162" i="1"/>
  <c r="U162" i="1" s="1"/>
  <c r="J162" i="1"/>
  <c r="S161" i="1"/>
  <c r="U161" i="1" s="1"/>
  <c r="J161" i="1"/>
  <c r="S160" i="1"/>
  <c r="U160" i="1" s="1"/>
  <c r="J160" i="1"/>
  <c r="S159" i="1"/>
  <c r="U159" i="1" s="1"/>
  <c r="J159" i="1"/>
  <c r="S158" i="1"/>
  <c r="U158" i="1" s="1"/>
  <c r="S157" i="1"/>
  <c r="U157" i="1" s="1"/>
  <c r="J157" i="1"/>
  <c r="S156" i="1"/>
  <c r="U156" i="1" s="1"/>
  <c r="J156" i="1"/>
  <c r="S155" i="1"/>
  <c r="U155" i="1" s="1"/>
  <c r="J155" i="1"/>
  <c r="S154" i="1"/>
  <c r="U154" i="1" s="1"/>
  <c r="J154" i="1"/>
  <c r="S153" i="1"/>
  <c r="U153" i="1" s="1"/>
  <c r="J153" i="1"/>
  <c r="S152" i="1"/>
  <c r="U152" i="1" s="1"/>
  <c r="S151" i="1"/>
  <c r="U151" i="1" s="1"/>
  <c r="S150" i="1"/>
  <c r="U150" i="1" s="1"/>
  <c r="S149" i="1"/>
  <c r="U149" i="1" s="1"/>
  <c r="J149" i="1"/>
  <c r="S160" i="2"/>
  <c r="U160" i="2" s="1"/>
  <c r="J160" i="2"/>
  <c r="S159" i="2"/>
  <c r="U159" i="2" s="1"/>
  <c r="J159" i="2"/>
  <c r="S158" i="2"/>
  <c r="U158" i="2" s="1"/>
  <c r="S157" i="2"/>
  <c r="U157" i="2" s="1"/>
  <c r="S156" i="2"/>
  <c r="U156" i="2" s="1"/>
  <c r="S155" i="2"/>
  <c r="U155" i="2" s="1"/>
  <c r="S154" i="2"/>
  <c r="U154" i="2" s="1"/>
  <c r="S153" i="2"/>
  <c r="U153" i="2" s="1"/>
  <c r="S152" i="2"/>
  <c r="U152" i="2" s="1"/>
  <c r="S151" i="2"/>
  <c r="U151" i="2" s="1"/>
  <c r="J151" i="2"/>
  <c r="S150" i="2"/>
  <c r="U150" i="2" s="1"/>
  <c r="J150" i="2"/>
  <c r="S149" i="2"/>
  <c r="U149" i="2" s="1"/>
  <c r="J149" i="2"/>
  <c r="S160" i="3"/>
  <c r="U160" i="3" s="1"/>
  <c r="J160" i="3"/>
  <c r="S159" i="3"/>
  <c r="U159" i="3" s="1"/>
  <c r="J159" i="3"/>
  <c r="S158" i="3"/>
  <c r="U158" i="3" s="1"/>
  <c r="S157" i="3"/>
  <c r="U157" i="3" s="1"/>
  <c r="S156" i="3"/>
  <c r="U156" i="3" s="1"/>
  <c r="S155" i="3"/>
  <c r="U155" i="3" s="1"/>
  <c r="S154" i="3"/>
  <c r="U154" i="3" s="1"/>
  <c r="S153" i="3"/>
  <c r="U153" i="3" s="1"/>
  <c r="J153" i="3"/>
  <c r="S152" i="3"/>
  <c r="U152" i="3" s="1"/>
  <c r="J152" i="3"/>
  <c r="S151" i="3"/>
  <c r="U151" i="3" s="1"/>
  <c r="S150" i="3"/>
  <c r="U150" i="3" s="1"/>
  <c r="S149" i="3"/>
  <c r="U149" i="3" s="1"/>
  <c r="J149" i="3"/>
  <c r="S160" i="4"/>
  <c r="U160" i="4" s="1"/>
  <c r="J160" i="4"/>
  <c r="S159" i="4"/>
  <c r="U159" i="4" s="1"/>
  <c r="S158" i="4"/>
  <c r="U158" i="4" s="1"/>
  <c r="S157" i="4"/>
  <c r="U157" i="4" s="1"/>
  <c r="S156" i="4"/>
  <c r="U156" i="4" s="1"/>
  <c r="S155" i="4"/>
  <c r="U155" i="4" s="1"/>
  <c r="J155" i="4"/>
  <c r="S154" i="4"/>
  <c r="U154" i="4" s="1"/>
  <c r="J154" i="4"/>
  <c r="S153" i="4"/>
  <c r="U153" i="4" s="1"/>
  <c r="J153" i="4"/>
  <c r="S152" i="4"/>
  <c r="U152" i="4" s="1"/>
  <c r="J152" i="4"/>
  <c r="S151" i="4"/>
  <c r="U151" i="4" s="1"/>
  <c r="S150" i="4"/>
  <c r="U150" i="4" s="1"/>
  <c r="J150" i="4"/>
  <c r="S149" i="4"/>
  <c r="U149" i="4" s="1"/>
  <c r="J149" i="4"/>
  <c r="S22" i="1"/>
  <c r="J182" i="4" l="1"/>
  <c r="J188" i="4"/>
  <c r="J194" i="4"/>
  <c r="J159" i="4"/>
  <c r="J168" i="4"/>
  <c r="J183" i="4"/>
  <c r="J189" i="4"/>
  <c r="J195" i="4"/>
  <c r="J162" i="3"/>
  <c r="J175" i="3"/>
  <c r="J182" i="3"/>
  <c r="J179" i="3"/>
  <c r="J156" i="3"/>
  <c r="J169" i="3"/>
  <c r="J193" i="3"/>
  <c r="J163" i="3"/>
  <c r="J176" i="3"/>
  <c r="J183" i="3"/>
  <c r="J186" i="3"/>
  <c r="J165" i="2"/>
  <c r="J180" i="2"/>
  <c r="J185" i="2"/>
  <c r="J193" i="2"/>
  <c r="J157" i="2"/>
  <c r="J174" i="2"/>
  <c r="J181" i="2"/>
  <c r="J194" i="2"/>
  <c r="J170" i="1"/>
  <c r="J166" i="1"/>
  <c r="J152" i="1"/>
  <c r="J158" i="1"/>
  <c r="J169" i="1"/>
  <c r="J191" i="1"/>
  <c r="J218" i="3"/>
  <c r="U217" i="3"/>
  <c r="J214" i="3"/>
  <c r="U213" i="3"/>
  <c r="J210" i="3"/>
  <c r="U209" i="3"/>
  <c r="J217" i="1"/>
  <c r="J215" i="1"/>
  <c r="J211" i="1"/>
  <c r="J210" i="1"/>
  <c r="J209" i="1"/>
  <c r="J199" i="3"/>
  <c r="J202" i="3"/>
  <c r="J197" i="4"/>
  <c r="J190" i="3"/>
  <c r="J189" i="3"/>
  <c r="J188" i="3"/>
  <c r="J208" i="1"/>
  <c r="J198" i="1"/>
  <c r="J185" i="3"/>
  <c r="J202" i="1"/>
  <c r="J201" i="1"/>
  <c r="J200" i="1"/>
  <c r="J199" i="1"/>
  <c r="J197" i="1"/>
  <c r="J179" i="4"/>
  <c r="J151" i="4"/>
  <c r="J158" i="4"/>
  <c r="J164" i="4"/>
  <c r="J162" i="4"/>
  <c r="J171" i="4"/>
  <c r="J178" i="4"/>
  <c r="J172" i="4"/>
  <c r="J177" i="4"/>
  <c r="J161" i="4"/>
  <c r="J167" i="4"/>
  <c r="J173" i="4"/>
  <c r="J157" i="4"/>
  <c r="J156" i="4"/>
  <c r="J177" i="3"/>
  <c r="J170" i="3"/>
  <c r="J167" i="3"/>
  <c r="J173" i="1"/>
  <c r="J168" i="1"/>
  <c r="U167" i="1"/>
  <c r="J211" i="3"/>
  <c r="J215" i="3"/>
  <c r="J219" i="3"/>
  <c r="J154" i="2"/>
  <c r="J166" i="2"/>
  <c r="J172" i="2"/>
  <c r="J178" i="2"/>
  <c r="J184" i="2"/>
  <c r="J186" i="2"/>
  <c r="J220" i="2"/>
  <c r="J161" i="2"/>
  <c r="J167" i="2"/>
  <c r="J173" i="2"/>
  <c r="J179" i="2"/>
  <c r="U218" i="2"/>
  <c r="J219" i="2"/>
  <c r="U189" i="2"/>
  <c r="J187" i="2"/>
  <c r="J191" i="2"/>
  <c r="J195" i="2"/>
  <c r="J196" i="2"/>
  <c r="J207" i="1"/>
  <c r="J185" i="1"/>
  <c r="J189" i="1"/>
  <c r="J193" i="1"/>
  <c r="J158" i="3"/>
  <c r="J157" i="3"/>
  <c r="J155" i="3"/>
  <c r="J154" i="3"/>
  <c r="J151" i="3"/>
  <c r="J150" i="3"/>
  <c r="J158" i="2"/>
  <c r="J156" i="2"/>
  <c r="J155" i="2"/>
  <c r="J153" i="2"/>
  <c r="J152" i="2"/>
  <c r="J151" i="1"/>
  <c r="J150" i="1"/>
  <c r="J183" i="1"/>
  <c r="J174" i="1"/>
  <c r="J179" i="1"/>
  <c r="U175" i="1"/>
  <c r="J176" i="1"/>
  <c r="J180" i="1"/>
  <c r="J184" i="1"/>
  <c r="S148" i="4"/>
  <c r="U148" i="4" s="1"/>
  <c r="J148" i="4"/>
  <c r="S147" i="4"/>
  <c r="U147" i="4" s="1"/>
  <c r="J147" i="4"/>
  <c r="S146" i="4"/>
  <c r="U146" i="4" s="1"/>
  <c r="S145" i="4"/>
  <c r="J145" i="4" s="1"/>
  <c r="S144" i="4"/>
  <c r="J144" i="4" s="1"/>
  <c r="S143" i="4"/>
  <c r="J143" i="4" s="1"/>
  <c r="S142" i="4"/>
  <c r="U142" i="4" s="1"/>
  <c r="U141" i="4"/>
  <c r="S141" i="4"/>
  <c r="J141" i="4"/>
  <c r="S140" i="4"/>
  <c r="U140" i="4" s="1"/>
  <c r="J140" i="4"/>
  <c r="S139" i="4"/>
  <c r="U139" i="4" s="1"/>
  <c r="J139" i="4"/>
  <c r="S138" i="4"/>
  <c r="J138" i="4" s="1"/>
  <c r="S137" i="4"/>
  <c r="U137" i="4" s="1"/>
  <c r="S148" i="3"/>
  <c r="U148" i="3" s="1"/>
  <c r="J148" i="3"/>
  <c r="S147" i="3"/>
  <c r="U147" i="3" s="1"/>
  <c r="S146" i="3"/>
  <c r="J146" i="3" s="1"/>
  <c r="S145" i="3"/>
  <c r="U145" i="3" s="1"/>
  <c r="J145" i="3"/>
  <c r="S144" i="3"/>
  <c r="J144" i="3" s="1"/>
  <c r="S143" i="3"/>
  <c r="U143" i="3" s="1"/>
  <c r="U142" i="3"/>
  <c r="S142" i="3"/>
  <c r="J142" i="3"/>
  <c r="S141" i="3"/>
  <c r="U141" i="3" s="1"/>
  <c r="S140" i="3"/>
  <c r="U140" i="3" s="1"/>
  <c r="J140" i="3"/>
  <c r="S139" i="3"/>
  <c r="U139" i="3" s="1"/>
  <c r="J139" i="3"/>
  <c r="S138" i="3"/>
  <c r="J138" i="3" s="1"/>
  <c r="S137" i="3"/>
  <c r="U137" i="3" s="1"/>
  <c r="S148" i="2"/>
  <c r="J148" i="2" s="1"/>
  <c r="S147" i="2"/>
  <c r="U147" i="2" s="1"/>
  <c r="J147" i="2"/>
  <c r="S146" i="2"/>
  <c r="U146" i="2" s="1"/>
  <c r="S145" i="2"/>
  <c r="U145" i="2" s="1"/>
  <c r="J145" i="2"/>
  <c r="S144" i="2"/>
  <c r="J144" i="2" s="1"/>
  <c r="S143" i="2"/>
  <c r="U143" i="2" s="1"/>
  <c r="J143" i="2"/>
  <c r="S142" i="2"/>
  <c r="U142" i="2" s="1"/>
  <c r="S141" i="2"/>
  <c r="U141" i="2" s="1"/>
  <c r="J141" i="2"/>
  <c r="S140" i="2"/>
  <c r="J140" i="2" s="1"/>
  <c r="S139" i="2"/>
  <c r="U139" i="2" s="1"/>
  <c r="S138" i="2"/>
  <c r="U138" i="2" s="1"/>
  <c r="J138" i="2"/>
  <c r="S137" i="2"/>
  <c r="U137" i="2" s="1"/>
  <c r="J137" i="2"/>
  <c r="S148" i="1"/>
  <c r="U148" i="1" s="1"/>
  <c r="S147" i="1"/>
  <c r="J147" i="1" s="1"/>
  <c r="S146" i="1"/>
  <c r="J146" i="1" s="1"/>
  <c r="S145" i="1"/>
  <c r="U145" i="1" s="1"/>
  <c r="S144" i="1"/>
  <c r="U144" i="1" s="1"/>
  <c r="S143" i="1"/>
  <c r="U143" i="1" s="1"/>
  <c r="S142" i="1"/>
  <c r="J142" i="1" s="1"/>
  <c r="S141" i="1"/>
  <c r="U141" i="1" s="1"/>
  <c r="S140" i="1"/>
  <c r="U140" i="1" s="1"/>
  <c r="S139" i="1"/>
  <c r="U139" i="1" s="1"/>
  <c r="S138" i="1"/>
  <c r="U138" i="1" s="1"/>
  <c r="S137" i="1"/>
  <c r="U137" i="1" s="1"/>
  <c r="J142" i="4" l="1"/>
  <c r="J143" i="3"/>
  <c r="U146" i="3"/>
  <c r="J139" i="2"/>
  <c r="U143" i="4"/>
  <c r="J137" i="4"/>
  <c r="J144" i="1"/>
  <c r="J148" i="1"/>
  <c r="J138" i="1"/>
  <c r="J145" i="1"/>
  <c r="J140" i="1"/>
  <c r="J139" i="1"/>
  <c r="U142" i="1"/>
  <c r="U146" i="1"/>
  <c r="U147" i="1"/>
  <c r="J143" i="1"/>
  <c r="U144" i="4"/>
  <c r="U145" i="4"/>
  <c r="J146" i="4"/>
  <c r="U138" i="4"/>
  <c r="U144" i="3"/>
  <c r="U138" i="3"/>
  <c r="J141" i="3"/>
  <c r="J147" i="3"/>
  <c r="J137" i="3"/>
  <c r="U148" i="2"/>
  <c r="U144" i="2"/>
  <c r="U140" i="2"/>
  <c r="J146" i="2"/>
  <c r="J142" i="2"/>
  <c r="J137" i="1"/>
  <c r="J141" i="1"/>
  <c r="S136" i="4" l="1"/>
  <c r="U136" i="4" s="1"/>
  <c r="S135" i="4"/>
  <c r="U135" i="4" s="1"/>
  <c r="S134" i="4"/>
  <c r="J134" i="4" s="1"/>
  <c r="S133" i="4"/>
  <c r="U133" i="4" s="1"/>
  <c r="U132" i="4"/>
  <c r="S132" i="4"/>
  <c r="J132" i="4"/>
  <c r="S131" i="4"/>
  <c r="U131" i="4" s="1"/>
  <c r="S130" i="4"/>
  <c r="U130" i="4" s="1"/>
  <c r="J130" i="4"/>
  <c r="S129" i="4"/>
  <c r="U129" i="4" s="1"/>
  <c r="J129" i="4"/>
  <c r="S128" i="4"/>
  <c r="J128" i="4" s="1"/>
  <c r="S127" i="4"/>
  <c r="U127" i="4" s="1"/>
  <c r="S126" i="4"/>
  <c r="U126" i="4" s="1"/>
  <c r="S125" i="4"/>
  <c r="U125" i="4" s="1"/>
  <c r="U124" i="4"/>
  <c r="S124" i="4"/>
  <c r="J124" i="4"/>
  <c r="S123" i="4"/>
  <c r="J123" i="4" s="1"/>
  <c r="S122" i="4"/>
  <c r="U122" i="4" s="1"/>
  <c r="J122" i="4"/>
  <c r="S121" i="4"/>
  <c r="U121" i="4" s="1"/>
  <c r="S120" i="4"/>
  <c r="U120" i="4" s="1"/>
  <c r="S119" i="4"/>
  <c r="U119" i="4" s="1"/>
  <c r="S118" i="4"/>
  <c r="J118" i="4" s="1"/>
  <c r="S117" i="4"/>
  <c r="U117" i="4" s="1"/>
  <c r="S116" i="4"/>
  <c r="U116" i="4" s="1"/>
  <c r="S115" i="4"/>
  <c r="U115" i="4" s="1"/>
  <c r="S114" i="4"/>
  <c r="U114" i="4" s="1"/>
  <c r="J114" i="4"/>
  <c r="S113" i="4"/>
  <c r="U113" i="4" s="1"/>
  <c r="J113" i="4"/>
  <c r="U112" i="4"/>
  <c r="S112" i="4"/>
  <c r="J112" i="4"/>
  <c r="S111" i="4"/>
  <c r="U111" i="4" s="1"/>
  <c r="S110" i="4"/>
  <c r="U110" i="4" s="1"/>
  <c r="S109" i="4"/>
  <c r="U109" i="4" s="1"/>
  <c r="S108" i="4"/>
  <c r="U108" i="4" s="1"/>
  <c r="S107" i="4"/>
  <c r="J107" i="4" s="1"/>
  <c r="S106" i="4"/>
  <c r="U106" i="4" s="1"/>
  <c r="J106" i="4"/>
  <c r="S105" i="4"/>
  <c r="U105" i="4" s="1"/>
  <c r="J105" i="4"/>
  <c r="S104" i="4"/>
  <c r="U104" i="4" s="1"/>
  <c r="J104" i="4"/>
  <c r="S103" i="4"/>
  <c r="U103" i="4" s="1"/>
  <c r="S102" i="4"/>
  <c r="J102" i="4" s="1"/>
  <c r="S101" i="4"/>
  <c r="U101" i="4" s="1"/>
  <c r="U100" i="4"/>
  <c r="S100" i="4"/>
  <c r="J100" i="4"/>
  <c r="S99" i="4"/>
  <c r="U99" i="4" s="1"/>
  <c r="J99" i="4"/>
  <c r="S98" i="4"/>
  <c r="U98" i="4" s="1"/>
  <c r="S97" i="4"/>
  <c r="U97" i="4" s="1"/>
  <c r="S96" i="4"/>
  <c r="J96" i="4" s="1"/>
  <c r="S95" i="4"/>
  <c r="U95" i="4" s="1"/>
  <c r="S94" i="4"/>
  <c r="U94" i="4" s="1"/>
  <c r="J94" i="4"/>
  <c r="S93" i="4"/>
  <c r="U93" i="4" s="1"/>
  <c r="S92" i="4"/>
  <c r="U92" i="4" s="1"/>
  <c r="J92" i="4"/>
  <c r="U91" i="4"/>
  <c r="S91" i="4"/>
  <c r="J91" i="4" s="1"/>
  <c r="U90" i="4"/>
  <c r="S90" i="4"/>
  <c r="J90" i="4"/>
  <c r="S89" i="4"/>
  <c r="U89" i="4" s="1"/>
  <c r="S88" i="4"/>
  <c r="U88" i="4" s="1"/>
  <c r="J88" i="4"/>
  <c r="S87" i="4"/>
  <c r="U87" i="4" s="1"/>
  <c r="J87" i="4"/>
  <c r="S86" i="4"/>
  <c r="J86" i="4" s="1"/>
  <c r="S85" i="4"/>
  <c r="U85" i="4" s="1"/>
  <c r="S84" i="4"/>
  <c r="U84" i="4" s="1"/>
  <c r="J84" i="4"/>
  <c r="S83" i="4"/>
  <c r="U83" i="4" s="1"/>
  <c r="S82" i="4"/>
  <c r="U82" i="4" s="1"/>
  <c r="J82" i="4"/>
  <c r="S81" i="4"/>
  <c r="U81" i="4" s="1"/>
  <c r="J81" i="4"/>
  <c r="U80" i="4"/>
  <c r="S80" i="4"/>
  <c r="J80" i="4"/>
  <c r="S79" i="4"/>
  <c r="U79" i="4" s="1"/>
  <c r="S78" i="4"/>
  <c r="U78" i="4" s="1"/>
  <c r="S77" i="4"/>
  <c r="U77" i="4" s="1"/>
  <c r="J77" i="4"/>
  <c r="S76" i="4"/>
  <c r="U76" i="4" s="1"/>
  <c r="S75" i="4"/>
  <c r="J75" i="4" s="1"/>
  <c r="S74" i="4"/>
  <c r="U74" i="4" s="1"/>
  <c r="J74" i="4"/>
  <c r="S73" i="4"/>
  <c r="U73" i="4" s="1"/>
  <c r="S72" i="4"/>
  <c r="U72" i="4" s="1"/>
  <c r="S71" i="4"/>
  <c r="U71" i="4" s="1"/>
  <c r="S70" i="4"/>
  <c r="J70" i="4" s="1"/>
  <c r="S69" i="4"/>
  <c r="U69" i="4" s="1"/>
  <c r="S68" i="4"/>
  <c r="U68" i="4" s="1"/>
  <c r="J68" i="4"/>
  <c r="S67" i="4"/>
  <c r="U67" i="4" s="1"/>
  <c r="S66" i="4"/>
  <c r="U66" i="4" s="1"/>
  <c r="J66" i="4"/>
  <c r="S65" i="4"/>
  <c r="U65" i="4" s="1"/>
  <c r="S64" i="4"/>
  <c r="U64" i="4" s="1"/>
  <c r="S63" i="4"/>
  <c r="U63" i="4" s="1"/>
  <c r="S62" i="4"/>
  <c r="U62" i="4" s="1"/>
  <c r="S61" i="4"/>
  <c r="U61" i="4" s="1"/>
  <c r="S60" i="4"/>
  <c r="U60" i="4" s="1"/>
  <c r="S59" i="4"/>
  <c r="J59" i="4" s="1"/>
  <c r="S58" i="4"/>
  <c r="U58" i="4" s="1"/>
  <c r="J58" i="4"/>
  <c r="S57" i="4"/>
  <c r="U57" i="4" s="1"/>
  <c r="S56" i="4"/>
  <c r="U56" i="4" s="1"/>
  <c r="J56" i="4"/>
  <c r="S55" i="4"/>
  <c r="U55" i="4" s="1"/>
  <c r="S54" i="4"/>
  <c r="J54" i="4" s="1"/>
  <c r="S53" i="4"/>
  <c r="U53" i="4" s="1"/>
  <c r="U52" i="4"/>
  <c r="S52" i="4"/>
  <c r="J52" i="4"/>
  <c r="S51" i="4"/>
  <c r="U51" i="4" s="1"/>
  <c r="J51" i="4"/>
  <c r="S50" i="4"/>
  <c r="U50" i="4" s="1"/>
  <c r="J50" i="4"/>
  <c r="S49" i="4"/>
  <c r="U49" i="4" s="1"/>
  <c r="J49" i="4"/>
  <c r="U48" i="4"/>
  <c r="S48" i="4"/>
  <c r="J48" i="4"/>
  <c r="S47" i="4"/>
  <c r="U47" i="4" s="1"/>
  <c r="S46" i="4"/>
  <c r="U46" i="4" s="1"/>
  <c r="J46" i="4"/>
  <c r="S45" i="4"/>
  <c r="U45" i="4" s="1"/>
  <c r="J45" i="4"/>
  <c r="S44" i="4"/>
  <c r="U44" i="4" s="1"/>
  <c r="J44" i="4"/>
  <c r="S43" i="4"/>
  <c r="J43" i="4" s="1"/>
  <c r="U42" i="4"/>
  <c r="S42" i="4"/>
  <c r="J42" i="4"/>
  <c r="S41" i="4"/>
  <c r="U41" i="4" s="1"/>
  <c r="S40" i="4"/>
  <c r="U40" i="4" s="1"/>
  <c r="S39" i="4"/>
  <c r="U39" i="4" s="1"/>
  <c r="S38" i="4"/>
  <c r="J38" i="4" s="1"/>
  <c r="S37" i="4"/>
  <c r="U37" i="4" s="1"/>
  <c r="S36" i="4"/>
  <c r="U36" i="4" s="1"/>
  <c r="S35" i="4"/>
  <c r="U35" i="4" s="1"/>
  <c r="S34" i="4"/>
  <c r="U34" i="4" s="1"/>
  <c r="S33" i="4"/>
  <c r="U33" i="4" s="1"/>
  <c r="S32" i="4"/>
  <c r="U32" i="4" s="1"/>
  <c r="J32" i="4"/>
  <c r="S31" i="4"/>
  <c r="U31" i="4" s="1"/>
  <c r="S30" i="4"/>
  <c r="U30" i="4" s="1"/>
  <c r="S29" i="4"/>
  <c r="U29" i="4" s="1"/>
  <c r="J29" i="4"/>
  <c r="S28" i="4"/>
  <c r="U28" i="4" s="1"/>
  <c r="J28" i="4"/>
  <c r="S27" i="4"/>
  <c r="J27" i="4" s="1"/>
  <c r="S26" i="4"/>
  <c r="U26" i="4" s="1"/>
  <c r="J26" i="4"/>
  <c r="S25" i="4"/>
  <c r="U25" i="4" s="1"/>
  <c r="S24" i="4"/>
  <c r="U24" i="4" s="1"/>
  <c r="J24" i="4"/>
  <c r="S23" i="4"/>
  <c r="U23" i="4" s="1"/>
  <c r="J23" i="4"/>
  <c r="S22" i="4"/>
  <c r="U22" i="4" s="1"/>
  <c r="S21" i="4"/>
  <c r="U21" i="4" s="1"/>
  <c r="S20" i="4"/>
  <c r="U20" i="4" s="1"/>
  <c r="J20" i="4"/>
  <c r="S19" i="4"/>
  <c r="U19" i="4" s="1"/>
  <c r="S18" i="4"/>
  <c r="U18" i="4" s="1"/>
  <c r="S17" i="4"/>
  <c r="U17" i="4" s="1"/>
  <c r="S136" i="3"/>
  <c r="U136" i="3" s="1"/>
  <c r="S135" i="3"/>
  <c r="U135" i="3" s="1"/>
  <c r="S134" i="3"/>
  <c r="U134" i="3" s="1"/>
  <c r="S133" i="3"/>
  <c r="U133" i="3" s="1"/>
  <c r="S132" i="3"/>
  <c r="U132" i="3" s="1"/>
  <c r="S131" i="3"/>
  <c r="U131" i="3" s="1"/>
  <c r="S130" i="3"/>
  <c r="U130" i="3" s="1"/>
  <c r="S129" i="3"/>
  <c r="J129" i="3" s="1"/>
  <c r="S128" i="3"/>
  <c r="U128" i="3" s="1"/>
  <c r="S127" i="3"/>
  <c r="J127" i="3" s="1"/>
  <c r="S126" i="3"/>
  <c r="J126" i="3" s="1"/>
  <c r="S125" i="3"/>
  <c r="U125" i="3" s="1"/>
  <c r="S124" i="3"/>
  <c r="U124" i="3" s="1"/>
  <c r="S123" i="3"/>
  <c r="U123" i="3" s="1"/>
  <c r="S122" i="3"/>
  <c r="U122" i="3" s="1"/>
  <c r="S121" i="3"/>
  <c r="U121" i="3" s="1"/>
  <c r="S120" i="3"/>
  <c r="U120" i="3" s="1"/>
  <c r="S119" i="3"/>
  <c r="U119" i="3" s="1"/>
  <c r="S118" i="3"/>
  <c r="U118" i="3" s="1"/>
  <c r="S117" i="3"/>
  <c r="U117" i="3" s="1"/>
  <c r="J117" i="3"/>
  <c r="S116" i="3"/>
  <c r="U116" i="3" s="1"/>
  <c r="S115" i="3"/>
  <c r="J115" i="3" s="1"/>
  <c r="S114" i="3"/>
  <c r="U114" i="3" s="1"/>
  <c r="S113" i="3"/>
  <c r="U113" i="3" s="1"/>
  <c r="S112" i="3"/>
  <c r="U112" i="3" s="1"/>
  <c r="J112" i="3"/>
  <c r="U111" i="3"/>
  <c r="S111" i="3"/>
  <c r="J111" i="3" s="1"/>
  <c r="S110" i="3"/>
  <c r="J110" i="3" s="1"/>
  <c r="S109" i="3"/>
  <c r="U109" i="3" s="1"/>
  <c r="J109" i="3"/>
  <c r="S108" i="3"/>
  <c r="U108" i="3" s="1"/>
  <c r="S107" i="3"/>
  <c r="U107" i="3" s="1"/>
  <c r="S106" i="3"/>
  <c r="U106" i="3" s="1"/>
  <c r="S105" i="3"/>
  <c r="U105" i="3" s="1"/>
  <c r="J105" i="3"/>
  <c r="S104" i="3"/>
  <c r="U104" i="3" s="1"/>
  <c r="S103" i="3"/>
  <c r="U103" i="3" s="1"/>
  <c r="J103" i="3"/>
  <c r="S102" i="3"/>
  <c r="U102" i="3" s="1"/>
  <c r="J102" i="3"/>
  <c r="S101" i="3"/>
  <c r="U101" i="3" s="1"/>
  <c r="J101" i="3"/>
  <c r="S100" i="3"/>
  <c r="U100" i="3" s="1"/>
  <c r="J100" i="3"/>
  <c r="U99" i="3"/>
  <c r="S99" i="3"/>
  <c r="J99" i="3" s="1"/>
  <c r="S98" i="3"/>
  <c r="U98" i="3" s="1"/>
  <c r="S97" i="3"/>
  <c r="J97" i="3" s="1"/>
  <c r="S96" i="3"/>
  <c r="U96" i="3" s="1"/>
  <c r="J96" i="3"/>
  <c r="S95" i="3"/>
  <c r="J95" i="3" s="1"/>
  <c r="S94" i="3"/>
  <c r="J94" i="3" s="1"/>
  <c r="S93" i="3"/>
  <c r="U93" i="3" s="1"/>
  <c r="J93" i="3"/>
  <c r="S92" i="3"/>
  <c r="U92" i="3" s="1"/>
  <c r="S91" i="3"/>
  <c r="U91" i="3" s="1"/>
  <c r="S90" i="3"/>
  <c r="U90" i="3" s="1"/>
  <c r="S89" i="3"/>
  <c r="U89" i="3" s="1"/>
  <c r="S88" i="3"/>
  <c r="U88" i="3" s="1"/>
  <c r="S87" i="3"/>
  <c r="U87" i="3" s="1"/>
  <c r="J87" i="3"/>
  <c r="S86" i="3"/>
  <c r="U86" i="3" s="1"/>
  <c r="J86" i="3"/>
  <c r="S85" i="3"/>
  <c r="U85" i="3" s="1"/>
  <c r="S84" i="3"/>
  <c r="U84" i="3" s="1"/>
  <c r="J84" i="3"/>
  <c r="S83" i="3"/>
  <c r="U83" i="3" s="1"/>
  <c r="S82" i="3"/>
  <c r="U82" i="3" s="1"/>
  <c r="J82" i="3"/>
  <c r="S81" i="3"/>
  <c r="U81" i="3" s="1"/>
  <c r="S80" i="3"/>
  <c r="U80" i="3" s="1"/>
  <c r="J80" i="3"/>
  <c r="S79" i="3"/>
  <c r="J79" i="3" s="1"/>
  <c r="S78" i="3"/>
  <c r="J78" i="3" s="1"/>
  <c r="S77" i="3"/>
  <c r="U77" i="3" s="1"/>
  <c r="J77" i="3"/>
  <c r="S76" i="3"/>
  <c r="U76" i="3" s="1"/>
  <c r="S75" i="3"/>
  <c r="U75" i="3" s="1"/>
  <c r="S74" i="3"/>
  <c r="U74" i="3" s="1"/>
  <c r="S73" i="3"/>
  <c r="U73" i="3" s="1"/>
  <c r="J73" i="3"/>
  <c r="S72" i="3"/>
  <c r="U72" i="3" s="1"/>
  <c r="S71" i="3"/>
  <c r="U71" i="3" s="1"/>
  <c r="J71" i="3"/>
  <c r="U70" i="3"/>
  <c r="S70" i="3"/>
  <c r="J70" i="3" s="1"/>
  <c r="S69" i="3"/>
  <c r="U69" i="3" s="1"/>
  <c r="S68" i="3"/>
  <c r="U68" i="3" s="1"/>
  <c r="J68" i="3"/>
  <c r="S67" i="3"/>
  <c r="J67" i="3" s="1"/>
  <c r="S66" i="3"/>
  <c r="U66" i="3" s="1"/>
  <c r="J66" i="3"/>
  <c r="S65" i="3"/>
  <c r="J65" i="3" s="1"/>
  <c r="U64" i="3"/>
  <c r="S64" i="3"/>
  <c r="J64" i="3"/>
  <c r="S63" i="3"/>
  <c r="J63" i="3" s="1"/>
  <c r="S62" i="3"/>
  <c r="J62" i="3" s="1"/>
  <c r="S61" i="3"/>
  <c r="U61" i="3" s="1"/>
  <c r="S60" i="3"/>
  <c r="U60" i="3" s="1"/>
  <c r="S59" i="3"/>
  <c r="U59" i="3" s="1"/>
  <c r="S58" i="3"/>
  <c r="U58" i="3" s="1"/>
  <c r="S57" i="3"/>
  <c r="U57" i="3" s="1"/>
  <c r="J57" i="3"/>
  <c r="S56" i="3"/>
  <c r="U56" i="3" s="1"/>
  <c r="S55" i="3"/>
  <c r="U55" i="3" s="1"/>
  <c r="J55" i="3"/>
  <c r="S54" i="3"/>
  <c r="U54" i="3" s="1"/>
  <c r="J54" i="3"/>
  <c r="S53" i="3"/>
  <c r="U53" i="3" s="1"/>
  <c r="S52" i="3"/>
  <c r="U52" i="3" s="1"/>
  <c r="J52" i="3"/>
  <c r="S51" i="3"/>
  <c r="U51" i="3" s="1"/>
  <c r="J51" i="3"/>
  <c r="S50" i="3"/>
  <c r="U50" i="3" s="1"/>
  <c r="S49" i="3"/>
  <c r="U49" i="3" s="1"/>
  <c r="S48" i="3"/>
  <c r="J48" i="3" s="1"/>
  <c r="S47" i="3"/>
  <c r="J47" i="3" s="1"/>
  <c r="S46" i="3"/>
  <c r="J46" i="3" s="1"/>
  <c r="S45" i="3"/>
  <c r="U45" i="3" s="1"/>
  <c r="J45" i="3"/>
  <c r="S44" i="3"/>
  <c r="U44" i="3" s="1"/>
  <c r="S43" i="3"/>
  <c r="U43" i="3" s="1"/>
  <c r="S42" i="3"/>
  <c r="U42" i="3" s="1"/>
  <c r="S41" i="3"/>
  <c r="U41" i="3" s="1"/>
  <c r="S40" i="3"/>
  <c r="U40" i="3" s="1"/>
  <c r="S39" i="3"/>
  <c r="U39" i="3" s="1"/>
  <c r="S38" i="3"/>
  <c r="U38" i="3" s="1"/>
  <c r="J38" i="3"/>
  <c r="S37" i="3"/>
  <c r="U37" i="3" s="1"/>
  <c r="J37" i="3"/>
  <c r="S36" i="3"/>
  <c r="U36" i="3" s="1"/>
  <c r="J36" i="3"/>
  <c r="S35" i="3"/>
  <c r="J35" i="3" s="1"/>
  <c r="S34" i="3"/>
  <c r="U34" i="3" s="1"/>
  <c r="S33" i="3"/>
  <c r="U33" i="3" s="1"/>
  <c r="J33" i="3"/>
  <c r="S32" i="3"/>
  <c r="J32" i="3" s="1"/>
  <c r="S31" i="3"/>
  <c r="J31" i="3" s="1"/>
  <c r="S30" i="3"/>
  <c r="J30" i="3" s="1"/>
  <c r="S29" i="3"/>
  <c r="U29" i="3" s="1"/>
  <c r="J29" i="3"/>
  <c r="S28" i="3"/>
  <c r="U28" i="3" s="1"/>
  <c r="J28" i="3"/>
  <c r="S27" i="3"/>
  <c r="J27" i="3" s="1"/>
  <c r="S26" i="3"/>
  <c r="U26" i="3" s="1"/>
  <c r="S25" i="3"/>
  <c r="U25" i="3" s="1"/>
  <c r="J25" i="3"/>
  <c r="S24" i="3"/>
  <c r="U24" i="3" s="1"/>
  <c r="S23" i="3"/>
  <c r="U23" i="3" s="1"/>
  <c r="J23" i="3"/>
  <c r="S22" i="3"/>
  <c r="U22" i="3" s="1"/>
  <c r="J22" i="3"/>
  <c r="S21" i="3"/>
  <c r="U21" i="3" s="1"/>
  <c r="J21" i="3"/>
  <c r="S20" i="3"/>
  <c r="J20" i="3" s="1"/>
  <c r="S19" i="3"/>
  <c r="U19" i="3" s="1"/>
  <c r="S18" i="3"/>
  <c r="U18" i="3" s="1"/>
  <c r="J18" i="3"/>
  <c r="S17" i="3"/>
  <c r="U17" i="3" s="1"/>
  <c r="J17" i="3"/>
  <c r="S136" i="2"/>
  <c r="U136" i="2" s="1"/>
  <c r="J136" i="2"/>
  <c r="S135" i="2"/>
  <c r="U135" i="2" s="1"/>
  <c r="S134" i="2"/>
  <c r="U134" i="2" s="1"/>
  <c r="S133" i="2"/>
  <c r="U133" i="2" s="1"/>
  <c r="S132" i="2"/>
  <c r="U132" i="2" s="1"/>
  <c r="J132" i="2"/>
  <c r="S131" i="2"/>
  <c r="U131" i="2" s="1"/>
  <c r="S130" i="2"/>
  <c r="J130" i="2" s="1"/>
  <c r="S129" i="2"/>
  <c r="J129" i="2" s="1"/>
  <c r="S128" i="2"/>
  <c r="U128" i="2" s="1"/>
  <c r="S127" i="2"/>
  <c r="U127" i="2" s="1"/>
  <c r="S126" i="2"/>
  <c r="J126" i="2" s="1"/>
  <c r="S125" i="2"/>
  <c r="U125" i="2" s="1"/>
  <c r="S124" i="2"/>
  <c r="U124" i="2" s="1"/>
  <c r="S123" i="2"/>
  <c r="U123" i="2" s="1"/>
  <c r="S122" i="2"/>
  <c r="U122" i="2" s="1"/>
  <c r="S121" i="2"/>
  <c r="U121" i="2" s="1"/>
  <c r="S120" i="2"/>
  <c r="U120" i="2" s="1"/>
  <c r="S119" i="2"/>
  <c r="U119" i="2" s="1"/>
  <c r="S118" i="2"/>
  <c r="U118" i="2" s="1"/>
  <c r="J118" i="2"/>
  <c r="S117" i="2"/>
  <c r="U117" i="2" s="1"/>
  <c r="S116" i="2"/>
  <c r="U116" i="2" s="1"/>
  <c r="J116" i="2"/>
  <c r="S115" i="2"/>
  <c r="U115" i="2" s="1"/>
  <c r="J115" i="2"/>
  <c r="S114" i="2"/>
  <c r="J114" i="2" s="1"/>
  <c r="S113" i="2"/>
  <c r="J113" i="2" s="1"/>
  <c r="S112" i="2"/>
  <c r="U112" i="2" s="1"/>
  <c r="S111" i="2"/>
  <c r="U111" i="2" s="1"/>
  <c r="J111" i="2"/>
  <c r="S110" i="2"/>
  <c r="J110" i="2" s="1"/>
  <c r="S109" i="2"/>
  <c r="U109" i="2" s="1"/>
  <c r="S108" i="2"/>
  <c r="U108" i="2" s="1"/>
  <c r="S107" i="2"/>
  <c r="U107" i="2" s="1"/>
  <c r="S106" i="2"/>
  <c r="U106" i="2" s="1"/>
  <c r="S105" i="2"/>
  <c r="U105" i="2" s="1"/>
  <c r="J105" i="2"/>
  <c r="S104" i="2"/>
  <c r="U104" i="2" s="1"/>
  <c r="S103" i="2"/>
  <c r="U103" i="2" s="1"/>
  <c r="J103" i="2"/>
  <c r="S102" i="2"/>
  <c r="U102" i="2" s="1"/>
  <c r="S101" i="2"/>
  <c r="U101" i="2" s="1"/>
  <c r="J101" i="2"/>
  <c r="S100" i="2"/>
  <c r="U100" i="2" s="1"/>
  <c r="J100" i="2"/>
  <c r="S99" i="2"/>
  <c r="U99" i="2" s="1"/>
  <c r="J99" i="2"/>
  <c r="S98" i="2"/>
  <c r="J98" i="2" s="1"/>
  <c r="S97" i="2"/>
  <c r="J97" i="2" s="1"/>
  <c r="S96" i="2"/>
  <c r="U96" i="2" s="1"/>
  <c r="S95" i="2"/>
  <c r="U95" i="2" s="1"/>
  <c r="S94" i="2"/>
  <c r="J94" i="2" s="1"/>
  <c r="S93" i="2"/>
  <c r="U93" i="2" s="1"/>
  <c r="S92" i="2"/>
  <c r="U92" i="2" s="1"/>
  <c r="S91" i="2"/>
  <c r="U91" i="2" s="1"/>
  <c r="S90" i="2"/>
  <c r="U90" i="2" s="1"/>
  <c r="S89" i="2"/>
  <c r="U89" i="2" s="1"/>
  <c r="J89" i="2"/>
  <c r="S88" i="2"/>
  <c r="U88" i="2" s="1"/>
  <c r="S87" i="2"/>
  <c r="U87" i="2" s="1"/>
  <c r="S86" i="2"/>
  <c r="U86" i="2" s="1"/>
  <c r="J86" i="2"/>
  <c r="S85" i="2"/>
  <c r="U85" i="2" s="1"/>
  <c r="J85" i="2"/>
  <c r="S84" i="2"/>
  <c r="U84" i="2" s="1"/>
  <c r="S83" i="2"/>
  <c r="J83" i="2" s="1"/>
  <c r="S82" i="2"/>
  <c r="U82" i="2" s="1"/>
  <c r="J82" i="2"/>
  <c r="S81" i="2"/>
  <c r="U81" i="2" s="1"/>
  <c r="S80" i="2"/>
  <c r="U80" i="2" s="1"/>
  <c r="J80" i="2"/>
  <c r="S79" i="2"/>
  <c r="U79" i="2" s="1"/>
  <c r="S78" i="2"/>
  <c r="J78" i="2" s="1"/>
  <c r="S77" i="2"/>
  <c r="U77" i="2" s="1"/>
  <c r="S76" i="2"/>
  <c r="U76" i="2" s="1"/>
  <c r="S75" i="2"/>
  <c r="U75" i="2" s="1"/>
  <c r="S74" i="2"/>
  <c r="U74" i="2" s="1"/>
  <c r="S73" i="2"/>
  <c r="U73" i="2" s="1"/>
  <c r="S72" i="2"/>
  <c r="U72" i="2" s="1"/>
  <c r="S71" i="2"/>
  <c r="U71" i="2" s="1"/>
  <c r="S70" i="2"/>
  <c r="U70" i="2" s="1"/>
  <c r="J70" i="2"/>
  <c r="S69" i="2"/>
  <c r="U69" i="2" s="1"/>
  <c r="S68" i="2"/>
  <c r="U68" i="2" s="1"/>
  <c r="S67" i="2"/>
  <c r="U67" i="2" s="1"/>
  <c r="S66" i="2"/>
  <c r="U66" i="2" s="1"/>
  <c r="J66" i="2"/>
  <c r="S65" i="2"/>
  <c r="U65" i="2" s="1"/>
  <c r="S64" i="2"/>
  <c r="U64" i="2" s="1"/>
  <c r="J64" i="2"/>
  <c r="S63" i="2"/>
  <c r="U63" i="2" s="1"/>
  <c r="J63" i="2"/>
  <c r="S62" i="2"/>
  <c r="J62" i="2" s="1"/>
  <c r="S61" i="2"/>
  <c r="U61" i="2" s="1"/>
  <c r="S60" i="2"/>
  <c r="U60" i="2" s="1"/>
  <c r="S59" i="2"/>
  <c r="U59" i="2" s="1"/>
  <c r="S58" i="2"/>
  <c r="U58" i="2" s="1"/>
  <c r="S57" i="2"/>
  <c r="U57" i="2" s="1"/>
  <c r="S56" i="2"/>
  <c r="U56" i="2" s="1"/>
  <c r="S55" i="2"/>
  <c r="U55" i="2" s="1"/>
  <c r="J55" i="2"/>
  <c r="S54" i="2"/>
  <c r="U54" i="2" s="1"/>
  <c r="J54" i="2"/>
  <c r="S53" i="2"/>
  <c r="U53" i="2" s="1"/>
  <c r="S52" i="2"/>
  <c r="U52" i="2" s="1"/>
  <c r="S51" i="2"/>
  <c r="U51" i="2" s="1"/>
  <c r="J51" i="2"/>
  <c r="U50" i="2"/>
  <c r="S50" i="2"/>
  <c r="J50" i="2" s="1"/>
  <c r="S49" i="2"/>
  <c r="U49" i="2" s="1"/>
  <c r="S48" i="2"/>
  <c r="U48" i="2" s="1"/>
  <c r="J48" i="2"/>
  <c r="S47" i="2"/>
  <c r="U47" i="2" s="1"/>
  <c r="J47" i="2"/>
  <c r="S46" i="2"/>
  <c r="J46" i="2" s="1"/>
  <c r="S45" i="2"/>
  <c r="U45" i="2" s="1"/>
  <c r="S44" i="2"/>
  <c r="U44" i="2" s="1"/>
  <c r="S43" i="2"/>
  <c r="U43" i="2" s="1"/>
  <c r="S42" i="2"/>
  <c r="U42" i="2" s="1"/>
  <c r="S41" i="2"/>
  <c r="U41" i="2" s="1"/>
  <c r="J41" i="2"/>
  <c r="S40" i="2"/>
  <c r="U40" i="2" s="1"/>
  <c r="J40" i="2"/>
  <c r="S39" i="2"/>
  <c r="U39" i="2" s="1"/>
  <c r="S38" i="2"/>
  <c r="U38" i="2" s="1"/>
  <c r="J38" i="2"/>
  <c r="S37" i="2"/>
  <c r="U37" i="2" s="1"/>
  <c r="J37" i="2"/>
  <c r="S36" i="2"/>
  <c r="U36" i="2" s="1"/>
  <c r="S35" i="2"/>
  <c r="U35" i="2" s="1"/>
  <c r="J35" i="2"/>
  <c r="S34" i="2"/>
  <c r="U34" i="2" s="1"/>
  <c r="J34" i="2"/>
  <c r="S33" i="2"/>
  <c r="U33" i="2" s="1"/>
  <c r="J33" i="2"/>
  <c r="S32" i="2"/>
  <c r="U32" i="2" s="1"/>
  <c r="S31" i="2"/>
  <c r="U31" i="2" s="1"/>
  <c r="S30" i="2"/>
  <c r="J30" i="2" s="1"/>
  <c r="S29" i="2"/>
  <c r="U29" i="2" s="1"/>
  <c r="S28" i="2"/>
  <c r="U28" i="2" s="1"/>
  <c r="S27" i="2"/>
  <c r="U27" i="2" s="1"/>
  <c r="S26" i="2"/>
  <c r="U26" i="2" s="1"/>
  <c r="S25" i="2"/>
  <c r="U25" i="2" s="1"/>
  <c r="S24" i="2"/>
  <c r="U24" i="2" s="1"/>
  <c r="J24" i="2"/>
  <c r="S23" i="2"/>
  <c r="U23" i="2" s="1"/>
  <c r="J23" i="2"/>
  <c r="S22" i="2"/>
  <c r="U22" i="2" s="1"/>
  <c r="J22" i="2"/>
  <c r="S21" i="2"/>
  <c r="U21" i="2" s="1"/>
  <c r="S20" i="2"/>
  <c r="U20" i="2" s="1"/>
  <c r="S19" i="2"/>
  <c r="J19" i="2" s="1"/>
  <c r="S18" i="2"/>
  <c r="U18" i="2" s="1"/>
  <c r="J18" i="2"/>
  <c r="S17" i="2"/>
  <c r="U17" i="2" s="1"/>
  <c r="J17" i="2"/>
  <c r="U115" i="3" l="1"/>
  <c r="J116" i="4"/>
  <c r="J104" i="2"/>
  <c r="J117" i="2"/>
  <c r="J112" i="2"/>
  <c r="J90" i="2"/>
  <c r="J106" i="2"/>
  <c r="U113" i="2"/>
  <c r="J91" i="2"/>
  <c r="J107" i="2"/>
  <c r="U114" i="2"/>
  <c r="J25" i="2"/>
  <c r="J49" i="2"/>
  <c r="J20" i="2"/>
  <c r="J26" i="2"/>
  <c r="J58" i="2"/>
  <c r="J120" i="2"/>
  <c r="U97" i="2"/>
  <c r="U98" i="2"/>
  <c r="J21" i="2"/>
  <c r="J27" i="2"/>
  <c r="J69" i="2"/>
  <c r="J102" i="2"/>
  <c r="J122" i="2"/>
  <c r="U19" i="2"/>
  <c r="J52" i="2"/>
  <c r="J67" i="2"/>
  <c r="J31" i="2"/>
  <c r="J42" i="2"/>
  <c r="J81" i="2"/>
  <c r="J87" i="2"/>
  <c r="J36" i="2"/>
  <c r="J65" i="2"/>
  <c r="J32" i="2"/>
  <c r="J43" i="2"/>
  <c r="J88" i="2"/>
  <c r="U79" i="3"/>
  <c r="J19" i="3"/>
  <c r="J39" i="3"/>
  <c r="U47" i="3"/>
  <c r="U63" i="3"/>
  <c r="J69" i="3"/>
  <c r="J98" i="3"/>
  <c r="U67" i="3"/>
  <c r="J92" i="3"/>
  <c r="U20" i="3"/>
  <c r="J34" i="3"/>
  <c r="J41" i="3"/>
  <c r="J50" i="3"/>
  <c r="J85" i="3"/>
  <c r="U43" i="4"/>
  <c r="J57" i="4"/>
  <c r="J39" i="4"/>
  <c r="J33" i="4"/>
  <c r="J40" i="4"/>
  <c r="J34" i="4"/>
  <c r="J41" i="4"/>
  <c r="J35" i="4"/>
  <c r="U27" i="4"/>
  <c r="J30" i="4"/>
  <c r="J36" i="4"/>
  <c r="J73" i="4"/>
  <c r="J19" i="4"/>
  <c r="J25" i="4"/>
  <c r="J131" i="4"/>
  <c r="J136" i="4"/>
  <c r="J115" i="4"/>
  <c r="U107" i="4"/>
  <c r="J110" i="4"/>
  <c r="J109" i="4"/>
  <c r="J108" i="4"/>
  <c r="J103" i="4"/>
  <c r="J98" i="4"/>
  <c r="J97" i="4"/>
  <c r="U96" i="4"/>
  <c r="J89" i="4"/>
  <c r="J93" i="4"/>
  <c r="J83" i="4"/>
  <c r="J78" i="4"/>
  <c r="U95" i="3"/>
  <c r="J89" i="3"/>
  <c r="J83" i="3"/>
  <c r="J96" i="2"/>
  <c r="J95" i="2"/>
  <c r="J84" i="2"/>
  <c r="U83" i="2"/>
  <c r="J79" i="2"/>
  <c r="J65" i="4"/>
  <c r="J76" i="4"/>
  <c r="U75" i="4"/>
  <c r="J72" i="4"/>
  <c r="J71" i="4"/>
  <c r="J67" i="4"/>
  <c r="J76" i="3"/>
  <c r="J75" i="2"/>
  <c r="J74" i="2"/>
  <c r="J73" i="2"/>
  <c r="J72" i="2"/>
  <c r="J71" i="2"/>
  <c r="J68" i="2"/>
  <c r="J64" i="4"/>
  <c r="J62" i="4"/>
  <c r="J61" i="4"/>
  <c r="J60" i="4"/>
  <c r="U59" i="4"/>
  <c r="J55" i="4"/>
  <c r="J61" i="3"/>
  <c r="J60" i="3"/>
  <c r="J53" i="3"/>
  <c r="U48" i="3"/>
  <c r="J44" i="3"/>
  <c r="U35" i="3"/>
  <c r="U32" i="3"/>
  <c r="U31" i="3"/>
  <c r="J59" i="2"/>
  <c r="J57" i="2"/>
  <c r="J56" i="2"/>
  <c r="J53" i="2"/>
  <c r="J18" i="4"/>
  <c r="U130" i="2"/>
  <c r="J131" i="2"/>
  <c r="J135" i="2"/>
  <c r="J133" i="2"/>
  <c r="J134" i="2"/>
  <c r="J135" i="3"/>
  <c r="J133" i="3"/>
  <c r="J134" i="3"/>
  <c r="J114" i="3"/>
  <c r="J128" i="3"/>
  <c r="J108" i="3"/>
  <c r="J132" i="3"/>
  <c r="J116" i="3"/>
  <c r="J125" i="3"/>
  <c r="J118" i="3"/>
  <c r="U127" i="3"/>
  <c r="J121" i="3"/>
  <c r="J130" i="3"/>
  <c r="J131" i="3"/>
  <c r="J124" i="3"/>
  <c r="U128" i="4"/>
  <c r="J121" i="4"/>
  <c r="U123" i="4"/>
  <c r="J125" i="4"/>
  <c r="J119" i="4"/>
  <c r="J126" i="4"/>
  <c r="J120" i="4"/>
  <c r="J121" i="2"/>
  <c r="U129" i="2"/>
  <c r="J123" i="2"/>
  <c r="J127" i="2"/>
  <c r="J128" i="2"/>
  <c r="J17" i="4"/>
  <c r="J119" i="2"/>
  <c r="J119" i="3"/>
  <c r="U70" i="4"/>
  <c r="U118" i="4"/>
  <c r="J31" i="4"/>
  <c r="J47" i="4"/>
  <c r="J63" i="4"/>
  <c r="J79" i="4"/>
  <c r="J95" i="4"/>
  <c r="J111" i="4"/>
  <c r="J127" i="4"/>
  <c r="U102" i="4"/>
  <c r="J21" i="4"/>
  <c r="J37" i="4"/>
  <c r="J53" i="4"/>
  <c r="J69" i="4"/>
  <c r="J85" i="4"/>
  <c r="J101" i="4"/>
  <c r="J117" i="4"/>
  <c r="J133" i="4"/>
  <c r="U86" i="4"/>
  <c r="U134" i="4"/>
  <c r="U38" i="4"/>
  <c r="U54" i="4"/>
  <c r="J22" i="4"/>
  <c r="J135" i="4"/>
  <c r="U65" i="3"/>
  <c r="U129" i="3"/>
  <c r="U30" i="3"/>
  <c r="U46" i="3"/>
  <c r="U62" i="3"/>
  <c r="U94" i="3"/>
  <c r="U110" i="3"/>
  <c r="U126" i="3"/>
  <c r="U78" i="3"/>
  <c r="J26" i="3"/>
  <c r="J42" i="3"/>
  <c r="J58" i="3"/>
  <c r="J74" i="3"/>
  <c r="J90" i="3"/>
  <c r="J106" i="3"/>
  <c r="J122" i="3"/>
  <c r="U27" i="3"/>
  <c r="U97" i="3"/>
  <c r="J43" i="3"/>
  <c r="J59" i="3"/>
  <c r="J75" i="3"/>
  <c r="J91" i="3"/>
  <c r="J107" i="3"/>
  <c r="J123" i="3"/>
  <c r="J49" i="3"/>
  <c r="J81" i="3"/>
  <c r="J113" i="3"/>
  <c r="J24" i="3"/>
  <c r="J40" i="3"/>
  <c r="J56" i="3"/>
  <c r="J72" i="3"/>
  <c r="J88" i="3"/>
  <c r="J104" i="3"/>
  <c r="J120" i="3"/>
  <c r="J136" i="3"/>
  <c r="U110" i="2"/>
  <c r="U62" i="2"/>
  <c r="U30" i="2"/>
  <c r="U94" i="2"/>
  <c r="J28" i="2"/>
  <c r="J44" i="2"/>
  <c r="J60" i="2"/>
  <c r="J76" i="2"/>
  <c r="J92" i="2"/>
  <c r="J108" i="2"/>
  <c r="J124" i="2"/>
  <c r="J39" i="2"/>
  <c r="U46" i="2"/>
  <c r="U78" i="2"/>
  <c r="U126" i="2"/>
  <c r="J29" i="2"/>
  <c r="J45" i="2"/>
  <c r="J61" i="2"/>
  <c r="J77" i="2"/>
  <c r="J93" i="2"/>
  <c r="J109" i="2"/>
  <c r="J125" i="2"/>
  <c r="S136" i="1"/>
  <c r="U136" i="1" s="1"/>
  <c r="S135" i="1"/>
  <c r="U135" i="1" s="1"/>
  <c r="S134" i="1"/>
  <c r="U134" i="1" s="1"/>
  <c r="S133" i="1"/>
  <c r="U133" i="1" s="1"/>
  <c r="S132" i="1"/>
  <c r="U132" i="1" s="1"/>
  <c r="S131" i="1"/>
  <c r="J131" i="1" s="1"/>
  <c r="S130" i="1"/>
  <c r="U130" i="1" s="1"/>
  <c r="S129" i="1"/>
  <c r="U129" i="1" s="1"/>
  <c r="S128" i="1"/>
  <c r="J128" i="1" s="1"/>
  <c r="S127" i="1"/>
  <c r="J127" i="1" s="1"/>
  <c r="S126" i="1"/>
  <c r="J126" i="1" s="1"/>
  <c r="S125" i="1"/>
  <c r="U125" i="1" s="1"/>
  <c r="S124" i="1"/>
  <c r="U124" i="1" s="1"/>
  <c r="S123" i="1"/>
  <c r="U123" i="1" s="1"/>
  <c r="S122" i="1"/>
  <c r="U122" i="1" s="1"/>
  <c r="S121" i="1"/>
  <c r="U121" i="1" s="1"/>
  <c r="S120" i="1"/>
  <c r="U120" i="1" s="1"/>
  <c r="S119" i="1"/>
  <c r="J119" i="1" s="1"/>
  <c r="S118" i="1"/>
  <c r="U118" i="1" s="1"/>
  <c r="S117" i="1"/>
  <c r="U117" i="1" s="1"/>
  <c r="S116" i="1"/>
  <c r="J116" i="1" s="1"/>
  <c r="S115" i="1"/>
  <c r="J115" i="1" s="1"/>
  <c r="S114" i="1"/>
  <c r="J114" i="1" s="1"/>
  <c r="S113" i="1"/>
  <c r="U113" i="1" s="1"/>
  <c r="S112" i="1"/>
  <c r="U112" i="1" s="1"/>
  <c r="S111" i="1"/>
  <c r="U111" i="1" s="1"/>
  <c r="S110" i="1"/>
  <c r="U110" i="1" s="1"/>
  <c r="S109" i="1"/>
  <c r="U109" i="1" s="1"/>
  <c r="S108" i="1"/>
  <c r="U108" i="1" s="1"/>
  <c r="S107" i="1"/>
  <c r="U107" i="1" s="1"/>
  <c r="S106" i="1"/>
  <c r="U106" i="1" s="1"/>
  <c r="S105" i="1"/>
  <c r="U105" i="1" s="1"/>
  <c r="S104" i="1"/>
  <c r="U104" i="1" s="1"/>
  <c r="S103" i="1"/>
  <c r="J103" i="1" s="1"/>
  <c r="S102" i="1"/>
  <c r="J102" i="1" s="1"/>
  <c r="S101" i="1"/>
  <c r="U101" i="1" s="1"/>
  <c r="S100" i="1"/>
  <c r="U100" i="1" s="1"/>
  <c r="S99" i="1"/>
  <c r="U99" i="1" s="1"/>
  <c r="S98" i="1"/>
  <c r="U98" i="1" s="1"/>
  <c r="S97" i="1"/>
  <c r="J97" i="1" s="1"/>
  <c r="S96" i="1"/>
  <c r="U96" i="1" s="1"/>
  <c r="S95" i="1"/>
  <c r="J95" i="1" s="1"/>
  <c r="S94" i="1"/>
  <c r="U94" i="1" s="1"/>
  <c r="S93" i="1"/>
  <c r="U93" i="1" s="1"/>
  <c r="S92" i="1"/>
  <c r="J92" i="1" s="1"/>
  <c r="S91" i="1"/>
  <c r="U91" i="1" s="1"/>
  <c r="S90" i="1"/>
  <c r="J90" i="1" s="1"/>
  <c r="S89" i="1"/>
  <c r="U89" i="1" s="1"/>
  <c r="S88" i="1"/>
  <c r="U88" i="1" s="1"/>
  <c r="S87" i="1"/>
  <c r="U87" i="1" s="1"/>
  <c r="S86" i="1"/>
  <c r="U86" i="1" s="1"/>
  <c r="S85" i="1"/>
  <c r="U85" i="1" s="1"/>
  <c r="S84" i="1"/>
  <c r="U84" i="1" s="1"/>
  <c r="S83" i="1"/>
  <c r="U83" i="1" s="1"/>
  <c r="S82" i="1"/>
  <c r="U82" i="1" s="1"/>
  <c r="S81" i="1"/>
  <c r="U81" i="1" s="1"/>
  <c r="S80" i="1"/>
  <c r="J80" i="1" s="1"/>
  <c r="S79" i="1"/>
  <c r="U79" i="1" s="1"/>
  <c r="S78" i="1"/>
  <c r="U78" i="1" s="1"/>
  <c r="S77" i="1"/>
  <c r="U77" i="1" s="1"/>
  <c r="S76" i="1"/>
  <c r="U76" i="1" s="1"/>
  <c r="S75" i="1"/>
  <c r="U75" i="1" s="1"/>
  <c r="S74" i="1"/>
  <c r="U74" i="1" s="1"/>
  <c r="S73" i="1"/>
  <c r="J73" i="1" s="1"/>
  <c r="S72" i="1"/>
  <c r="U72" i="1" s="1"/>
  <c r="S71" i="1"/>
  <c r="J71" i="1" s="1"/>
  <c r="S70" i="1"/>
  <c r="U70" i="1" s="1"/>
  <c r="S69" i="1"/>
  <c r="U69" i="1" s="1"/>
  <c r="S68" i="1"/>
  <c r="J68" i="1" s="1"/>
  <c r="S67" i="1"/>
  <c r="U67" i="1" s="1"/>
  <c r="S66" i="1"/>
  <c r="J66" i="1" s="1"/>
  <c r="S65" i="1"/>
  <c r="U65" i="1" s="1"/>
  <c r="S64" i="1"/>
  <c r="U64" i="1" s="1"/>
  <c r="S63" i="1"/>
  <c r="U63" i="1" s="1"/>
  <c r="S62" i="1"/>
  <c r="U62" i="1" s="1"/>
  <c r="S61" i="1"/>
  <c r="J61" i="1" s="1"/>
  <c r="S60" i="1"/>
  <c r="U60" i="1" s="1"/>
  <c r="S59" i="1"/>
  <c r="U59" i="1" s="1"/>
  <c r="S58" i="1"/>
  <c r="U58" i="1" s="1"/>
  <c r="S57" i="1"/>
  <c r="U57" i="1" s="1"/>
  <c r="S56" i="1"/>
  <c r="J56" i="1" s="1"/>
  <c r="S55" i="1"/>
  <c r="U55" i="1" s="1"/>
  <c r="S54" i="1"/>
  <c r="U54" i="1" s="1"/>
  <c r="S53" i="1"/>
  <c r="U53" i="1" s="1"/>
  <c r="S52" i="1"/>
  <c r="U52" i="1" s="1"/>
  <c r="S51" i="1"/>
  <c r="U51" i="1" s="1"/>
  <c r="S50" i="1"/>
  <c r="U50" i="1" s="1"/>
  <c r="S49" i="1"/>
  <c r="J49" i="1" s="1"/>
  <c r="S48" i="1"/>
  <c r="U48" i="1" s="1"/>
  <c r="S47" i="1"/>
  <c r="U47" i="1" s="1"/>
  <c r="S46" i="1"/>
  <c r="U46" i="1" s="1"/>
  <c r="S45" i="1"/>
  <c r="U45" i="1" s="1"/>
  <c r="S44" i="1"/>
  <c r="J44" i="1" s="1"/>
  <c r="S43" i="1"/>
  <c r="U43" i="1" s="1"/>
  <c r="S42" i="1"/>
  <c r="J42" i="1" s="1"/>
  <c r="S41" i="1"/>
  <c r="U41" i="1" s="1"/>
  <c r="S40" i="1"/>
  <c r="U40" i="1" s="1"/>
  <c r="S39" i="1"/>
  <c r="U39" i="1" s="1"/>
  <c r="S38" i="1"/>
  <c r="U38" i="1" s="1"/>
  <c r="S37" i="1"/>
  <c r="U37" i="1" s="1"/>
  <c r="S36" i="1"/>
  <c r="U36" i="1" s="1"/>
  <c r="S35" i="1"/>
  <c r="U35" i="1" s="1"/>
  <c r="S34" i="1"/>
  <c r="J34" i="1" s="1"/>
  <c r="S33" i="1"/>
  <c r="U33" i="1" s="1"/>
  <c r="S32" i="1"/>
  <c r="U32" i="1" s="1"/>
  <c r="S31" i="1"/>
  <c r="U31" i="1" s="1"/>
  <c r="S30" i="1"/>
  <c r="J30" i="1" s="1"/>
  <c r="S29" i="1"/>
  <c r="U29" i="1" s="1"/>
  <c r="S28" i="1"/>
  <c r="J28" i="1" s="1"/>
  <c r="S27" i="1"/>
  <c r="U27" i="1" s="1"/>
  <c r="S26" i="1"/>
  <c r="U26" i="1" s="1"/>
  <c r="S25" i="1"/>
  <c r="U25" i="1" s="1"/>
  <c r="S24" i="1"/>
  <c r="U24" i="1" s="1"/>
  <c r="S23" i="1"/>
  <c r="J23" i="1" s="1"/>
  <c r="J22" i="1"/>
  <c r="S21" i="1"/>
  <c r="U21" i="1" s="1"/>
  <c r="S20" i="1"/>
  <c r="J20" i="1" s="1"/>
  <c r="S19" i="1"/>
  <c r="J19" i="1" s="1"/>
  <c r="S18" i="1"/>
  <c r="U18" i="1" s="1"/>
  <c r="S17" i="1"/>
  <c r="U17" i="1" s="1"/>
  <c r="J74" i="1" l="1"/>
  <c r="J38" i="1"/>
  <c r="J39" i="1"/>
  <c r="J55" i="1"/>
  <c r="J84" i="1"/>
  <c r="J87" i="1"/>
  <c r="J100" i="1"/>
  <c r="J40" i="1"/>
  <c r="J41" i="1"/>
  <c r="J88" i="1"/>
  <c r="J52" i="1"/>
  <c r="J89" i="1"/>
  <c r="J54" i="1"/>
  <c r="J57" i="1"/>
  <c r="J58" i="1"/>
  <c r="J104" i="1"/>
  <c r="J105" i="1"/>
  <c r="J24" i="1"/>
  <c r="J70" i="1"/>
  <c r="J106" i="1"/>
  <c r="J25" i="1"/>
  <c r="J120" i="1"/>
  <c r="J118" i="1"/>
  <c r="J26" i="1"/>
  <c r="J72" i="1"/>
  <c r="J36" i="1"/>
  <c r="J122" i="1"/>
  <c r="J86" i="1"/>
  <c r="J129" i="1"/>
  <c r="J27" i="1"/>
  <c r="J130" i="1"/>
  <c r="J59" i="1"/>
  <c r="J17" i="1"/>
  <c r="J33" i="1"/>
  <c r="J65" i="1"/>
  <c r="J81" i="1"/>
  <c r="J113" i="1"/>
  <c r="J18" i="1"/>
  <c r="J50" i="1"/>
  <c r="J82" i="1"/>
  <c r="J98" i="1"/>
  <c r="J35" i="1"/>
  <c r="J51" i="1"/>
  <c r="J67" i="1"/>
  <c r="J83" i="1"/>
  <c r="J99" i="1"/>
  <c r="J132" i="1"/>
  <c r="J21" i="1"/>
  <c r="J37" i="1"/>
  <c r="J53" i="1"/>
  <c r="J69" i="1"/>
  <c r="J85" i="1"/>
  <c r="J101" i="1"/>
  <c r="J117" i="1"/>
  <c r="J133" i="1"/>
  <c r="J134" i="1"/>
  <c r="J135" i="1"/>
  <c r="J136" i="1"/>
  <c r="J121" i="1"/>
  <c r="J124" i="1"/>
  <c r="J60" i="1"/>
  <c r="J76" i="1"/>
  <c r="J108" i="1"/>
  <c r="J29" i="1"/>
  <c r="J45" i="1"/>
  <c r="J77" i="1"/>
  <c r="J93" i="1"/>
  <c r="J109" i="1"/>
  <c r="J125" i="1"/>
  <c r="J43" i="1"/>
  <c r="J75" i="1"/>
  <c r="J91" i="1"/>
  <c r="J107" i="1"/>
  <c r="J123" i="1"/>
  <c r="J46" i="1"/>
  <c r="J62" i="1"/>
  <c r="J78" i="1"/>
  <c r="J94" i="1"/>
  <c r="J110" i="1"/>
  <c r="J31" i="1"/>
  <c r="J47" i="1"/>
  <c r="J63" i="1"/>
  <c r="J79" i="1"/>
  <c r="J111" i="1"/>
  <c r="J32" i="1"/>
  <c r="J48" i="1"/>
  <c r="J64" i="1"/>
  <c r="J96" i="1"/>
  <c r="J112" i="1"/>
  <c r="U131" i="1"/>
  <c r="U49" i="1"/>
  <c r="U61" i="1"/>
  <c r="U71" i="1"/>
  <c r="U127" i="1"/>
  <c r="U80" i="1"/>
  <c r="U97" i="1"/>
  <c r="U95" i="1"/>
  <c r="U103" i="1"/>
  <c r="U119" i="1"/>
  <c r="U128" i="1"/>
  <c r="U73" i="1"/>
  <c r="U28" i="1"/>
  <c r="U115" i="1"/>
  <c r="U22" i="1"/>
  <c r="U20" i="1"/>
  <c r="U126" i="1"/>
  <c r="U114" i="1"/>
  <c r="U116" i="1"/>
  <c r="U102" i="1"/>
  <c r="U90" i="1"/>
  <c r="U92" i="1"/>
  <c r="U66" i="1"/>
  <c r="U68" i="1"/>
  <c r="U56" i="1"/>
  <c r="U42" i="1"/>
  <c r="U44" i="1"/>
  <c r="U30" i="1"/>
  <c r="U34" i="1"/>
  <c r="U19" i="1"/>
  <c r="U23" i="1"/>
</calcChain>
</file>

<file path=xl/sharedStrings.xml><?xml version="1.0" encoding="utf-8"?>
<sst xmlns="http://schemas.openxmlformats.org/spreadsheetml/2006/main" count="2018" uniqueCount="110">
  <si>
    <t>작업조</t>
  </si>
  <si>
    <t>작업자명</t>
  </si>
  <si>
    <t>불량유형</t>
  </si>
  <si>
    <t>손실금액(VND)</t>
  </si>
  <si>
    <t>스크래치</t>
  </si>
  <si>
    <t>오염</t>
  </si>
  <si>
    <t>일자</t>
  </si>
  <si>
    <t>TIME</t>
  </si>
  <si>
    <t>사출기</t>
  </si>
  <si>
    <t>1호기(ENGEL)</t>
  </si>
  <si>
    <t>2호기(ENGEL)</t>
  </si>
  <si>
    <t>3호기(우진)</t>
  </si>
  <si>
    <t>4호기(우진)</t>
  </si>
  <si>
    <t>가동</t>
  </si>
  <si>
    <t>1 호기(ENGEL)</t>
  </si>
  <si>
    <t>2 호기(ENGEL)</t>
  </si>
  <si>
    <t>3 호기(우진)</t>
  </si>
  <si>
    <t>4 호기(우진)</t>
  </si>
  <si>
    <t>-</t>
  </si>
  <si>
    <t>흑점</t>
  </si>
  <si>
    <t>기타</t>
  </si>
  <si>
    <t>색상차이</t>
  </si>
  <si>
    <t>조건 조정</t>
  </si>
  <si>
    <t>시작불량</t>
  </si>
  <si>
    <t>합계</t>
  </si>
  <si>
    <t>개당 금액</t>
  </si>
  <si>
    <t>양품 수량</t>
  </si>
  <si>
    <t>불량율</t>
  </si>
  <si>
    <t>A조</t>
  </si>
  <si>
    <t>B조</t>
  </si>
  <si>
    <t>구분</t>
  </si>
  <si>
    <t>■사출기 불량 실적 현황</t>
  </si>
  <si>
    <t>비고</t>
  </si>
  <si>
    <t xml:space="preserve">3. 사출 실적 현황 </t>
  </si>
  <si>
    <t>설비수리</t>
  </si>
  <si>
    <t>계획정지</t>
  </si>
  <si>
    <t>금형 청소</t>
  </si>
  <si>
    <t>기종</t>
  </si>
  <si>
    <t>T50 LIGHT</t>
    <phoneticPr fontId="3" type="noConversion"/>
  </si>
  <si>
    <t>S51</t>
    <phoneticPr fontId="3" type="noConversion"/>
  </si>
  <si>
    <t>ARM FARAME(WW)</t>
  </si>
  <si>
    <t>ARM FARAME(BK)</t>
  </si>
  <si>
    <t>690 base  flat (WW)</t>
  </si>
  <si>
    <t>690 base  flat (BK)</t>
  </si>
  <si>
    <t>690 FR (BK)</t>
  </si>
  <si>
    <t>690 FR (IG)</t>
  </si>
  <si>
    <t>690 FR (WW)</t>
  </si>
  <si>
    <t>T50 2PCS (BK)</t>
  </si>
  <si>
    <t>T50 2PCS (WW)</t>
  </si>
  <si>
    <t>T20 iloom (WW)</t>
  </si>
  <si>
    <t>T20 iloom (BK)</t>
  </si>
  <si>
    <t>T20 Fursys (WW)</t>
  </si>
  <si>
    <t>T20 Fursys  (BK)</t>
  </si>
  <si>
    <t>T20  SIDIZ (WW)</t>
  </si>
  <si>
    <t>T20 SIDIZ (BK)</t>
  </si>
  <si>
    <t>TC14 (BK)</t>
  </si>
  <si>
    <t>TC14 (WW)</t>
  </si>
  <si>
    <t>690 M (WW)</t>
  </si>
  <si>
    <t>690 M (BK)</t>
  </si>
  <si>
    <t>T40 (BK)</t>
  </si>
  <si>
    <t>T40 (WW)</t>
  </si>
  <si>
    <t>생산 기종</t>
  </si>
  <si>
    <t>Tên model</t>
  </si>
  <si>
    <t>Theo tổ</t>
  </si>
  <si>
    <t>Công nhân</t>
  </si>
  <si>
    <t>Hàng đạt</t>
  </si>
  <si>
    <t>Vết xước</t>
  </si>
  <si>
    <t>Bị bẩn</t>
  </si>
  <si>
    <t>Chấm đen</t>
  </si>
  <si>
    <t>GAS</t>
  </si>
  <si>
    <t>Lệch màu</t>
  </si>
  <si>
    <t>Chỉnh 
điều kiện</t>
  </si>
  <si>
    <t>Lỗi 
khởi động</t>
  </si>
  <si>
    <t>Khác</t>
  </si>
  <si>
    <t>DANH THÀNH</t>
  </si>
  <si>
    <t>TRẦN CÔNG DANH</t>
  </si>
  <si>
    <t>TÔ NHẬT HÀO</t>
  </si>
  <si>
    <t>NGUYỄN LAM MINH (Nữ)</t>
  </si>
  <si>
    <t>TRỊNH THANH TIỀN (Nữ)</t>
  </si>
  <si>
    <t xml:space="preserve">THÁI VĂN THÁNH </t>
  </si>
  <si>
    <t>LÊ CHÍ BẢO</t>
  </si>
  <si>
    <t>ĐÀO QUỐC SỮ</t>
  </si>
  <si>
    <t>HUỲNH MINH THƯ</t>
  </si>
  <si>
    <t>VÕ VĂN THUẬN</t>
  </si>
  <si>
    <t>HUỲNH VĂN PHƯỚC</t>
  </si>
  <si>
    <t>HUỲNH VĂN ĐÔ</t>
  </si>
  <si>
    <t>VÕ NHƯ THUẦN</t>
  </si>
  <si>
    <t>NGUYỄN CHÍ PHÚC</t>
  </si>
  <si>
    <t>NGUYỄN NGỌC SƠN</t>
  </si>
  <si>
    <t>← 해당 색상 서식 외에는 절대 수정하지 마십시오.</t>
  </si>
  <si>
    <t xml:space="preserve">     ( Vui lòng không chỉnh sửa các nội dung ngoài định dạng màu sắc đã quy định)</t>
  </si>
  <si>
    <t xml:space="preserve"> ← 오전 10시 기준 가동 현황 기준 작성 할것.</t>
  </si>
  <si>
    <r>
      <rPr>
        <b/>
        <sz val="18"/>
        <color theme="1"/>
        <rFont val="조선굴림체"/>
        <family val="1"/>
        <charset val="129"/>
      </rPr>
      <t>1. 실시간 가동 현황</t>
    </r>
    <r>
      <rPr>
        <sz val="16"/>
        <color theme="1"/>
        <rFont val="조선굴림체"/>
        <family val="1"/>
        <charset val="129"/>
      </rPr>
      <t xml:space="preserve"> </t>
    </r>
  </si>
  <si>
    <t>2. 작업자 명단</t>
  </si>
  <si>
    <t xml:space="preserve">    (Lập báo cáo theo tình hình vận hành tại thời điểm 10 giờ sáng.)</t>
  </si>
  <si>
    <r>
      <t>※  조별 인원 변경 또는 신입사원 추가 시, 변경된 명단을 반영하여 등록</t>
    </r>
    <r>
      <rPr>
        <b/>
        <sz val="16"/>
        <color rgb="FFFF0000"/>
        <rFont val="조선굴림체"/>
        <family val="1"/>
        <charset val="129"/>
      </rPr>
      <t xml:space="preserve"> </t>
    </r>
    <r>
      <rPr>
        <sz val="16"/>
        <color rgb="FFFF0000"/>
        <rFont val="조선굴림체"/>
        <family val="1"/>
        <charset val="129"/>
      </rPr>
      <t>(Khi có thay đổi nhân sự theo tổ hoặc bổ sung nhân viên mới, vui lòng cập nhật và đăng ký theo danh sách đã điều chỉnh.)</t>
    </r>
  </si>
  <si>
    <t>수정 가능</t>
  </si>
  <si>
    <t xml:space="preserve">[작성: Diem 사원 ] </t>
  </si>
  <si>
    <t>LÂM THANH MINH</t>
  </si>
  <si>
    <t>T50 LIGHT</t>
  </si>
  <si>
    <t>S51</t>
  </si>
  <si>
    <t>A조
(NGUYỄN)</t>
  </si>
  <si>
    <t>B조
(NGỌC)</t>
  </si>
  <si>
    <t>NGUYỄN THANH VŨ</t>
  </si>
  <si>
    <t>ĐẶNG THANH PHONG</t>
  </si>
  <si>
    <t>ĐINH LÂM HÙNG</t>
  </si>
  <si>
    <t>LÊ VŨ LUÂN</t>
  </si>
  <si>
    <t>NGÔ ĐỨC DUY</t>
  </si>
  <si>
    <t>HUỲNH DUY KHÁNH</t>
  </si>
  <si>
    <t>TRƯƠNG THẾ KHANH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</si>
</sst>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27">
    <font>
      <sz val="11"/>
      <color theme="1"/>
      <name val="Calibri"/>
      <family val="2"/>
      <scheme val="minor"/>
    </font>
    <font>
      <sz val="8"/>
      <name val="Calibri"/>
      <family val="2"/>
      <scheme val="minor"/>
    </font>
    <font>
      <sz val="14"/>
      <color theme="1"/>
      <name val="Calibri"/>
      <family val="2"/>
      <scheme val="minor"/>
    </font>
    <font>
      <sz val="11"/>
      <color theme="1"/>
      <name val="Calibri"/>
      <family val="2"/>
      <scheme val="minor"/>
    </font>
    <font>
      <sz val="11"/>
      <color theme="1"/>
      <name val="조선굴림체"/>
      <family val="1"/>
      <charset val="129"/>
    </font>
    <font>
      <b/>
      <sz val="11"/>
      <color theme="1"/>
      <name val="조선굴림체"/>
      <family val="1"/>
      <charset val="129"/>
    </font>
    <font>
      <sz val="12"/>
      <color rgb="FF31333F"/>
      <name val="조선굴림체"/>
      <family val="1"/>
      <charset val="129"/>
    </font>
    <font>
      <b/>
      <sz val="14"/>
      <color rgb="FF31333F"/>
      <name val="조선굴림체"/>
      <family val="1"/>
      <charset val="129"/>
    </font>
    <font>
      <sz val="14"/>
      <color theme="1"/>
      <name val="조선굴림체"/>
      <family val="1"/>
      <charset val="129"/>
    </font>
    <font>
      <sz val="14"/>
      <color rgb="FF31333F"/>
      <name val="조선굴림체"/>
      <family val="1"/>
      <charset val="129"/>
    </font>
    <font>
      <b/>
      <sz val="14"/>
      <color rgb="FF1F1F1F"/>
      <name val="조선굴림체"/>
      <family val="1"/>
      <charset val="129"/>
    </font>
    <font>
      <sz val="14"/>
      <color rgb="FF1F1F1F"/>
      <name val="조선굴림체"/>
      <family val="1"/>
      <charset val="129"/>
    </font>
    <font>
      <sz val="14"/>
      <color theme="0" tint="-0.34998626667073579"/>
      <name val="조선굴림체"/>
      <family val="1"/>
      <charset val="129"/>
    </font>
    <font>
      <b/>
      <sz val="28"/>
      <color theme="1"/>
      <name val="조선굴림체"/>
      <family val="1"/>
      <charset val="129"/>
    </font>
    <font>
      <b/>
      <sz val="14"/>
      <color rgb="FFFF0000"/>
      <name val="조선굴림체"/>
      <family val="1"/>
      <charset val="129"/>
    </font>
    <font>
      <b/>
      <sz val="14"/>
      <color theme="0"/>
      <name val="조선굴림체"/>
      <family val="1"/>
      <charset val="129"/>
    </font>
    <font>
      <sz val="16"/>
      <color theme="1"/>
      <name val="조선굴림체"/>
      <family val="1"/>
      <charset val="129"/>
    </font>
    <font>
      <sz val="18"/>
      <color theme="1"/>
      <name val="조선굴림체"/>
      <family val="1"/>
      <charset val="129"/>
    </font>
    <font>
      <b/>
      <sz val="18"/>
      <color theme="1"/>
      <name val="조선굴림체"/>
      <family val="1"/>
      <charset val="129"/>
    </font>
    <font>
      <sz val="16"/>
      <color rgb="FFFF0000"/>
      <name val="조선굴림체"/>
      <family val="1"/>
      <charset val="129"/>
    </font>
    <font>
      <b/>
      <sz val="14"/>
      <color theme="0"/>
      <name val="Calibri"/>
      <family val="2"/>
      <charset val="129"/>
      <scheme val="minor"/>
    </font>
    <font>
      <b/>
      <sz val="14"/>
      <color theme="0"/>
      <name val="Arial"/>
      <family val="2"/>
      <charset val="129"/>
    </font>
    <font>
      <sz val="14"/>
      <color theme="0"/>
      <name val="조선굴림체"/>
      <family val="1"/>
      <charset val="129"/>
    </font>
    <font>
      <sz val="14"/>
      <color theme="1"/>
      <name val="Calibri Light"/>
      <family val="2"/>
      <scheme val="major"/>
    </font>
    <font>
      <sz val="14"/>
      <color rgb="FF31333F"/>
      <name val="Calibri"/>
      <family val="2"/>
      <scheme val="minor"/>
    </font>
    <font>
      <b/>
      <sz val="16"/>
      <color rgb="FFFF0000"/>
      <name val="조선굴림체"/>
      <family val="1"/>
      <charset val="129"/>
    </font>
    <font>
      <b/>
      <sz val="14"/>
      <color theme="1" tint="0.499984740745262"/>
      <name val="조선굴림체"/>
      <family val="1"/>
      <charset val="129"/>
    </font>
  </fonts>
  <fills count="7">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s>
  <borders count="4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bottom style="thin">
        <color rgb="FF000000"/>
      </bottom>
      <diagonal/>
    </border>
    <border>
      <left style="thin">
        <color theme="1" tint="0.499984740745262"/>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hair">
        <color theme="1" tint="0.34998626667073579"/>
      </bottom>
      <diagonal/>
    </border>
    <border>
      <left style="thin">
        <color theme="1" tint="0.34998626667073579"/>
      </left>
      <right style="thin">
        <color theme="1" tint="0.34998626667073579"/>
      </right>
      <top style="hair">
        <color theme="1" tint="0.34998626667073579"/>
      </top>
      <bottom style="thin">
        <color theme="1" tint="0.34998626667073579"/>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indexed="64"/>
      </left>
      <right/>
      <top/>
      <bottom/>
      <diagonal/>
    </border>
    <border>
      <left/>
      <right/>
      <top style="thin">
        <color theme="1" tint="0.34998626667073579"/>
      </top>
      <bottom/>
      <diagonal/>
    </border>
    <border>
      <left style="thin">
        <color rgb="FF000000"/>
      </left>
      <right/>
      <top style="thin">
        <color rgb="FF000000"/>
      </top>
      <bottom style="dashed">
        <color rgb="FF000000"/>
      </bottom>
      <diagonal/>
    </border>
    <border>
      <left/>
      <right style="thin">
        <color rgb="FF000000"/>
      </right>
      <top style="thin">
        <color rgb="FF000000"/>
      </top>
      <bottom style="dashed">
        <color rgb="FF000000"/>
      </bottom>
      <diagonal/>
    </border>
    <border>
      <left style="thin">
        <color rgb="FF000000"/>
      </left>
      <right/>
      <top style="dashed">
        <color rgb="FF000000"/>
      </top>
      <bottom style="dashed">
        <color rgb="FF000000"/>
      </bottom>
      <diagonal/>
    </border>
    <border>
      <left/>
      <right style="thin">
        <color rgb="FF000000"/>
      </right>
      <top style="dashed">
        <color rgb="FF000000"/>
      </top>
      <bottom style="dashed">
        <color rgb="FF000000"/>
      </bottom>
      <diagonal/>
    </border>
    <border>
      <left style="thin">
        <color rgb="FF000000"/>
      </left>
      <right/>
      <top style="dashed">
        <color rgb="FF000000"/>
      </top>
      <bottom style="thin">
        <color rgb="FF000000"/>
      </bottom>
      <diagonal/>
    </border>
    <border>
      <left/>
      <right style="thin">
        <color rgb="FF000000"/>
      </right>
      <top style="dashed">
        <color rgb="FF000000"/>
      </top>
      <bottom style="thin">
        <color rgb="FF000000"/>
      </bottom>
      <diagonal/>
    </border>
    <border>
      <left style="thin">
        <color rgb="FF000000"/>
      </left>
      <right style="thin">
        <color rgb="FF000000"/>
      </right>
      <top style="thin">
        <color rgb="FF000000"/>
      </top>
      <bottom style="dashed">
        <color rgb="FF000000"/>
      </bottom>
      <diagonal/>
    </border>
    <border>
      <left style="thin">
        <color rgb="FF000000"/>
      </left>
      <right style="thin">
        <color rgb="FF000000"/>
      </right>
      <top style="dashed">
        <color rgb="FF000000"/>
      </top>
      <bottom style="dashed">
        <color rgb="FF000000"/>
      </bottom>
      <diagonal/>
    </border>
    <border>
      <left style="thin">
        <color rgb="FF000000"/>
      </left>
      <right style="thin">
        <color rgb="FF000000"/>
      </right>
      <top style="dashed">
        <color rgb="FF000000"/>
      </top>
      <bottom style="thin">
        <color rgb="FF000000"/>
      </bottom>
      <diagonal/>
    </border>
  </borders>
  <cellStyleXfs count="3">
    <xf numFmtId="0" fontId="0" fillId="0" borderId="0"/>
    <xf numFmtId="164" fontId="3" fillId="0" borderId="0" applyFont="0" applyFill="0" applyBorder="0" applyAlignment="0" applyProtection="0"/>
    <xf numFmtId="9" fontId="3" fillId="0" borderId="0" applyFont="0" applyFill="0" applyBorder="0" applyAlignment="0" applyProtection="0"/>
  </cellStyleXfs>
  <cellXfs count="101">
    <xf numFmtId="0" fontId="0" fillId="0" borderId="0" xfId="0"/>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20" fontId="11" fillId="2" borderId="11" xfId="0" applyNumberFormat="1" applyFont="1" applyFill="1" applyBorder="1" applyAlignment="1">
      <alignment horizontal="center" vertical="center" wrapText="1" readingOrder="1"/>
    </xf>
    <xf numFmtId="9" fontId="11" fillId="2" borderId="11" xfId="2" applyFont="1" applyFill="1" applyBorder="1" applyAlignment="1">
      <alignment horizontal="center" vertical="center" wrapText="1" readingOrder="1"/>
    </xf>
    <xf numFmtId="164" fontId="11" fillId="2" borderId="11" xfId="1" applyFont="1" applyFill="1" applyBorder="1" applyAlignment="1">
      <alignment horizontal="center" vertical="center" wrapText="1" readingOrder="1"/>
    </xf>
    <xf numFmtId="20" fontId="11" fillId="2" borderId="8" xfId="0" applyNumberFormat="1" applyFont="1" applyFill="1" applyBorder="1" applyAlignment="1">
      <alignment horizontal="center" vertical="center" wrapText="1" readingOrder="1"/>
    </xf>
    <xf numFmtId="9" fontId="11" fillId="2" borderId="8" xfId="2" applyFont="1" applyFill="1" applyBorder="1" applyAlignment="1">
      <alignment horizontal="center" vertical="center" wrapText="1" readingOrder="1"/>
    </xf>
    <xf numFmtId="164" fontId="11" fillId="2" borderId="8" xfId="1" applyFont="1" applyFill="1" applyBorder="1" applyAlignment="1">
      <alignment horizontal="center" vertical="center" wrapText="1" readingOrder="1"/>
    </xf>
    <xf numFmtId="0" fontId="12" fillId="2" borderId="0" xfId="0" applyFont="1" applyFill="1" applyAlignment="1">
      <alignment horizontal="center" vertical="center"/>
    </xf>
    <xf numFmtId="20" fontId="11" fillId="2" borderId="9" xfId="0" applyNumberFormat="1" applyFont="1" applyFill="1" applyBorder="1" applyAlignment="1">
      <alignment horizontal="center" vertical="center" wrapText="1" readingOrder="1"/>
    </xf>
    <xf numFmtId="164" fontId="11" fillId="2" borderId="9" xfId="1" applyFont="1" applyFill="1" applyBorder="1" applyAlignment="1">
      <alignment horizontal="center" vertical="center" wrapText="1" readingOrder="1"/>
    </xf>
    <xf numFmtId="20" fontId="11" fillId="2" borderId="10" xfId="0" applyNumberFormat="1" applyFont="1" applyFill="1" applyBorder="1" applyAlignment="1">
      <alignment horizontal="center" vertical="center" wrapText="1" readingOrder="1"/>
    </xf>
    <xf numFmtId="9" fontId="11" fillId="2" borderId="10" xfId="2" applyFont="1" applyFill="1" applyBorder="1" applyAlignment="1">
      <alignment horizontal="center" vertical="center" wrapText="1" readingOrder="1"/>
    </xf>
    <xf numFmtId="164" fontId="11" fillId="2" borderId="10" xfId="1" applyFont="1" applyFill="1" applyBorder="1" applyAlignment="1">
      <alignment horizontal="center" vertical="center" wrapText="1" readingOrder="1"/>
    </xf>
    <xf numFmtId="0" fontId="9" fillId="2" borderId="12" xfId="0" applyFont="1" applyFill="1" applyBorder="1" applyAlignment="1">
      <alignment horizontal="center" vertical="center" wrapText="1"/>
    </xf>
    <xf numFmtId="0" fontId="13" fillId="2" borderId="0" xfId="0" applyFont="1" applyFill="1" applyAlignment="1">
      <alignment horizontal="left" vertical="center"/>
    </xf>
    <xf numFmtId="0" fontId="20" fillId="3" borderId="15" xfId="0" applyFont="1" applyFill="1" applyBorder="1" applyAlignment="1">
      <alignment horizontal="center"/>
    </xf>
    <xf numFmtId="0" fontId="21" fillId="3" borderId="15" xfId="0" applyFont="1" applyFill="1" applyBorder="1" applyAlignment="1">
      <alignment horizontal="center" wrapText="1"/>
    </xf>
    <xf numFmtId="0" fontId="22" fillId="3" borderId="1" xfId="0" applyFont="1" applyFill="1" applyBorder="1" applyAlignment="1">
      <alignment horizontal="center" vertical="center"/>
    </xf>
    <xf numFmtId="164" fontId="22" fillId="3" borderId="1" xfId="1" applyFont="1" applyFill="1" applyBorder="1" applyAlignment="1">
      <alignment horizontal="center" vertical="center" wrapText="1" readingOrder="1"/>
    </xf>
    <xf numFmtId="0" fontId="15" fillId="3" borderId="1" xfId="0" applyFont="1" applyFill="1" applyBorder="1" applyAlignment="1">
      <alignment horizontal="center" vertical="center" wrapText="1" readingOrder="1"/>
    </xf>
    <xf numFmtId="0" fontId="4" fillId="2" borderId="0" xfId="0" applyFont="1" applyFill="1" applyAlignment="1">
      <alignment vertical="center"/>
    </xf>
    <xf numFmtId="0" fontId="4" fillId="2" borderId="13" xfId="0" applyFont="1" applyFill="1" applyBorder="1" applyAlignment="1">
      <alignment vertical="center"/>
    </xf>
    <xf numFmtId="0" fontId="18" fillId="2" borderId="13" xfId="0" applyFont="1" applyFill="1" applyBorder="1" applyAlignment="1">
      <alignment vertical="center"/>
    </xf>
    <xf numFmtId="0" fontId="4" fillId="2" borderId="0" xfId="0" applyFont="1" applyFill="1" applyAlignment="1">
      <alignment horizontal="center"/>
    </xf>
    <xf numFmtId="0" fontId="4" fillId="4" borderId="0" xfId="0" applyFont="1" applyFill="1" applyAlignment="1">
      <alignment horizontal="center" vertical="center"/>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2" fillId="5" borderId="16" xfId="0" applyFont="1" applyFill="1" applyBorder="1" applyAlignment="1">
      <alignment horizontal="center" vertical="center"/>
    </xf>
    <xf numFmtId="0" fontId="24" fillId="5" borderId="16" xfId="0" applyFont="1" applyFill="1" applyBorder="1" applyAlignment="1">
      <alignment horizontal="center" vertical="center"/>
    </xf>
    <xf numFmtId="0" fontId="2" fillId="5" borderId="17" xfId="0" applyFont="1" applyFill="1" applyBorder="1" applyAlignment="1">
      <alignment horizontal="center" vertical="center"/>
    </xf>
    <xf numFmtId="0" fontId="11" fillId="5" borderId="11" xfId="0" applyFont="1" applyFill="1" applyBorder="1" applyAlignment="1">
      <alignment horizontal="center" vertical="center" wrapText="1" readingOrder="1"/>
    </xf>
    <xf numFmtId="0" fontId="11" fillId="5" borderId="8" xfId="0" applyFont="1" applyFill="1" applyBorder="1" applyAlignment="1">
      <alignment horizontal="center" vertical="center" wrapText="1" readingOrder="1"/>
    </xf>
    <xf numFmtId="0" fontId="11" fillId="5" borderId="9" xfId="0" applyFont="1" applyFill="1" applyBorder="1" applyAlignment="1">
      <alignment horizontal="center" vertical="center" wrapText="1" readingOrder="1"/>
    </xf>
    <xf numFmtId="0" fontId="11" fillId="5" borderId="10" xfId="0" applyFont="1" applyFill="1" applyBorder="1" applyAlignment="1">
      <alignment horizontal="center" vertical="center" wrapText="1" readingOrder="1"/>
    </xf>
    <xf numFmtId="164" fontId="11" fillId="5" borderId="11" xfId="1" applyFont="1" applyFill="1" applyBorder="1" applyAlignment="1">
      <alignment horizontal="center" vertical="center" wrapText="1" readingOrder="1"/>
    </xf>
    <xf numFmtId="164" fontId="11" fillId="5" borderId="8" xfId="1" applyFont="1" applyFill="1" applyBorder="1" applyAlignment="1">
      <alignment horizontal="center" vertical="center" wrapText="1" readingOrder="1"/>
    </xf>
    <xf numFmtId="164" fontId="11" fillId="5" borderId="10" xfId="1" applyFont="1" applyFill="1" applyBorder="1" applyAlignment="1">
      <alignment horizontal="center" vertical="center" wrapText="1" readingOrder="1"/>
    </xf>
    <xf numFmtId="164" fontId="11" fillId="5" borderId="9" xfId="1" applyFont="1" applyFill="1" applyBorder="1" applyAlignment="1">
      <alignment horizontal="center" vertical="center" wrapText="1" readingOrder="1"/>
    </xf>
    <xf numFmtId="0" fontId="7" fillId="5" borderId="12" xfId="0" applyFont="1" applyFill="1" applyBorder="1" applyAlignment="1">
      <alignment horizontal="center" vertical="center" wrapText="1"/>
    </xf>
    <xf numFmtId="0" fontId="23" fillId="5" borderId="18" xfId="0" applyFont="1" applyFill="1" applyBorder="1" applyAlignment="1">
      <alignment horizontal="center" vertical="center"/>
    </xf>
    <xf numFmtId="0" fontId="23" fillId="5" borderId="19" xfId="0" applyFont="1" applyFill="1" applyBorder="1" applyAlignment="1">
      <alignment horizontal="center" vertical="center"/>
    </xf>
    <xf numFmtId="0" fontId="4" fillId="5" borderId="19" xfId="0" applyFont="1" applyFill="1" applyBorder="1" applyAlignment="1">
      <alignment horizontal="center" vertical="center"/>
    </xf>
    <xf numFmtId="0" fontId="4" fillId="5" borderId="21" xfId="0" applyFont="1" applyFill="1" applyBorder="1" applyAlignment="1">
      <alignment horizontal="center" vertical="center"/>
    </xf>
    <xf numFmtId="0" fontId="14" fillId="2" borderId="0" xfId="0" applyFont="1" applyFill="1" applyAlignment="1">
      <alignment vertical="center"/>
    </xf>
    <xf numFmtId="0" fontId="26" fillId="5" borderId="20" xfId="0" applyFont="1" applyFill="1" applyBorder="1" applyAlignment="1">
      <alignment horizontal="center" vertical="center"/>
    </xf>
    <xf numFmtId="0" fontId="8" fillId="6" borderId="0" xfId="0" applyFont="1" applyFill="1" applyAlignment="1">
      <alignment horizontal="center" vertical="center"/>
    </xf>
    <xf numFmtId="0" fontId="9" fillId="6" borderId="0" xfId="0" applyFont="1" applyFill="1" applyAlignment="1">
      <alignment horizontal="center" vertical="center" wrapText="1"/>
    </xf>
    <xf numFmtId="0" fontId="11" fillId="5" borderId="11" xfId="0" applyFont="1" applyFill="1" applyBorder="1" applyAlignment="1">
      <alignment vertical="center" wrapText="1" readingOrder="1"/>
    </xf>
    <xf numFmtId="0" fontId="11" fillId="5" borderId="8" xfId="0" applyFont="1" applyFill="1" applyBorder="1" applyAlignment="1">
      <alignment vertical="center" wrapText="1" readingOrder="1"/>
    </xf>
    <xf numFmtId="0" fontId="11" fillId="5" borderId="10" xfId="0" applyFont="1" applyFill="1" applyBorder="1" applyAlignment="1">
      <alignment vertical="center" wrapText="1" readingOrder="1"/>
    </xf>
    <xf numFmtId="0" fontId="4" fillId="2" borderId="0" xfId="0" applyFont="1" applyFill="1" applyAlignment="1">
      <alignment horizontal="center" vertical="center" wrapText="1"/>
    </xf>
    <xf numFmtId="0" fontId="11" fillId="5" borderId="40" xfId="0" applyFont="1" applyFill="1" applyBorder="1" applyAlignment="1">
      <alignment vertical="center" wrapText="1" readingOrder="1"/>
    </xf>
    <xf numFmtId="0" fontId="11" fillId="5" borderId="41" xfId="0" applyFont="1" applyFill="1" applyBorder="1" applyAlignment="1">
      <alignment vertical="center" wrapText="1" readingOrder="1"/>
    </xf>
    <xf numFmtId="0" fontId="11" fillId="5" borderId="42" xfId="0" applyFont="1" applyFill="1" applyBorder="1" applyAlignment="1">
      <alignment vertical="center" wrapText="1" readingOrder="1"/>
    </xf>
    <xf numFmtId="14" fontId="10" fillId="5" borderId="1" xfId="0" applyNumberFormat="1" applyFont="1" applyFill="1" applyBorder="1" applyAlignment="1">
      <alignment horizontal="center" vertical="center" wrapText="1" readingOrder="1"/>
    </xf>
    <xf numFmtId="0" fontId="11" fillId="2" borderId="2" xfId="0" applyFont="1" applyFill="1" applyBorder="1" applyAlignment="1">
      <alignment horizontal="center" vertical="center" wrapText="1" readingOrder="1"/>
    </xf>
    <xf numFmtId="0" fontId="11" fillId="2" borderId="7" xfId="0" applyFont="1" applyFill="1" applyBorder="1" applyAlignment="1">
      <alignment horizontal="center" vertical="center" wrapText="1" readingOrder="1"/>
    </xf>
    <xf numFmtId="0" fontId="11" fillId="2" borderId="3" xfId="0" applyFont="1" applyFill="1" applyBorder="1" applyAlignment="1">
      <alignment horizontal="center" vertical="center" wrapText="1" readingOrder="1"/>
    </xf>
    <xf numFmtId="0" fontId="10" fillId="2" borderId="11" xfId="0" applyFont="1" applyFill="1" applyBorder="1" applyAlignment="1">
      <alignment horizontal="center" vertical="center" wrapText="1" readingOrder="1"/>
    </xf>
    <xf numFmtId="0" fontId="10" fillId="2" borderId="8" xfId="0" applyFont="1" applyFill="1" applyBorder="1" applyAlignment="1">
      <alignment horizontal="center" vertical="center" wrapText="1" readingOrder="1"/>
    </xf>
    <xf numFmtId="0" fontId="10" fillId="2" borderId="9" xfId="0" applyFont="1" applyFill="1" applyBorder="1" applyAlignment="1">
      <alignment horizontal="center" vertical="center" wrapText="1" readingOrder="1"/>
    </xf>
    <xf numFmtId="0" fontId="11" fillId="5" borderId="26" xfId="0" applyFont="1" applyFill="1" applyBorder="1" applyAlignment="1">
      <alignment horizontal="center" vertical="center" wrapText="1" readingOrder="1"/>
    </xf>
    <xf numFmtId="0" fontId="11" fillId="5" borderId="27" xfId="0" applyFont="1" applyFill="1" applyBorder="1" applyAlignment="1">
      <alignment horizontal="center" vertical="center" wrapText="1" readingOrder="1"/>
    </xf>
    <xf numFmtId="0" fontId="11" fillId="5" borderId="28" xfId="0" applyFont="1" applyFill="1" applyBorder="1" applyAlignment="1">
      <alignment horizontal="center" vertical="center" wrapText="1" readingOrder="1"/>
    </xf>
    <xf numFmtId="0" fontId="11" fillId="5" borderId="29" xfId="0" applyFont="1" applyFill="1" applyBorder="1" applyAlignment="1">
      <alignment horizontal="center" vertical="center" wrapText="1" readingOrder="1"/>
    </xf>
    <xf numFmtId="0" fontId="10" fillId="2" borderId="10" xfId="0" applyFont="1" applyFill="1" applyBorder="1" applyAlignment="1">
      <alignment horizontal="center" vertical="center" wrapText="1" readingOrder="1"/>
    </xf>
    <xf numFmtId="0" fontId="14" fillId="2" borderId="14" xfId="0" applyFont="1" applyFill="1" applyBorder="1" applyAlignment="1">
      <alignment horizontal="left" vertical="center"/>
    </xf>
    <xf numFmtId="0" fontId="14" fillId="2" borderId="0" xfId="0" applyFont="1" applyFill="1" applyAlignment="1">
      <alignment horizontal="left" vertical="center"/>
    </xf>
    <xf numFmtId="0" fontId="14" fillId="2" borderId="32" xfId="0" applyFont="1" applyFill="1" applyBorder="1" applyAlignment="1">
      <alignment horizontal="left" vertical="center"/>
    </xf>
    <xf numFmtId="0" fontId="19" fillId="2" borderId="0" xfId="0" applyFont="1" applyFill="1" applyAlignment="1">
      <alignment horizontal="left" vertical="center" wrapText="1"/>
    </xf>
    <xf numFmtId="0" fontId="14" fillId="2" borderId="33" xfId="0" applyFont="1" applyFill="1" applyBorder="1" applyAlignment="1">
      <alignment horizontal="left" vertical="top"/>
    </xf>
    <xf numFmtId="0" fontId="15" fillId="3" borderId="22" xfId="0" applyFont="1" applyFill="1" applyBorder="1" applyAlignment="1">
      <alignment horizontal="center" vertical="center" wrapText="1" readingOrder="1"/>
    </xf>
    <xf numFmtId="0" fontId="15" fillId="3" borderId="23" xfId="0" applyFont="1" applyFill="1" applyBorder="1" applyAlignment="1">
      <alignment horizontal="center" vertical="center" wrapText="1" readingOrder="1"/>
    </xf>
    <xf numFmtId="0" fontId="15" fillId="3" borderId="24" xfId="0" applyFont="1" applyFill="1" applyBorder="1" applyAlignment="1">
      <alignment horizontal="center" vertical="center" wrapText="1" readingOrder="1"/>
    </xf>
    <xf numFmtId="0" fontId="15" fillId="3" borderId="25" xfId="0" applyFont="1" applyFill="1" applyBorder="1" applyAlignment="1">
      <alignment horizontal="center" vertical="center" wrapText="1" readingOrder="1"/>
    </xf>
    <xf numFmtId="0" fontId="15" fillId="3" borderId="2" xfId="0" applyFont="1" applyFill="1" applyBorder="1" applyAlignment="1">
      <alignment horizontal="center" vertical="center" wrapText="1" readingOrder="1"/>
    </xf>
    <xf numFmtId="0" fontId="15" fillId="3" borderId="3" xfId="0" applyFont="1" applyFill="1" applyBorder="1" applyAlignment="1">
      <alignment horizontal="center" vertical="center" wrapText="1" readingOrder="1"/>
    </xf>
    <xf numFmtId="14" fontId="10" fillId="5" borderId="2" xfId="0" applyNumberFormat="1" applyFont="1" applyFill="1" applyBorder="1" applyAlignment="1">
      <alignment horizontal="center" vertical="center" wrapText="1" readingOrder="1"/>
    </xf>
    <xf numFmtId="14" fontId="10" fillId="5" borderId="7" xfId="0" applyNumberFormat="1" applyFont="1" applyFill="1" applyBorder="1" applyAlignment="1">
      <alignment horizontal="center" vertical="center" wrapText="1" readingOrder="1"/>
    </xf>
    <xf numFmtId="14" fontId="10" fillId="5" borderId="3" xfId="0" applyNumberFormat="1" applyFont="1" applyFill="1" applyBorder="1" applyAlignment="1">
      <alignment horizontal="center" vertical="center" wrapText="1" readingOrder="1"/>
    </xf>
    <xf numFmtId="0" fontId="17" fillId="2" borderId="0" xfId="0" applyFont="1" applyFill="1" applyAlignment="1">
      <alignment horizontal="left" vertical="center"/>
    </xf>
    <xf numFmtId="0" fontId="18" fillId="2" borderId="0" xfId="0" applyFont="1" applyFill="1" applyAlignment="1">
      <alignment horizontal="left" vertical="center"/>
    </xf>
    <xf numFmtId="0" fontId="13" fillId="2" borderId="0" xfId="0" applyFont="1" applyFill="1" applyAlignment="1">
      <alignment horizontal="left" vertical="center"/>
    </xf>
    <xf numFmtId="0" fontId="9" fillId="2" borderId="13" xfId="0" applyFont="1" applyFill="1" applyBorder="1" applyAlignment="1">
      <alignment horizontal="right" wrapText="1"/>
    </xf>
    <xf numFmtId="0" fontId="15" fillId="3" borderId="4" xfId="0" applyFont="1" applyFill="1" applyBorder="1" applyAlignment="1">
      <alignment horizontal="center" vertical="center"/>
    </xf>
    <xf numFmtId="0" fontId="15" fillId="3" borderId="5" xfId="0" applyFont="1" applyFill="1" applyBorder="1" applyAlignment="1">
      <alignment horizontal="center" vertical="center"/>
    </xf>
    <xf numFmtId="0" fontId="15" fillId="3" borderId="4" xfId="0" applyFont="1" applyFill="1" applyBorder="1" applyAlignment="1">
      <alignment horizontal="center" vertical="center" wrapText="1" readingOrder="1"/>
    </xf>
    <xf numFmtId="0" fontId="15" fillId="3" borderId="6" xfId="0" applyFont="1" applyFill="1" applyBorder="1" applyAlignment="1">
      <alignment horizontal="center" vertical="center" wrapText="1" readingOrder="1"/>
    </xf>
    <xf numFmtId="0" fontId="15" fillId="3" borderId="5" xfId="0" applyFont="1" applyFill="1" applyBorder="1" applyAlignment="1">
      <alignment horizontal="center" vertical="center" wrapText="1" readingOrder="1"/>
    </xf>
    <xf numFmtId="0" fontId="11" fillId="5" borderId="34" xfId="0" applyFont="1" applyFill="1" applyBorder="1" applyAlignment="1">
      <alignment horizontal="center" vertical="center" wrapText="1" readingOrder="1"/>
    </xf>
    <xf numFmtId="0" fontId="11" fillId="5" borderId="35" xfId="0" applyFont="1" applyFill="1" applyBorder="1" applyAlignment="1">
      <alignment horizontal="center" vertical="center" wrapText="1" readingOrder="1"/>
    </xf>
    <xf numFmtId="0" fontId="11" fillId="5" borderId="36" xfId="0" applyFont="1" applyFill="1" applyBorder="1" applyAlignment="1">
      <alignment horizontal="center" vertical="center" wrapText="1" readingOrder="1"/>
    </xf>
    <xf numFmtId="0" fontId="11" fillId="5" borderId="37" xfId="0" applyFont="1" applyFill="1" applyBorder="1" applyAlignment="1">
      <alignment horizontal="center" vertical="center" wrapText="1" readingOrder="1"/>
    </xf>
    <xf numFmtId="0" fontId="11" fillId="5" borderId="38" xfId="0" applyFont="1" applyFill="1" applyBorder="1" applyAlignment="1">
      <alignment horizontal="center" vertical="center" wrapText="1" readingOrder="1"/>
    </xf>
    <xf numFmtId="0" fontId="11" fillId="5" borderId="39" xfId="0" applyFont="1" applyFill="1" applyBorder="1" applyAlignment="1">
      <alignment horizontal="center" vertical="center" wrapText="1" readingOrder="1"/>
    </xf>
    <xf numFmtId="0" fontId="11" fillId="5" borderId="30" xfId="0" applyFont="1" applyFill="1" applyBorder="1" applyAlignment="1">
      <alignment horizontal="center" vertical="center" wrapText="1" readingOrder="1"/>
    </xf>
    <xf numFmtId="0" fontId="11" fillId="5" borderId="31" xfId="0" applyFont="1" applyFill="1" applyBorder="1" applyAlignment="1">
      <alignment horizontal="center" vertical="center" wrapText="1" readingOrder="1"/>
    </xf>
  </cellXfs>
  <cellStyles count="3">
    <cellStyle name="Comma [0]" xfId="1" builtinId="6"/>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U280"/>
  <sheetViews>
    <sheetView tabSelected="1" zoomScale="70" zoomScaleNormal="70" workbookViewId="0">
      <pane ySplit="16" topLeftCell="A254" activePane="bottomLeft" state="frozenSplit"/>
      <selection pane="bottomLeft" activeCell="O259" sqref="O259"/>
    </sheetView>
  </sheetViews>
  <sheetFormatPr defaultColWidth="8.7109375" defaultRowHeight="13.5"/>
  <cols>
    <col min="1" max="1" width="4.140625" style="1" customWidth="1"/>
    <col min="2" max="2" width="16.42578125" style="1" bestFit="1" customWidth="1"/>
    <col min="3" max="3" width="17.42578125" style="1" bestFit="1" customWidth="1"/>
    <col min="4" max="4" width="17.42578125" style="1" customWidth="1"/>
    <col min="5" max="5" width="14.5703125" style="2" customWidth="1"/>
    <col min="6" max="19" width="14.5703125" style="1" customWidth="1"/>
    <col min="20" max="20" width="14.7109375" style="1" hidden="1" customWidth="1"/>
    <col min="21" max="21" width="23.5703125" style="1" customWidth="1"/>
    <col min="22" max="22" width="66.140625" style="1" customWidth="1"/>
    <col min="23" max="23" width="8.7109375" style="1"/>
    <col min="24" max="24" width="17.42578125" style="1" customWidth="1"/>
    <col min="25" max="25" width="8.7109375" style="1" customWidth="1"/>
    <col min="26" max="26" width="21.85546875" style="1" customWidth="1"/>
    <col min="27" max="48" width="14.5703125" style="1" customWidth="1"/>
    <col min="49" max="16384" width="8.7109375" style="1"/>
  </cols>
  <sheetData>
    <row r="1" spans="2:47" ht="6" customHeight="1"/>
    <row r="2" spans="2:47" ht="35.25">
      <c r="B2" s="86" t="s">
        <v>31</v>
      </c>
      <c r="C2" s="86"/>
      <c r="D2" s="86"/>
      <c r="E2" s="86"/>
      <c r="F2" s="86"/>
      <c r="G2" s="86"/>
      <c r="H2" s="86"/>
      <c r="I2" s="86"/>
      <c r="J2" s="86"/>
      <c r="K2" s="86"/>
      <c r="L2" s="86"/>
      <c r="M2" s="86"/>
      <c r="N2" s="86"/>
      <c r="O2" s="86"/>
      <c r="P2" s="86"/>
      <c r="Q2" s="86"/>
      <c r="R2" s="86"/>
      <c r="S2" s="86"/>
      <c r="T2" s="86"/>
      <c r="U2" s="86"/>
      <c r="V2" s="24"/>
      <c r="W2" s="24"/>
      <c r="X2" s="1" t="s">
        <v>13</v>
      </c>
    </row>
    <row r="3" spans="2:47" ht="15.95" customHeight="1">
      <c r="B3" s="18"/>
      <c r="C3" s="18"/>
      <c r="D3" s="18"/>
      <c r="E3" s="18"/>
      <c r="F3" s="18"/>
      <c r="G3" s="18"/>
      <c r="H3" s="18"/>
      <c r="I3" s="18"/>
      <c r="J3" s="18"/>
      <c r="K3" s="18"/>
      <c r="L3" s="18"/>
      <c r="M3" s="18"/>
      <c r="N3" s="18"/>
      <c r="O3" s="18"/>
      <c r="P3" s="18"/>
      <c r="Q3" s="18"/>
      <c r="R3" s="18"/>
      <c r="S3" s="18"/>
      <c r="T3" s="18"/>
      <c r="U3" s="18"/>
      <c r="V3" s="24"/>
      <c r="W3" s="24"/>
      <c r="X3" s="1" t="s">
        <v>36</v>
      </c>
      <c r="Y3" s="24"/>
      <c r="Z3" s="24"/>
      <c r="AA3" s="24"/>
      <c r="AB3" s="24"/>
      <c r="AC3" s="24"/>
      <c r="AD3" s="24"/>
      <c r="AE3" s="24"/>
      <c r="AF3" s="24"/>
      <c r="AG3" s="24"/>
      <c r="AH3" s="24"/>
      <c r="AI3" s="24"/>
      <c r="AJ3" s="24"/>
      <c r="AK3" s="24"/>
      <c r="AL3" s="24"/>
      <c r="AM3" s="24"/>
      <c r="AN3" s="24"/>
      <c r="AO3" s="24"/>
      <c r="AP3" s="24"/>
      <c r="AQ3" s="24"/>
      <c r="AR3" s="24"/>
      <c r="AS3" s="24"/>
      <c r="AT3" s="24"/>
      <c r="AU3" s="24"/>
    </row>
    <row r="4" spans="2:47" ht="22.5">
      <c r="B4" s="84" t="s">
        <v>92</v>
      </c>
      <c r="C4" s="84"/>
      <c r="D4" s="84"/>
      <c r="E4" s="84"/>
      <c r="F4" s="84"/>
      <c r="G4" s="84"/>
      <c r="H4" s="84"/>
      <c r="I4" s="84"/>
      <c r="J4" s="84"/>
      <c r="K4" s="84"/>
      <c r="L4" s="84"/>
      <c r="M4" s="84"/>
      <c r="N4" s="84"/>
      <c r="O4" s="84"/>
      <c r="P4" s="84"/>
      <c r="Q4" s="84"/>
      <c r="R4" s="84"/>
      <c r="S4" s="84"/>
      <c r="T4" s="84"/>
      <c r="U4" s="84"/>
      <c r="V4" s="24"/>
      <c r="W4" s="24"/>
      <c r="X4" s="1" t="s">
        <v>34</v>
      </c>
      <c r="Y4" s="24"/>
      <c r="Z4" s="24"/>
      <c r="AA4" s="24"/>
      <c r="AB4" s="24"/>
      <c r="AC4" s="24"/>
      <c r="AD4" s="24"/>
      <c r="AE4" s="24"/>
      <c r="AF4" s="24"/>
      <c r="AG4" s="24"/>
      <c r="AH4" s="24"/>
      <c r="AI4" s="24"/>
      <c r="AJ4" s="24"/>
      <c r="AK4" s="24"/>
      <c r="AL4" s="24"/>
      <c r="AM4" s="24"/>
      <c r="AN4" s="24"/>
      <c r="AO4" s="24"/>
      <c r="AP4" s="24"/>
      <c r="AQ4" s="24"/>
      <c r="AR4" s="24"/>
      <c r="AS4" s="24"/>
      <c r="AT4" s="24"/>
      <c r="AU4" s="24"/>
    </row>
    <row r="5" spans="2:47" ht="11.45" customHeight="1">
      <c r="G5" s="3"/>
      <c r="H5" s="3"/>
      <c r="I5" s="3"/>
      <c r="J5" s="3"/>
      <c r="K5" s="3"/>
      <c r="L5" s="3"/>
      <c r="M5" s="3"/>
      <c r="N5" s="3"/>
      <c r="O5" s="3"/>
      <c r="P5" s="3"/>
      <c r="Q5" s="3"/>
      <c r="R5" s="3"/>
      <c r="S5" s="3"/>
      <c r="T5" s="3"/>
      <c r="U5" s="3"/>
      <c r="V5" s="24"/>
      <c r="W5" s="24"/>
      <c r="X5" s="1" t="s">
        <v>35</v>
      </c>
      <c r="Y5" s="24"/>
      <c r="Z5" s="24"/>
      <c r="AA5" s="24"/>
      <c r="AB5" s="24"/>
      <c r="AC5" s="24"/>
      <c r="AD5" s="24"/>
      <c r="AE5" s="24"/>
      <c r="AF5" s="24"/>
      <c r="AG5" s="24"/>
      <c r="AH5" s="24"/>
      <c r="AI5" s="24"/>
      <c r="AJ5" s="24"/>
      <c r="AK5" s="24"/>
      <c r="AL5" s="24"/>
      <c r="AM5" s="24"/>
      <c r="AN5" s="24"/>
      <c r="AO5" s="24"/>
      <c r="AP5" s="24"/>
      <c r="AQ5" s="24"/>
      <c r="AR5" s="24"/>
      <c r="AS5" s="24"/>
      <c r="AT5" s="24"/>
      <c r="AU5" s="24"/>
    </row>
    <row r="6" spans="2:47" ht="24" customHeight="1">
      <c r="B6" s="17" t="s">
        <v>9</v>
      </c>
      <c r="C6" s="42" t="s">
        <v>13</v>
      </c>
      <c r="D6" s="70" t="s">
        <v>91</v>
      </c>
      <c r="E6" s="71"/>
      <c r="F6" s="71"/>
      <c r="G6" s="71"/>
      <c r="H6" s="71"/>
      <c r="I6" s="71"/>
      <c r="J6" s="71"/>
      <c r="K6" s="47"/>
      <c r="L6" s="48" t="s">
        <v>96</v>
      </c>
      <c r="M6" s="72" t="s">
        <v>89</v>
      </c>
      <c r="N6" s="71"/>
      <c r="O6" s="71"/>
      <c r="P6" s="71"/>
      <c r="Q6" s="71"/>
      <c r="R6" s="71"/>
      <c r="S6" s="71"/>
      <c r="T6" s="71"/>
      <c r="U6" s="71"/>
      <c r="V6" s="24"/>
      <c r="W6" s="24"/>
      <c r="X6" s="1" t="s">
        <v>20</v>
      </c>
      <c r="Y6" s="24"/>
      <c r="Z6" s="24"/>
      <c r="AA6" s="24"/>
      <c r="AB6" s="24"/>
      <c r="AC6" s="24"/>
      <c r="AD6" s="24"/>
      <c r="AE6" s="24"/>
      <c r="AF6" s="24"/>
      <c r="AG6" s="24"/>
      <c r="AH6" s="24"/>
      <c r="AI6" s="24"/>
      <c r="AJ6" s="24"/>
      <c r="AK6" s="24"/>
      <c r="AL6" s="24"/>
      <c r="AM6" s="24"/>
      <c r="AN6" s="24"/>
      <c r="AO6" s="24"/>
      <c r="AP6" s="24"/>
      <c r="AQ6" s="24"/>
      <c r="AR6" s="24"/>
      <c r="AS6" s="24"/>
      <c r="AT6" s="24"/>
      <c r="AU6" s="24"/>
    </row>
    <row r="7" spans="2:47" ht="24.95" customHeight="1">
      <c r="C7" s="3"/>
      <c r="D7" s="73" t="s">
        <v>94</v>
      </c>
      <c r="E7" s="73"/>
      <c r="F7" s="73"/>
      <c r="G7" s="73"/>
      <c r="H7" s="73"/>
      <c r="I7" s="73"/>
      <c r="J7" s="73"/>
      <c r="K7" s="73"/>
      <c r="L7" s="3"/>
      <c r="M7" s="73" t="s">
        <v>90</v>
      </c>
      <c r="N7" s="73"/>
      <c r="O7" s="73"/>
      <c r="P7" s="73"/>
      <c r="Q7" s="73"/>
      <c r="R7" s="73"/>
      <c r="S7" s="73"/>
      <c r="T7" s="73"/>
      <c r="U7" s="73"/>
      <c r="V7" s="24"/>
      <c r="W7" s="24"/>
      <c r="Y7" s="24"/>
      <c r="Z7" s="24"/>
      <c r="AA7" s="24"/>
      <c r="AB7" s="24"/>
      <c r="AC7" s="24"/>
      <c r="AD7" s="24"/>
      <c r="AE7" s="24"/>
      <c r="AF7" s="24"/>
      <c r="AG7" s="24"/>
      <c r="AH7" s="24"/>
      <c r="AI7" s="24"/>
      <c r="AJ7" s="24"/>
      <c r="AK7" s="24"/>
      <c r="AL7" s="24"/>
      <c r="AM7" s="24"/>
      <c r="AN7" s="24"/>
      <c r="AO7" s="24"/>
      <c r="AP7" s="24"/>
      <c r="AQ7" s="24"/>
      <c r="AR7" s="24"/>
      <c r="AS7" s="24"/>
      <c r="AT7" s="24"/>
      <c r="AU7" s="24"/>
    </row>
    <row r="8" spans="2:47" ht="22.5">
      <c r="B8" s="85" t="s">
        <v>93</v>
      </c>
      <c r="C8" s="84"/>
      <c r="D8" s="84"/>
      <c r="E8" s="84"/>
      <c r="F8" s="84"/>
      <c r="G8" s="84"/>
      <c r="H8" s="84"/>
      <c r="I8" s="84"/>
      <c r="J8" s="84"/>
      <c r="K8" s="84"/>
      <c r="L8" s="84"/>
      <c r="M8" s="84"/>
      <c r="N8" s="84"/>
      <c r="O8" s="84"/>
      <c r="P8" s="84"/>
      <c r="Q8" s="84"/>
      <c r="R8" s="84"/>
      <c r="S8" s="84"/>
      <c r="T8" s="84"/>
      <c r="U8" s="84"/>
      <c r="V8" s="24"/>
      <c r="W8" s="24"/>
      <c r="Y8" s="24"/>
      <c r="Z8" s="24"/>
      <c r="AA8" s="24"/>
      <c r="AB8" s="24"/>
      <c r="AC8" s="24"/>
      <c r="AD8" s="24"/>
      <c r="AE8" s="24"/>
      <c r="AF8" s="24"/>
      <c r="AG8" s="24"/>
      <c r="AH8" s="24"/>
      <c r="AI8" s="24"/>
      <c r="AJ8" s="24"/>
      <c r="AK8" s="24"/>
      <c r="AL8" s="24"/>
      <c r="AM8" s="24"/>
      <c r="AN8" s="24"/>
      <c r="AO8" s="24"/>
      <c r="AP8" s="24"/>
      <c r="AQ8" s="24"/>
      <c r="AR8" s="24"/>
      <c r="AS8" s="24"/>
      <c r="AT8" s="24"/>
      <c r="AU8" s="24"/>
    </row>
    <row r="9" spans="2:47" ht="8.1" customHeight="1">
      <c r="E9" s="1"/>
      <c r="V9" s="24"/>
      <c r="W9" s="24"/>
      <c r="Y9" s="24"/>
      <c r="Z9" s="24"/>
      <c r="AA9" s="24"/>
      <c r="AB9" s="24"/>
      <c r="AC9" s="24"/>
      <c r="AD9" s="24"/>
      <c r="AE9" s="24"/>
      <c r="AF9" s="24"/>
      <c r="AG9" s="24"/>
      <c r="AH9" s="24"/>
      <c r="AI9" s="24"/>
      <c r="AJ9" s="24"/>
      <c r="AK9" s="24"/>
      <c r="AL9" s="24"/>
      <c r="AM9" s="24"/>
      <c r="AN9" s="24"/>
      <c r="AO9" s="24"/>
      <c r="AP9" s="24"/>
      <c r="AQ9" s="24"/>
      <c r="AR9" s="24"/>
      <c r="AS9" s="24"/>
      <c r="AT9" s="24"/>
      <c r="AU9" s="24"/>
    </row>
    <row r="10" spans="2:47" ht="18.75">
      <c r="B10" s="19" t="s">
        <v>30</v>
      </c>
      <c r="C10" s="19">
        <v>1</v>
      </c>
      <c r="D10" s="20">
        <v>2</v>
      </c>
      <c r="E10" s="20">
        <v>3</v>
      </c>
      <c r="F10" s="19">
        <v>4</v>
      </c>
      <c r="G10" s="20">
        <v>5</v>
      </c>
      <c r="H10" s="20">
        <v>6</v>
      </c>
      <c r="I10" s="19">
        <v>7</v>
      </c>
      <c r="J10" s="20">
        <v>8</v>
      </c>
      <c r="K10" s="20">
        <v>9</v>
      </c>
      <c r="L10" s="19">
        <v>10</v>
      </c>
      <c r="M10" s="20">
        <v>11</v>
      </c>
      <c r="N10" s="20">
        <v>12</v>
      </c>
      <c r="O10" s="19">
        <v>13</v>
      </c>
      <c r="P10" s="20">
        <v>14</v>
      </c>
      <c r="Q10" s="20">
        <v>15</v>
      </c>
      <c r="R10" s="20">
        <v>16</v>
      </c>
      <c r="S10" s="20">
        <v>17</v>
      </c>
      <c r="T10" s="19">
        <v>16</v>
      </c>
      <c r="U10" s="20" t="s">
        <v>32</v>
      </c>
      <c r="V10" s="24"/>
      <c r="W10" s="24"/>
    </row>
    <row r="11" spans="2:47" ht="18.75">
      <c r="B11" s="29" t="s">
        <v>28</v>
      </c>
      <c r="C11" s="31" t="s">
        <v>74</v>
      </c>
      <c r="D11" s="32" t="s">
        <v>75</v>
      </c>
      <c r="E11" s="32" t="s">
        <v>76</v>
      </c>
      <c r="F11" s="31" t="s">
        <v>79</v>
      </c>
      <c r="G11" s="31" t="s">
        <v>80</v>
      </c>
      <c r="H11" s="31" t="s">
        <v>103</v>
      </c>
      <c r="I11" s="31" t="s">
        <v>104</v>
      </c>
      <c r="J11" s="31" t="s">
        <v>83</v>
      </c>
      <c r="K11" s="31" t="s">
        <v>108</v>
      </c>
      <c r="L11" s="31" t="s">
        <v>109</v>
      </c>
      <c r="M11" s="31"/>
      <c r="N11" s="31"/>
      <c r="O11" s="31"/>
      <c r="P11" s="31"/>
      <c r="Q11" s="31"/>
      <c r="R11" s="31"/>
      <c r="S11" s="31"/>
      <c r="T11" s="31"/>
      <c r="U11" s="29"/>
      <c r="V11" s="24"/>
      <c r="W11" s="24"/>
    </row>
    <row r="12" spans="2:47" ht="18.75">
      <c r="B12" s="30" t="s">
        <v>29</v>
      </c>
      <c r="C12" s="33" t="s">
        <v>84</v>
      </c>
      <c r="D12" s="33" t="s">
        <v>81</v>
      </c>
      <c r="E12" s="33" t="s">
        <v>87</v>
      </c>
      <c r="F12" s="33" t="s">
        <v>86</v>
      </c>
      <c r="G12" s="33" t="s">
        <v>85</v>
      </c>
      <c r="H12" s="33" t="s">
        <v>88</v>
      </c>
      <c r="I12" s="33" t="s">
        <v>82</v>
      </c>
      <c r="J12" s="33" t="s">
        <v>105</v>
      </c>
      <c r="K12" s="32" t="s">
        <v>77</v>
      </c>
      <c r="L12" s="32" t="s">
        <v>78</v>
      </c>
      <c r="M12" s="33" t="s">
        <v>106</v>
      </c>
      <c r="N12" s="33" t="s">
        <v>107</v>
      </c>
      <c r="O12" s="33"/>
      <c r="P12" s="33"/>
      <c r="Q12" s="33"/>
      <c r="R12" s="33"/>
      <c r="S12" s="33"/>
      <c r="T12" s="33"/>
      <c r="U12" s="30"/>
    </row>
    <row r="13" spans="2:47" ht="54.6" customHeight="1">
      <c r="B13" s="74" t="s">
        <v>95</v>
      </c>
      <c r="C13" s="74"/>
      <c r="D13" s="74"/>
      <c r="E13" s="74"/>
      <c r="F13" s="74"/>
      <c r="G13" s="74"/>
      <c r="H13" s="74"/>
      <c r="I13" s="74"/>
      <c r="J13" s="74"/>
      <c r="K13" s="74"/>
      <c r="L13" s="74"/>
      <c r="M13" s="74"/>
      <c r="N13" s="74"/>
      <c r="O13" s="74"/>
      <c r="P13" s="74"/>
      <c r="Q13" s="74"/>
      <c r="R13" s="74"/>
      <c r="S13" s="74"/>
      <c r="T13" s="74"/>
      <c r="U13" s="74"/>
    </row>
    <row r="14" spans="2:47" ht="37.5">
      <c r="B14" s="26" t="s">
        <v>33</v>
      </c>
      <c r="C14" s="25"/>
      <c r="D14" s="49" t="s">
        <v>62</v>
      </c>
      <c r="E14" s="49" t="s">
        <v>63</v>
      </c>
      <c r="F14" s="49"/>
      <c r="G14" s="49" t="s">
        <v>64</v>
      </c>
      <c r="H14" s="49"/>
      <c r="I14" s="50" t="s">
        <v>65</v>
      </c>
      <c r="J14" s="50"/>
      <c r="K14" s="50" t="s">
        <v>66</v>
      </c>
      <c r="L14" s="50" t="s">
        <v>67</v>
      </c>
      <c r="M14" s="50" t="s">
        <v>68</v>
      </c>
      <c r="N14" s="50" t="s">
        <v>69</v>
      </c>
      <c r="O14" s="50" t="s">
        <v>70</v>
      </c>
      <c r="P14" s="50" t="s">
        <v>71</v>
      </c>
      <c r="Q14" s="50" t="s">
        <v>72</v>
      </c>
      <c r="R14" s="50" t="s">
        <v>73</v>
      </c>
      <c r="S14" s="87" t="s">
        <v>97</v>
      </c>
      <c r="T14" s="87"/>
      <c r="U14" s="87"/>
    </row>
    <row r="15" spans="2:47" ht="18.75">
      <c r="B15" s="79" t="s">
        <v>6</v>
      </c>
      <c r="C15" s="79" t="s">
        <v>8</v>
      </c>
      <c r="D15" s="79" t="s">
        <v>37</v>
      </c>
      <c r="E15" s="79" t="s">
        <v>0</v>
      </c>
      <c r="F15" s="79" t="s">
        <v>7</v>
      </c>
      <c r="G15" s="75" t="s">
        <v>1</v>
      </c>
      <c r="H15" s="76"/>
      <c r="I15" s="88" t="s">
        <v>27</v>
      </c>
      <c r="J15" s="89"/>
      <c r="K15" s="90" t="s">
        <v>2</v>
      </c>
      <c r="L15" s="91"/>
      <c r="M15" s="91"/>
      <c r="N15" s="91"/>
      <c r="O15" s="91"/>
      <c r="P15" s="91"/>
      <c r="Q15" s="91"/>
      <c r="R15" s="91"/>
      <c r="S15" s="92"/>
      <c r="T15" s="90"/>
      <c r="U15" s="92"/>
    </row>
    <row r="16" spans="2:47" ht="17.45" customHeight="1">
      <c r="B16" s="80"/>
      <c r="C16" s="80"/>
      <c r="D16" s="80"/>
      <c r="E16" s="80"/>
      <c r="F16" s="80"/>
      <c r="G16" s="77"/>
      <c r="H16" s="78"/>
      <c r="I16" s="21" t="s">
        <v>26</v>
      </c>
      <c r="J16" s="21" t="s">
        <v>27</v>
      </c>
      <c r="K16" s="22" t="s">
        <v>4</v>
      </c>
      <c r="L16" s="22" t="s">
        <v>5</v>
      </c>
      <c r="M16" s="22" t="s">
        <v>19</v>
      </c>
      <c r="N16" s="22" t="s">
        <v>69</v>
      </c>
      <c r="O16" s="22" t="s">
        <v>21</v>
      </c>
      <c r="P16" s="22" t="s">
        <v>22</v>
      </c>
      <c r="Q16" s="22" t="s">
        <v>23</v>
      </c>
      <c r="R16" s="22" t="s">
        <v>20</v>
      </c>
      <c r="S16" s="22" t="s">
        <v>24</v>
      </c>
      <c r="T16" s="22" t="s">
        <v>25</v>
      </c>
      <c r="U16" s="23" t="s">
        <v>3</v>
      </c>
      <c r="W16" s="4"/>
      <c r="X16" s="4"/>
      <c r="Y16" s="4"/>
    </row>
    <row r="17" spans="2:26" ht="18.75" hidden="1">
      <c r="B17" s="81">
        <v>46082</v>
      </c>
      <c r="C17" s="59" t="s">
        <v>14</v>
      </c>
      <c r="D17" s="51"/>
      <c r="E17" s="62" t="s">
        <v>101</v>
      </c>
      <c r="F17" s="5">
        <v>0.41666666666666669</v>
      </c>
      <c r="G17" s="65"/>
      <c r="H17" s="66"/>
      <c r="I17" s="34"/>
      <c r="J17" s="6" t="str">
        <f>IFERROR(S17/I17,"")</f>
        <v/>
      </c>
      <c r="K17" s="38"/>
      <c r="L17" s="38"/>
      <c r="M17" s="38"/>
      <c r="N17" s="38"/>
      <c r="O17" s="38"/>
      <c r="P17" s="38"/>
      <c r="Q17" s="38"/>
      <c r="R17" s="38"/>
      <c r="S17" s="7">
        <f>SUM(K17:R17)</f>
        <v>0</v>
      </c>
      <c r="T17" s="7">
        <v>100000</v>
      </c>
      <c r="U17" s="7">
        <f>T17*S17</f>
        <v>0</v>
      </c>
      <c r="V17" s="4"/>
      <c r="W17" s="4"/>
      <c r="X17" s="4" t="s">
        <v>14</v>
      </c>
      <c r="Y17" s="4"/>
    </row>
    <row r="18" spans="2:26" ht="16.5" hidden="1" customHeight="1">
      <c r="B18" s="82"/>
      <c r="C18" s="60"/>
      <c r="D18" s="52"/>
      <c r="E18" s="63"/>
      <c r="F18" s="8">
        <v>0.5</v>
      </c>
      <c r="G18" s="67"/>
      <c r="H18" s="68"/>
      <c r="I18" s="35"/>
      <c r="J18" s="9" t="str">
        <f>IFERROR(S18/I18,"")</f>
        <v/>
      </c>
      <c r="K18" s="39"/>
      <c r="L18" s="39"/>
      <c r="M18" s="39"/>
      <c r="N18" s="39"/>
      <c r="O18" s="39"/>
      <c r="P18" s="39"/>
      <c r="Q18" s="39"/>
      <c r="R18" s="39"/>
      <c r="S18" s="10">
        <f t="shared" ref="S18:S28" si="0">SUM(K18:R18)</f>
        <v>0</v>
      </c>
      <c r="T18" s="10">
        <v>100000</v>
      </c>
      <c r="U18" s="10">
        <f t="shared" ref="U18:U28" si="1">T18*S18</f>
        <v>0</v>
      </c>
      <c r="V18" s="4"/>
      <c r="W18" s="4"/>
      <c r="X18" s="4" t="s">
        <v>15</v>
      </c>
      <c r="Y18" s="4"/>
    </row>
    <row r="19" spans="2:26" ht="16.5" hidden="1" customHeight="1">
      <c r="B19" s="82"/>
      <c r="C19" s="60"/>
      <c r="D19" s="52"/>
      <c r="E19" s="63"/>
      <c r="F19" s="8">
        <v>0.58333333333333337</v>
      </c>
      <c r="G19" s="67"/>
      <c r="H19" s="68"/>
      <c r="I19" s="35"/>
      <c r="J19" s="9" t="str">
        <f t="shared" ref="J19:J82" si="2">IFERROR(S19/I19,"")</f>
        <v/>
      </c>
      <c r="K19" s="39"/>
      <c r="L19" s="39"/>
      <c r="M19" s="39"/>
      <c r="N19" s="39"/>
      <c r="O19" s="39"/>
      <c r="P19" s="39"/>
      <c r="Q19" s="39"/>
      <c r="R19" s="39"/>
      <c r="S19" s="10">
        <f t="shared" si="0"/>
        <v>0</v>
      </c>
      <c r="T19" s="10">
        <v>100000</v>
      </c>
      <c r="U19" s="10">
        <f t="shared" si="1"/>
        <v>0</v>
      </c>
      <c r="V19" s="4"/>
      <c r="W19" s="4"/>
      <c r="X19" s="4" t="s">
        <v>16</v>
      </c>
      <c r="Y19" s="4"/>
    </row>
    <row r="20" spans="2:26" ht="16.5" hidden="1" customHeight="1">
      <c r="B20" s="82"/>
      <c r="C20" s="60"/>
      <c r="D20" s="52"/>
      <c r="E20" s="63"/>
      <c r="F20" s="8">
        <v>0.66666666666666663</v>
      </c>
      <c r="G20" s="67"/>
      <c r="H20" s="68"/>
      <c r="I20" s="35"/>
      <c r="J20" s="9" t="str">
        <f t="shared" si="2"/>
        <v/>
      </c>
      <c r="K20" s="39"/>
      <c r="L20" s="39"/>
      <c r="M20" s="39"/>
      <c r="N20" s="39"/>
      <c r="O20" s="39"/>
      <c r="P20" s="39"/>
      <c r="Q20" s="39"/>
      <c r="R20" s="39"/>
      <c r="S20" s="10">
        <f t="shared" si="0"/>
        <v>0</v>
      </c>
      <c r="T20" s="10">
        <v>100000</v>
      </c>
      <c r="U20" s="10">
        <f>T20*S20</f>
        <v>0</v>
      </c>
      <c r="V20" s="4"/>
      <c r="W20" s="4"/>
      <c r="X20" s="4" t="s">
        <v>17</v>
      </c>
      <c r="Y20" s="4"/>
      <c r="Z20" s="28" t="s">
        <v>61</v>
      </c>
    </row>
    <row r="21" spans="2:26" ht="18.600000000000001" hidden="1" customHeight="1">
      <c r="B21" s="82"/>
      <c r="C21" s="60"/>
      <c r="D21" s="52"/>
      <c r="E21" s="63"/>
      <c r="F21" s="8">
        <v>0.75</v>
      </c>
      <c r="G21" s="67"/>
      <c r="H21" s="68"/>
      <c r="I21" s="35"/>
      <c r="J21" s="9" t="str">
        <f t="shared" si="2"/>
        <v/>
      </c>
      <c r="K21" s="39"/>
      <c r="L21" s="39"/>
      <c r="M21" s="39"/>
      <c r="N21" s="39"/>
      <c r="O21" s="39"/>
      <c r="P21" s="39"/>
      <c r="Q21" s="39"/>
      <c r="R21" s="39"/>
      <c r="S21" s="10">
        <f t="shared" si="0"/>
        <v>0</v>
      </c>
      <c r="T21" s="10">
        <v>100000</v>
      </c>
      <c r="U21" s="10">
        <f t="shared" si="1"/>
        <v>0</v>
      </c>
      <c r="V21" s="4"/>
      <c r="W21" s="4"/>
      <c r="X21" s="11" t="s">
        <v>18</v>
      </c>
      <c r="Y21" s="4"/>
      <c r="Z21" s="43"/>
    </row>
    <row r="22" spans="2:26" ht="18.600000000000001" hidden="1" customHeight="1">
      <c r="B22" s="82"/>
      <c r="C22" s="60"/>
      <c r="D22" s="53"/>
      <c r="E22" s="64"/>
      <c r="F22" s="12">
        <v>0.83333333333333337</v>
      </c>
      <c r="G22" s="99"/>
      <c r="H22" s="100"/>
      <c r="I22" s="35"/>
      <c r="J22" s="9" t="str">
        <f t="shared" si="2"/>
        <v/>
      </c>
      <c r="K22" s="40"/>
      <c r="L22" s="40"/>
      <c r="M22" s="40"/>
      <c r="N22" s="40"/>
      <c r="O22" s="40"/>
      <c r="P22" s="40"/>
      <c r="Q22" s="40"/>
      <c r="R22" s="40"/>
      <c r="S22" s="16">
        <f t="shared" si="0"/>
        <v>0</v>
      </c>
      <c r="T22" s="16">
        <v>100000</v>
      </c>
      <c r="U22" s="16">
        <f t="shared" si="1"/>
        <v>0</v>
      </c>
      <c r="V22" s="4"/>
      <c r="X22" s="54" t="s">
        <v>101</v>
      </c>
      <c r="Z22" s="44" t="s">
        <v>46</v>
      </c>
    </row>
    <row r="23" spans="2:26" ht="18.600000000000001" hidden="1" customHeight="1">
      <c r="B23" s="82"/>
      <c r="C23" s="60"/>
      <c r="D23" s="51"/>
      <c r="E23" s="62" t="s">
        <v>102</v>
      </c>
      <c r="F23" s="5">
        <v>0.91666666666666663</v>
      </c>
      <c r="G23" s="65"/>
      <c r="H23" s="66"/>
      <c r="I23" s="34"/>
      <c r="J23" s="6" t="str">
        <f t="shared" si="2"/>
        <v/>
      </c>
      <c r="K23" s="38"/>
      <c r="L23" s="38"/>
      <c r="M23" s="38"/>
      <c r="N23" s="38"/>
      <c r="O23" s="38"/>
      <c r="P23" s="38"/>
      <c r="Q23" s="38"/>
      <c r="R23" s="38"/>
      <c r="S23" s="7">
        <f t="shared" si="0"/>
        <v>0</v>
      </c>
      <c r="T23" s="7">
        <v>100000</v>
      </c>
      <c r="U23" s="7">
        <f t="shared" si="1"/>
        <v>0</v>
      </c>
      <c r="V23" s="4"/>
      <c r="X23" s="54" t="s">
        <v>102</v>
      </c>
      <c r="Z23" s="44" t="s">
        <v>45</v>
      </c>
    </row>
    <row r="24" spans="2:26" ht="18.75" hidden="1">
      <c r="B24" s="82"/>
      <c r="C24" s="60"/>
      <c r="D24" s="52"/>
      <c r="E24" s="63"/>
      <c r="F24" s="8">
        <v>1</v>
      </c>
      <c r="G24" s="67"/>
      <c r="H24" s="68"/>
      <c r="I24" s="35"/>
      <c r="J24" s="9" t="str">
        <f t="shared" si="2"/>
        <v/>
      </c>
      <c r="K24" s="39"/>
      <c r="L24" s="39"/>
      <c r="M24" s="39"/>
      <c r="N24" s="39"/>
      <c r="O24" s="39"/>
      <c r="P24" s="39"/>
      <c r="Q24" s="39"/>
      <c r="R24" s="39"/>
      <c r="S24" s="10">
        <f t="shared" si="0"/>
        <v>0</v>
      </c>
      <c r="T24" s="10">
        <v>100000</v>
      </c>
      <c r="U24" s="10">
        <f t="shared" si="1"/>
        <v>0</v>
      </c>
      <c r="V24" s="4"/>
      <c r="Y24" s="4"/>
      <c r="Z24" s="44" t="s">
        <v>44</v>
      </c>
    </row>
    <row r="25" spans="2:26" ht="18.75" hidden="1">
      <c r="B25" s="82"/>
      <c r="C25" s="60"/>
      <c r="D25" s="52"/>
      <c r="E25" s="63"/>
      <c r="F25" s="8">
        <v>8.3333333333333329E-2</v>
      </c>
      <c r="G25" s="67"/>
      <c r="H25" s="68"/>
      <c r="I25" s="35"/>
      <c r="J25" s="9" t="str">
        <f t="shared" si="2"/>
        <v/>
      </c>
      <c r="K25" s="39"/>
      <c r="L25" s="39"/>
      <c r="M25" s="39"/>
      <c r="N25" s="39"/>
      <c r="O25" s="39"/>
      <c r="P25" s="39"/>
      <c r="Q25" s="39"/>
      <c r="R25" s="39"/>
      <c r="S25" s="10">
        <f t="shared" si="0"/>
        <v>0</v>
      </c>
      <c r="T25" s="10">
        <v>100000</v>
      </c>
      <c r="U25" s="10">
        <f t="shared" si="1"/>
        <v>0</v>
      </c>
      <c r="Y25" s="4"/>
      <c r="Z25" s="44" t="s">
        <v>47</v>
      </c>
    </row>
    <row r="26" spans="2:26" ht="18.75" hidden="1">
      <c r="B26" s="82"/>
      <c r="C26" s="60"/>
      <c r="D26" s="52"/>
      <c r="E26" s="63"/>
      <c r="F26" s="8">
        <v>0.16666666666666666</v>
      </c>
      <c r="G26" s="67"/>
      <c r="H26" s="68"/>
      <c r="I26" s="35"/>
      <c r="J26" s="9" t="str">
        <f t="shared" si="2"/>
        <v/>
      </c>
      <c r="K26" s="39"/>
      <c r="L26" s="39"/>
      <c r="M26" s="39"/>
      <c r="N26" s="39"/>
      <c r="O26" s="39"/>
      <c r="P26" s="39"/>
      <c r="Q26" s="39"/>
      <c r="R26" s="39"/>
      <c r="S26" s="10">
        <f t="shared" si="0"/>
        <v>0</v>
      </c>
      <c r="T26" s="10">
        <v>100000</v>
      </c>
      <c r="U26" s="10">
        <f t="shared" si="1"/>
        <v>0</v>
      </c>
      <c r="V26" s="4"/>
      <c r="X26" s="4"/>
      <c r="Y26" s="4"/>
      <c r="Z26" s="44" t="s">
        <v>48</v>
      </c>
    </row>
    <row r="27" spans="2:26" ht="18.75" hidden="1">
      <c r="B27" s="82"/>
      <c r="C27" s="60"/>
      <c r="D27" s="52"/>
      <c r="E27" s="63"/>
      <c r="F27" s="8">
        <v>0.25</v>
      </c>
      <c r="G27" s="67"/>
      <c r="H27" s="68"/>
      <c r="I27" s="35"/>
      <c r="J27" s="9" t="str">
        <f t="shared" si="2"/>
        <v/>
      </c>
      <c r="K27" s="39"/>
      <c r="L27" s="39"/>
      <c r="M27" s="39"/>
      <c r="N27" s="39"/>
      <c r="O27" s="39"/>
      <c r="P27" s="39"/>
      <c r="Q27" s="39"/>
      <c r="R27" s="39"/>
      <c r="S27" s="10">
        <f t="shared" si="0"/>
        <v>0</v>
      </c>
      <c r="T27" s="10">
        <v>100000</v>
      </c>
      <c r="U27" s="10">
        <f t="shared" si="1"/>
        <v>0</v>
      </c>
      <c r="V27" s="4"/>
      <c r="Y27" s="4"/>
      <c r="Z27" s="44" t="s">
        <v>49</v>
      </c>
    </row>
    <row r="28" spans="2:26" ht="18.75" hidden="1">
      <c r="B28" s="82"/>
      <c r="C28" s="60"/>
      <c r="D28" s="53"/>
      <c r="E28" s="64"/>
      <c r="F28" s="12">
        <v>0.33333333333333331</v>
      </c>
      <c r="G28" s="67"/>
      <c r="H28" s="68"/>
      <c r="I28" s="36"/>
      <c r="J28" s="9" t="str">
        <f t="shared" si="2"/>
        <v/>
      </c>
      <c r="K28" s="41"/>
      <c r="L28" s="41"/>
      <c r="M28" s="41"/>
      <c r="N28" s="41"/>
      <c r="O28" s="41"/>
      <c r="P28" s="41"/>
      <c r="Q28" s="41"/>
      <c r="R28" s="41"/>
      <c r="S28" s="13">
        <f t="shared" si="0"/>
        <v>0</v>
      </c>
      <c r="T28" s="13">
        <v>100000</v>
      </c>
      <c r="U28" s="13">
        <f t="shared" si="1"/>
        <v>0</v>
      </c>
      <c r="V28" s="4"/>
      <c r="W28" s="4"/>
      <c r="X28" s="4"/>
      <c r="Y28" s="4"/>
      <c r="Z28" s="44" t="s">
        <v>50</v>
      </c>
    </row>
    <row r="29" spans="2:26" ht="18.600000000000001" hidden="1" customHeight="1">
      <c r="B29" s="81">
        <v>46083</v>
      </c>
      <c r="C29" s="59" t="s">
        <v>14</v>
      </c>
      <c r="D29" s="51" t="s">
        <v>99</v>
      </c>
      <c r="E29" s="62" t="s">
        <v>101</v>
      </c>
      <c r="F29" s="5">
        <v>0.41666666666666669</v>
      </c>
      <c r="G29" s="65" t="s">
        <v>75</v>
      </c>
      <c r="H29" s="66"/>
      <c r="I29" s="34">
        <v>25</v>
      </c>
      <c r="J29" s="6">
        <f t="shared" si="2"/>
        <v>1.1599999999999999</v>
      </c>
      <c r="K29" s="38">
        <v>4</v>
      </c>
      <c r="L29" s="38"/>
      <c r="M29" s="38"/>
      <c r="N29" s="38"/>
      <c r="O29" s="38"/>
      <c r="P29" s="38"/>
      <c r="Q29" s="38">
        <v>20</v>
      </c>
      <c r="R29" s="38">
        <v>5</v>
      </c>
      <c r="S29" s="7">
        <f>SUM(K29:R29)</f>
        <v>29</v>
      </c>
      <c r="T29" s="7">
        <v>100000</v>
      </c>
      <c r="U29" s="7">
        <f>T29*S29</f>
        <v>2900000</v>
      </c>
      <c r="V29" s="4"/>
      <c r="W29" s="4"/>
      <c r="X29" s="4"/>
      <c r="Y29" s="4"/>
      <c r="Z29" s="44" t="s">
        <v>51</v>
      </c>
    </row>
    <row r="30" spans="2:26" ht="18.75" hidden="1">
      <c r="B30" s="82"/>
      <c r="C30" s="60"/>
      <c r="D30" s="52" t="s">
        <v>99</v>
      </c>
      <c r="E30" s="63"/>
      <c r="F30" s="8">
        <v>0.5</v>
      </c>
      <c r="G30" s="67" t="s">
        <v>75</v>
      </c>
      <c r="H30" s="68"/>
      <c r="I30" s="35">
        <v>30</v>
      </c>
      <c r="J30" s="9">
        <f t="shared" si="2"/>
        <v>6.6666666666666666E-2</v>
      </c>
      <c r="K30" s="39"/>
      <c r="L30" s="39"/>
      <c r="M30" s="39">
        <v>2</v>
      </c>
      <c r="N30" s="39"/>
      <c r="O30" s="39"/>
      <c r="P30" s="39"/>
      <c r="Q30" s="39"/>
      <c r="R30" s="39"/>
      <c r="S30" s="10">
        <f t="shared" ref="S30:S40" si="3">SUM(K30:R30)</f>
        <v>2</v>
      </c>
      <c r="T30" s="10">
        <v>100000</v>
      </c>
      <c r="U30" s="10">
        <f t="shared" ref="U30:U31" si="4">T30*S30</f>
        <v>200000</v>
      </c>
      <c r="V30" s="4"/>
      <c r="W30" s="4"/>
      <c r="X30" s="4"/>
      <c r="Y30" s="4"/>
      <c r="Z30" s="44" t="s">
        <v>52</v>
      </c>
    </row>
    <row r="31" spans="2:26" ht="18.75" hidden="1">
      <c r="B31" s="82"/>
      <c r="C31" s="60"/>
      <c r="D31" s="52" t="s">
        <v>99</v>
      </c>
      <c r="E31" s="63"/>
      <c r="F31" s="8">
        <v>0.58333333333333337</v>
      </c>
      <c r="G31" s="67" t="s">
        <v>75</v>
      </c>
      <c r="H31" s="68"/>
      <c r="I31" s="35">
        <v>50</v>
      </c>
      <c r="J31" s="9">
        <f t="shared" si="2"/>
        <v>0.2</v>
      </c>
      <c r="K31" s="39"/>
      <c r="L31" s="39"/>
      <c r="M31" s="39">
        <v>10</v>
      </c>
      <c r="N31" s="39"/>
      <c r="O31" s="39"/>
      <c r="P31" s="39"/>
      <c r="Q31" s="39"/>
      <c r="R31" s="39"/>
      <c r="S31" s="10">
        <f t="shared" si="3"/>
        <v>10</v>
      </c>
      <c r="T31" s="10">
        <v>100000</v>
      </c>
      <c r="U31" s="10">
        <f t="shared" si="4"/>
        <v>1000000</v>
      </c>
      <c r="V31" s="4"/>
      <c r="W31" s="4"/>
      <c r="X31" s="4"/>
      <c r="Y31" s="4"/>
      <c r="Z31" s="44" t="s">
        <v>53</v>
      </c>
    </row>
    <row r="32" spans="2:26" ht="18.75" hidden="1">
      <c r="B32" s="82"/>
      <c r="C32" s="60"/>
      <c r="D32" s="52" t="s">
        <v>99</v>
      </c>
      <c r="E32" s="63"/>
      <c r="F32" s="8">
        <v>0.66666666666666663</v>
      </c>
      <c r="G32" s="67" t="s">
        <v>75</v>
      </c>
      <c r="H32" s="68"/>
      <c r="I32" s="35">
        <v>60</v>
      </c>
      <c r="J32" s="9">
        <f t="shared" si="2"/>
        <v>0</v>
      </c>
      <c r="K32" s="39"/>
      <c r="L32" s="39"/>
      <c r="M32" s="39"/>
      <c r="N32" s="39"/>
      <c r="O32" s="39"/>
      <c r="P32" s="39"/>
      <c r="Q32" s="39"/>
      <c r="R32" s="39"/>
      <c r="S32" s="10">
        <f t="shared" si="3"/>
        <v>0</v>
      </c>
      <c r="T32" s="10">
        <v>100000</v>
      </c>
      <c r="U32" s="10">
        <f>T32*S32</f>
        <v>0</v>
      </c>
      <c r="V32" s="4"/>
      <c r="W32" s="4"/>
      <c r="X32" s="4"/>
      <c r="Y32" s="4"/>
      <c r="Z32" s="44" t="s">
        <v>54</v>
      </c>
    </row>
    <row r="33" spans="2:26" ht="18.75" hidden="1">
      <c r="B33" s="82"/>
      <c r="C33" s="60"/>
      <c r="D33" s="52" t="s">
        <v>99</v>
      </c>
      <c r="E33" s="63"/>
      <c r="F33" s="8">
        <v>0.75</v>
      </c>
      <c r="G33" s="67" t="s">
        <v>75</v>
      </c>
      <c r="H33" s="68"/>
      <c r="I33" s="35">
        <v>45</v>
      </c>
      <c r="J33" s="9">
        <f t="shared" si="2"/>
        <v>4.4444444444444446E-2</v>
      </c>
      <c r="K33" s="39"/>
      <c r="L33" s="39"/>
      <c r="M33" s="39">
        <v>2</v>
      </c>
      <c r="N33" s="39"/>
      <c r="O33" s="39"/>
      <c r="P33" s="39"/>
      <c r="Q33" s="39"/>
      <c r="R33" s="39"/>
      <c r="S33" s="10">
        <f t="shared" si="3"/>
        <v>2</v>
      </c>
      <c r="T33" s="10">
        <v>100000</v>
      </c>
      <c r="U33" s="10">
        <f t="shared" ref="U33:U40" si="5">T33*S33</f>
        <v>200000</v>
      </c>
      <c r="V33" s="4"/>
      <c r="W33" s="4"/>
      <c r="X33" s="11"/>
      <c r="Y33" s="4"/>
      <c r="Z33" s="44" t="s">
        <v>40</v>
      </c>
    </row>
    <row r="34" spans="2:26" ht="18.75" hidden="1">
      <c r="B34" s="82"/>
      <c r="C34" s="60"/>
      <c r="D34" s="53" t="s">
        <v>99</v>
      </c>
      <c r="E34" s="64"/>
      <c r="F34" s="12">
        <v>0.83333333333333337</v>
      </c>
      <c r="G34" s="67" t="s">
        <v>75</v>
      </c>
      <c r="H34" s="68"/>
      <c r="I34" s="36">
        <v>50</v>
      </c>
      <c r="J34" s="9">
        <f t="shared" si="2"/>
        <v>0</v>
      </c>
      <c r="K34" s="41"/>
      <c r="L34" s="41"/>
      <c r="M34" s="41"/>
      <c r="N34" s="41"/>
      <c r="O34" s="41"/>
      <c r="P34" s="41"/>
      <c r="Q34" s="41"/>
      <c r="R34" s="41"/>
      <c r="S34" s="13">
        <f t="shared" si="3"/>
        <v>0</v>
      </c>
      <c r="T34" s="13">
        <v>100000</v>
      </c>
      <c r="U34" s="13">
        <f t="shared" si="5"/>
        <v>0</v>
      </c>
      <c r="V34" s="4"/>
      <c r="Y34" s="4"/>
      <c r="Z34" s="44" t="s">
        <v>41</v>
      </c>
    </row>
    <row r="35" spans="2:26" ht="18.75" hidden="1">
      <c r="B35" s="82"/>
      <c r="C35" s="60"/>
      <c r="D35" s="51" t="s">
        <v>99</v>
      </c>
      <c r="E35" s="62" t="s">
        <v>102</v>
      </c>
      <c r="F35" s="5">
        <v>0.91666666666666663</v>
      </c>
      <c r="G35" s="65" t="s">
        <v>87</v>
      </c>
      <c r="H35" s="66"/>
      <c r="I35" s="34">
        <v>50</v>
      </c>
      <c r="J35" s="6">
        <f t="shared" si="2"/>
        <v>0.2</v>
      </c>
      <c r="K35" s="38"/>
      <c r="L35" s="38"/>
      <c r="M35" s="38">
        <v>4</v>
      </c>
      <c r="N35" s="38">
        <v>1</v>
      </c>
      <c r="O35" s="38"/>
      <c r="P35" s="38"/>
      <c r="Q35" s="38"/>
      <c r="R35" s="38">
        <v>5</v>
      </c>
      <c r="S35" s="7">
        <f t="shared" si="3"/>
        <v>10</v>
      </c>
      <c r="T35" s="7">
        <v>100000</v>
      </c>
      <c r="U35" s="7">
        <f t="shared" si="5"/>
        <v>1000000</v>
      </c>
      <c r="V35" s="4"/>
      <c r="Y35" s="4"/>
      <c r="Z35" s="44" t="s">
        <v>55</v>
      </c>
    </row>
    <row r="36" spans="2:26" ht="18.75" hidden="1">
      <c r="B36" s="82"/>
      <c r="C36" s="60"/>
      <c r="D36" s="52" t="s">
        <v>99</v>
      </c>
      <c r="E36" s="63"/>
      <c r="F36" s="8">
        <v>1</v>
      </c>
      <c r="G36" s="67" t="s">
        <v>87</v>
      </c>
      <c r="H36" s="68"/>
      <c r="I36" s="35">
        <v>60</v>
      </c>
      <c r="J36" s="9">
        <f t="shared" si="2"/>
        <v>0</v>
      </c>
      <c r="K36" s="39"/>
      <c r="L36" s="39"/>
      <c r="M36" s="39"/>
      <c r="N36" s="39"/>
      <c r="O36" s="39"/>
      <c r="P36" s="39"/>
      <c r="Q36" s="39"/>
      <c r="R36" s="39"/>
      <c r="S36" s="10">
        <f t="shared" si="3"/>
        <v>0</v>
      </c>
      <c r="T36" s="10">
        <v>100000</v>
      </c>
      <c r="U36" s="10">
        <f t="shared" si="5"/>
        <v>0</v>
      </c>
      <c r="V36" s="4"/>
      <c r="Y36" s="4"/>
      <c r="Z36" s="44" t="s">
        <v>56</v>
      </c>
    </row>
    <row r="37" spans="2:26" ht="18.75" hidden="1">
      <c r="B37" s="82"/>
      <c r="C37" s="60"/>
      <c r="D37" s="52" t="s">
        <v>99</v>
      </c>
      <c r="E37" s="63"/>
      <c r="F37" s="8">
        <v>8.3333333333333329E-2</v>
      </c>
      <c r="G37" s="67" t="s">
        <v>87</v>
      </c>
      <c r="H37" s="68"/>
      <c r="I37" s="35">
        <v>60</v>
      </c>
      <c r="J37" s="9">
        <f t="shared" si="2"/>
        <v>0</v>
      </c>
      <c r="K37" s="39"/>
      <c r="L37" s="39"/>
      <c r="M37" s="39"/>
      <c r="N37" s="39"/>
      <c r="O37" s="39"/>
      <c r="P37" s="39"/>
      <c r="Q37" s="39"/>
      <c r="R37" s="39"/>
      <c r="S37" s="10">
        <f t="shared" si="3"/>
        <v>0</v>
      </c>
      <c r="T37" s="10">
        <v>100000</v>
      </c>
      <c r="U37" s="10">
        <f t="shared" si="5"/>
        <v>0</v>
      </c>
      <c r="V37" s="4"/>
      <c r="Y37" s="4"/>
      <c r="Z37" s="44" t="s">
        <v>38</v>
      </c>
    </row>
    <row r="38" spans="2:26" ht="18.75" hidden="1">
      <c r="B38" s="82"/>
      <c r="C38" s="60"/>
      <c r="D38" s="52" t="s">
        <v>99</v>
      </c>
      <c r="E38" s="63"/>
      <c r="F38" s="8">
        <v>0.16666666666666666</v>
      </c>
      <c r="G38" s="67" t="s">
        <v>87</v>
      </c>
      <c r="H38" s="68"/>
      <c r="I38" s="35">
        <v>60</v>
      </c>
      <c r="J38" s="9">
        <f t="shared" si="2"/>
        <v>0</v>
      </c>
      <c r="K38" s="39"/>
      <c r="L38" s="39"/>
      <c r="M38" s="39"/>
      <c r="N38" s="39"/>
      <c r="O38" s="39"/>
      <c r="P38" s="39"/>
      <c r="Q38" s="39"/>
      <c r="R38" s="39"/>
      <c r="S38" s="10">
        <f t="shared" si="3"/>
        <v>0</v>
      </c>
      <c r="T38" s="10">
        <v>100000</v>
      </c>
      <c r="U38" s="10">
        <f t="shared" si="5"/>
        <v>0</v>
      </c>
      <c r="V38" s="4"/>
      <c r="W38" s="4"/>
      <c r="X38" s="4"/>
      <c r="Y38" s="4"/>
      <c r="Z38" s="44" t="s">
        <v>39</v>
      </c>
    </row>
    <row r="39" spans="2:26" ht="18.75" hidden="1">
      <c r="B39" s="82"/>
      <c r="C39" s="60"/>
      <c r="D39" s="52" t="s">
        <v>99</v>
      </c>
      <c r="E39" s="63"/>
      <c r="F39" s="8">
        <v>0.25</v>
      </c>
      <c r="G39" s="67" t="s">
        <v>87</v>
      </c>
      <c r="H39" s="68"/>
      <c r="I39" s="35">
        <v>60</v>
      </c>
      <c r="J39" s="9">
        <f t="shared" si="2"/>
        <v>0</v>
      </c>
      <c r="K39" s="39"/>
      <c r="L39" s="39"/>
      <c r="M39" s="39"/>
      <c r="N39" s="39"/>
      <c r="O39" s="39"/>
      <c r="P39" s="39"/>
      <c r="Q39" s="39"/>
      <c r="R39" s="39"/>
      <c r="S39" s="10">
        <f t="shared" si="3"/>
        <v>0</v>
      </c>
      <c r="T39" s="10">
        <v>100000</v>
      </c>
      <c r="U39" s="10">
        <f t="shared" si="5"/>
        <v>0</v>
      </c>
      <c r="V39" s="4"/>
      <c r="Y39" s="4"/>
      <c r="Z39" s="44" t="s">
        <v>57</v>
      </c>
    </row>
    <row r="40" spans="2:26" ht="18.75" hidden="1">
      <c r="B40" s="83"/>
      <c r="C40" s="61"/>
      <c r="D40" s="53" t="s">
        <v>99</v>
      </c>
      <c r="E40" s="64"/>
      <c r="F40" s="12">
        <v>0.33333333333333331</v>
      </c>
      <c r="G40" s="67" t="s">
        <v>87</v>
      </c>
      <c r="H40" s="68"/>
      <c r="I40" s="36">
        <v>60</v>
      </c>
      <c r="J40" s="9">
        <f t="shared" si="2"/>
        <v>0</v>
      </c>
      <c r="K40" s="41"/>
      <c r="L40" s="41"/>
      <c r="M40" s="41"/>
      <c r="N40" s="41"/>
      <c r="O40" s="41"/>
      <c r="P40" s="41"/>
      <c r="Q40" s="41"/>
      <c r="R40" s="41"/>
      <c r="S40" s="13">
        <f t="shared" si="3"/>
        <v>0</v>
      </c>
      <c r="T40" s="13">
        <v>100000</v>
      </c>
      <c r="U40" s="13">
        <f t="shared" si="5"/>
        <v>0</v>
      </c>
      <c r="V40" s="4"/>
      <c r="W40" s="4"/>
      <c r="X40" s="4"/>
      <c r="Y40" s="4"/>
      <c r="Z40" s="44" t="s">
        <v>58</v>
      </c>
    </row>
    <row r="41" spans="2:26" ht="18.600000000000001" hidden="1" customHeight="1">
      <c r="B41" s="82">
        <v>46084</v>
      </c>
      <c r="C41" s="59" t="s">
        <v>14</v>
      </c>
      <c r="D41" s="51" t="s">
        <v>99</v>
      </c>
      <c r="E41" s="62" t="s">
        <v>101</v>
      </c>
      <c r="F41" s="5">
        <v>0.41666666666666669</v>
      </c>
      <c r="G41" s="65" t="s">
        <v>75</v>
      </c>
      <c r="H41" s="66"/>
      <c r="I41" s="34">
        <v>60</v>
      </c>
      <c r="J41" s="6">
        <f t="shared" si="2"/>
        <v>3.3333333333333333E-2</v>
      </c>
      <c r="K41" s="38"/>
      <c r="L41" s="38"/>
      <c r="M41" s="38">
        <v>2</v>
      </c>
      <c r="N41" s="38"/>
      <c r="O41" s="38"/>
      <c r="P41" s="38"/>
      <c r="Q41" s="38"/>
      <c r="R41" s="38"/>
      <c r="S41" s="7">
        <f>SUM(K41:R41)</f>
        <v>2</v>
      </c>
      <c r="T41" s="7">
        <v>100000</v>
      </c>
      <c r="U41" s="7">
        <f>T41*S41</f>
        <v>200000</v>
      </c>
      <c r="V41" s="4"/>
      <c r="W41" s="4"/>
      <c r="X41" s="4"/>
      <c r="Y41" s="4"/>
      <c r="Z41" s="44" t="s">
        <v>59</v>
      </c>
    </row>
    <row r="42" spans="2:26" ht="18.75" hidden="1">
      <c r="B42" s="82"/>
      <c r="C42" s="60"/>
      <c r="D42" s="52" t="s">
        <v>99</v>
      </c>
      <c r="E42" s="63"/>
      <c r="F42" s="8">
        <v>0.5</v>
      </c>
      <c r="G42" s="67" t="s">
        <v>75</v>
      </c>
      <c r="H42" s="68"/>
      <c r="I42" s="35">
        <v>60</v>
      </c>
      <c r="J42" s="9">
        <f t="shared" si="2"/>
        <v>8.3333333333333329E-2</v>
      </c>
      <c r="K42" s="39"/>
      <c r="L42" s="39"/>
      <c r="M42" s="39">
        <v>5</v>
      </c>
      <c r="N42" s="39"/>
      <c r="O42" s="39"/>
      <c r="P42" s="39"/>
      <c r="Q42" s="39"/>
      <c r="R42" s="39"/>
      <c r="S42" s="10">
        <f t="shared" ref="S42:S52" si="6">SUM(K42:R42)</f>
        <v>5</v>
      </c>
      <c r="T42" s="10">
        <v>100000</v>
      </c>
      <c r="U42" s="10">
        <f t="shared" ref="U42:U43" si="7">T42*S42</f>
        <v>500000</v>
      </c>
      <c r="V42" s="4"/>
      <c r="W42" s="4"/>
      <c r="X42" s="4"/>
      <c r="Y42" s="4"/>
      <c r="Z42" s="44" t="s">
        <v>60</v>
      </c>
    </row>
    <row r="43" spans="2:26" ht="18.75" hidden="1">
      <c r="B43" s="82"/>
      <c r="C43" s="60"/>
      <c r="D43" s="52" t="s">
        <v>99</v>
      </c>
      <c r="E43" s="63"/>
      <c r="F43" s="8">
        <v>0.58333333333333337</v>
      </c>
      <c r="G43" s="67" t="s">
        <v>75</v>
      </c>
      <c r="H43" s="68"/>
      <c r="I43" s="35">
        <v>60</v>
      </c>
      <c r="J43" s="9">
        <f t="shared" si="2"/>
        <v>0.05</v>
      </c>
      <c r="K43" s="39"/>
      <c r="L43" s="39"/>
      <c r="M43" s="39"/>
      <c r="N43" s="39"/>
      <c r="O43" s="39"/>
      <c r="P43" s="39"/>
      <c r="Q43" s="39"/>
      <c r="R43" s="39">
        <v>3</v>
      </c>
      <c r="S43" s="10">
        <f t="shared" si="6"/>
        <v>3</v>
      </c>
      <c r="T43" s="10">
        <v>100000</v>
      </c>
      <c r="U43" s="10">
        <f t="shared" si="7"/>
        <v>300000</v>
      </c>
      <c r="V43" s="4"/>
      <c r="W43" s="4"/>
      <c r="X43" s="4"/>
      <c r="Y43" s="4"/>
      <c r="Z43" s="44" t="s">
        <v>42</v>
      </c>
    </row>
    <row r="44" spans="2:26" ht="18.75" hidden="1">
      <c r="B44" s="82"/>
      <c r="C44" s="60"/>
      <c r="D44" s="52" t="s">
        <v>99</v>
      </c>
      <c r="E44" s="63"/>
      <c r="F44" s="8">
        <v>0.66666666666666663</v>
      </c>
      <c r="G44" s="67" t="s">
        <v>75</v>
      </c>
      <c r="H44" s="68"/>
      <c r="I44" s="35">
        <v>50</v>
      </c>
      <c r="J44" s="9">
        <f t="shared" si="2"/>
        <v>0.06</v>
      </c>
      <c r="K44" s="39">
        <v>3</v>
      </c>
      <c r="L44" s="39"/>
      <c r="M44" s="39"/>
      <c r="N44" s="39"/>
      <c r="O44" s="39"/>
      <c r="P44" s="39"/>
      <c r="Q44" s="39"/>
      <c r="R44" s="39"/>
      <c r="S44" s="10">
        <f t="shared" si="6"/>
        <v>3</v>
      </c>
      <c r="T44" s="10">
        <v>100000</v>
      </c>
      <c r="U44" s="10">
        <f>T44*S44</f>
        <v>300000</v>
      </c>
      <c r="V44" s="4"/>
      <c r="W44" s="4"/>
      <c r="X44" s="4"/>
      <c r="Y44" s="4"/>
      <c r="Z44" s="44" t="s">
        <v>43</v>
      </c>
    </row>
    <row r="45" spans="2:26" ht="18.75" hidden="1">
      <c r="B45" s="82"/>
      <c r="C45" s="60"/>
      <c r="D45" s="52" t="s">
        <v>99</v>
      </c>
      <c r="E45" s="63"/>
      <c r="F45" s="8">
        <v>0.75</v>
      </c>
      <c r="G45" s="67" t="s">
        <v>75</v>
      </c>
      <c r="H45" s="68"/>
      <c r="I45" s="35">
        <v>50</v>
      </c>
      <c r="J45" s="9">
        <f t="shared" si="2"/>
        <v>0.04</v>
      </c>
      <c r="K45" s="39"/>
      <c r="L45" s="39"/>
      <c r="M45" s="39"/>
      <c r="N45" s="39"/>
      <c r="O45" s="39"/>
      <c r="P45" s="39"/>
      <c r="Q45" s="39"/>
      <c r="R45" s="39">
        <v>2</v>
      </c>
      <c r="S45" s="10">
        <f t="shared" si="6"/>
        <v>2</v>
      </c>
      <c r="T45" s="10">
        <v>100000</v>
      </c>
      <c r="U45" s="10">
        <f t="shared" ref="U45:U52" si="8">T45*S45</f>
        <v>200000</v>
      </c>
      <c r="V45" s="4"/>
      <c r="W45" s="4"/>
      <c r="X45" s="11"/>
      <c r="Y45" s="4"/>
      <c r="Z45" s="45"/>
    </row>
    <row r="46" spans="2:26" ht="18.75" hidden="1">
      <c r="B46" s="82"/>
      <c r="C46" s="60"/>
      <c r="D46" s="53" t="s">
        <v>99</v>
      </c>
      <c r="E46" s="64"/>
      <c r="F46" s="12">
        <v>0.83333333333333337</v>
      </c>
      <c r="G46" s="67" t="s">
        <v>75</v>
      </c>
      <c r="H46" s="68"/>
      <c r="I46" s="36">
        <v>20</v>
      </c>
      <c r="J46" s="9">
        <f t="shared" si="2"/>
        <v>0.2</v>
      </c>
      <c r="K46" s="41"/>
      <c r="L46" s="41"/>
      <c r="M46" s="41"/>
      <c r="N46" s="41"/>
      <c r="O46" s="41"/>
      <c r="P46" s="41"/>
      <c r="Q46" s="41"/>
      <c r="R46" s="41">
        <v>4</v>
      </c>
      <c r="S46" s="13">
        <f t="shared" si="6"/>
        <v>4</v>
      </c>
      <c r="T46" s="13">
        <v>100000</v>
      </c>
      <c r="U46" s="13">
        <f t="shared" si="8"/>
        <v>400000</v>
      </c>
      <c r="V46" s="4"/>
      <c r="Y46" s="4"/>
      <c r="Z46" s="45"/>
    </row>
    <row r="47" spans="2:26" ht="18.75" hidden="1">
      <c r="B47" s="82"/>
      <c r="C47" s="60"/>
      <c r="D47" s="51" t="s">
        <v>100</v>
      </c>
      <c r="E47" s="62" t="s">
        <v>102</v>
      </c>
      <c r="F47" s="5">
        <v>0.91666666666666663</v>
      </c>
      <c r="G47" s="65" t="s">
        <v>86</v>
      </c>
      <c r="H47" s="66"/>
      <c r="I47" s="34">
        <v>0</v>
      </c>
      <c r="J47" s="6" t="str">
        <f t="shared" si="2"/>
        <v/>
      </c>
      <c r="K47" s="38"/>
      <c r="L47" s="38"/>
      <c r="M47" s="38"/>
      <c r="N47" s="38"/>
      <c r="O47" s="38"/>
      <c r="P47" s="38"/>
      <c r="Q47" s="38">
        <v>10</v>
      </c>
      <c r="R47" s="38"/>
      <c r="S47" s="7">
        <f t="shared" si="6"/>
        <v>10</v>
      </c>
      <c r="T47" s="7">
        <v>100000</v>
      </c>
      <c r="U47" s="7">
        <f t="shared" si="8"/>
        <v>1000000</v>
      </c>
      <c r="V47" s="4"/>
      <c r="Y47" s="4"/>
      <c r="Z47" s="45"/>
    </row>
    <row r="48" spans="2:26" ht="18.75" hidden="1">
      <c r="B48" s="82"/>
      <c r="C48" s="60"/>
      <c r="D48" s="52" t="s">
        <v>100</v>
      </c>
      <c r="E48" s="63"/>
      <c r="F48" s="8">
        <v>1</v>
      </c>
      <c r="G48" s="67" t="s">
        <v>86</v>
      </c>
      <c r="H48" s="68"/>
      <c r="I48" s="35">
        <v>0</v>
      </c>
      <c r="J48" s="9" t="str">
        <f t="shared" si="2"/>
        <v/>
      </c>
      <c r="K48" s="39"/>
      <c r="L48" s="39"/>
      <c r="M48" s="39"/>
      <c r="N48" s="39"/>
      <c r="O48" s="39"/>
      <c r="P48" s="39"/>
      <c r="Q48" s="39"/>
      <c r="R48" s="39"/>
      <c r="S48" s="10">
        <f t="shared" si="6"/>
        <v>0</v>
      </c>
      <c r="T48" s="10">
        <v>100000</v>
      </c>
      <c r="U48" s="10">
        <f t="shared" si="8"/>
        <v>0</v>
      </c>
      <c r="V48" s="4"/>
      <c r="Y48" s="4"/>
      <c r="Z48" s="45"/>
    </row>
    <row r="49" spans="2:26" ht="18.75" hidden="1">
      <c r="B49" s="82"/>
      <c r="C49" s="60"/>
      <c r="D49" s="52" t="s">
        <v>100</v>
      </c>
      <c r="E49" s="63"/>
      <c r="F49" s="8">
        <v>8.3333333333333329E-2</v>
      </c>
      <c r="G49" s="67" t="s">
        <v>86</v>
      </c>
      <c r="H49" s="68"/>
      <c r="I49" s="35">
        <v>30</v>
      </c>
      <c r="J49" s="9">
        <f t="shared" si="2"/>
        <v>3.3333333333333333E-2</v>
      </c>
      <c r="K49" s="39">
        <v>1</v>
      </c>
      <c r="L49" s="39"/>
      <c r="M49" s="39"/>
      <c r="N49" s="39"/>
      <c r="O49" s="39"/>
      <c r="P49" s="39"/>
      <c r="Q49" s="39"/>
      <c r="R49" s="39"/>
      <c r="S49" s="10">
        <f t="shared" si="6"/>
        <v>1</v>
      </c>
      <c r="T49" s="10">
        <v>100000</v>
      </c>
      <c r="U49" s="10">
        <f t="shared" si="8"/>
        <v>100000</v>
      </c>
      <c r="V49" s="4"/>
      <c r="Y49" s="4"/>
      <c r="Z49" s="45"/>
    </row>
    <row r="50" spans="2:26" ht="18.75" hidden="1">
      <c r="B50" s="82"/>
      <c r="C50" s="60"/>
      <c r="D50" s="52" t="s">
        <v>100</v>
      </c>
      <c r="E50" s="63"/>
      <c r="F50" s="8">
        <v>0.16666666666666666</v>
      </c>
      <c r="G50" s="67" t="s">
        <v>86</v>
      </c>
      <c r="H50" s="68"/>
      <c r="I50" s="35">
        <v>50</v>
      </c>
      <c r="J50" s="9">
        <f t="shared" si="2"/>
        <v>0.02</v>
      </c>
      <c r="K50" s="39"/>
      <c r="L50" s="39"/>
      <c r="M50" s="39">
        <v>1</v>
      </c>
      <c r="N50" s="39"/>
      <c r="O50" s="39"/>
      <c r="P50" s="39"/>
      <c r="Q50" s="39"/>
      <c r="R50" s="39"/>
      <c r="S50" s="10">
        <f t="shared" si="6"/>
        <v>1</v>
      </c>
      <c r="T50" s="10">
        <v>100000</v>
      </c>
      <c r="U50" s="10">
        <f t="shared" si="8"/>
        <v>100000</v>
      </c>
      <c r="V50" s="4"/>
      <c r="W50" s="4"/>
      <c r="X50" s="4"/>
      <c r="Y50" s="4"/>
      <c r="Z50" s="45"/>
    </row>
    <row r="51" spans="2:26" ht="18.75" hidden="1">
      <c r="B51" s="82"/>
      <c r="C51" s="60"/>
      <c r="D51" s="52" t="s">
        <v>100</v>
      </c>
      <c r="E51" s="63"/>
      <c r="F51" s="8">
        <v>0.25</v>
      </c>
      <c r="G51" s="67" t="s">
        <v>86</v>
      </c>
      <c r="H51" s="68"/>
      <c r="I51" s="35">
        <v>50</v>
      </c>
      <c r="J51" s="9">
        <f t="shared" si="2"/>
        <v>0.02</v>
      </c>
      <c r="K51" s="39"/>
      <c r="L51" s="39"/>
      <c r="M51" s="39">
        <v>1</v>
      </c>
      <c r="N51" s="39"/>
      <c r="O51" s="39"/>
      <c r="P51" s="39"/>
      <c r="Q51" s="39"/>
      <c r="R51" s="39"/>
      <c r="S51" s="10">
        <f t="shared" si="6"/>
        <v>1</v>
      </c>
      <c r="T51" s="10">
        <v>100000</v>
      </c>
      <c r="U51" s="10">
        <f t="shared" si="8"/>
        <v>100000</v>
      </c>
      <c r="V51" s="4"/>
      <c r="Y51" s="4"/>
      <c r="Z51" s="45"/>
    </row>
    <row r="52" spans="2:26" ht="18.75" hidden="1">
      <c r="B52" s="82"/>
      <c r="C52" s="60"/>
      <c r="D52" s="53" t="s">
        <v>100</v>
      </c>
      <c r="E52" s="64"/>
      <c r="F52" s="12">
        <v>0.33333333333333331</v>
      </c>
      <c r="G52" s="67" t="s">
        <v>86</v>
      </c>
      <c r="H52" s="68"/>
      <c r="I52" s="36">
        <v>50</v>
      </c>
      <c r="J52" s="9">
        <f t="shared" si="2"/>
        <v>0.02</v>
      </c>
      <c r="K52" s="41"/>
      <c r="L52" s="41"/>
      <c r="M52" s="41">
        <v>1</v>
      </c>
      <c r="N52" s="41"/>
      <c r="O52" s="41"/>
      <c r="P52" s="41"/>
      <c r="Q52" s="41"/>
      <c r="R52" s="41"/>
      <c r="S52" s="13">
        <f t="shared" si="6"/>
        <v>1</v>
      </c>
      <c r="T52" s="13">
        <v>100000</v>
      </c>
      <c r="U52" s="13">
        <f t="shared" si="8"/>
        <v>100000</v>
      </c>
      <c r="V52" s="4"/>
      <c r="W52" s="4"/>
      <c r="X52" s="4"/>
      <c r="Y52" s="4"/>
      <c r="Z52" s="45"/>
    </row>
    <row r="53" spans="2:26" ht="16.5" hidden="1" customHeight="1">
      <c r="B53" s="58">
        <v>46085</v>
      </c>
      <c r="C53" s="59" t="s">
        <v>14</v>
      </c>
      <c r="D53" s="51" t="s">
        <v>100</v>
      </c>
      <c r="E53" s="62" t="s">
        <v>101</v>
      </c>
      <c r="F53" s="5">
        <v>0.41666666666666669</v>
      </c>
      <c r="G53" s="65" t="s">
        <v>74</v>
      </c>
      <c r="H53" s="66"/>
      <c r="I53" s="34">
        <v>53</v>
      </c>
      <c r="J53" s="6">
        <f t="shared" si="2"/>
        <v>0</v>
      </c>
      <c r="K53" s="38"/>
      <c r="L53" s="38"/>
      <c r="M53" s="38"/>
      <c r="N53" s="38"/>
      <c r="O53" s="38"/>
      <c r="P53" s="38"/>
      <c r="Q53" s="38"/>
      <c r="R53" s="38"/>
      <c r="S53" s="7">
        <f>SUM(K53:R53)</f>
        <v>0</v>
      </c>
      <c r="T53" s="7">
        <v>100000</v>
      </c>
      <c r="U53" s="7">
        <f>T53*S53</f>
        <v>0</v>
      </c>
      <c r="V53" s="4"/>
      <c r="W53" s="4"/>
      <c r="X53" s="4"/>
      <c r="Y53" s="4"/>
      <c r="Z53" s="45"/>
    </row>
    <row r="54" spans="2:26" ht="18.75" hidden="1">
      <c r="B54" s="58"/>
      <c r="C54" s="60"/>
      <c r="D54" s="52" t="s">
        <v>100</v>
      </c>
      <c r="E54" s="63"/>
      <c r="F54" s="8">
        <v>0.5</v>
      </c>
      <c r="G54" s="67" t="s">
        <v>74</v>
      </c>
      <c r="H54" s="68"/>
      <c r="I54" s="35">
        <v>35</v>
      </c>
      <c r="J54" s="9">
        <f t="shared" si="2"/>
        <v>0.25714285714285712</v>
      </c>
      <c r="K54" s="39"/>
      <c r="L54" s="39"/>
      <c r="M54" s="39">
        <v>5</v>
      </c>
      <c r="N54" s="39"/>
      <c r="O54" s="39"/>
      <c r="P54" s="39"/>
      <c r="Q54" s="39"/>
      <c r="R54" s="39">
        <v>4</v>
      </c>
      <c r="S54" s="10">
        <f t="shared" ref="S54:S64" si="9">SUM(K54:R54)</f>
        <v>9</v>
      </c>
      <c r="T54" s="10">
        <v>100000</v>
      </c>
      <c r="U54" s="10">
        <f t="shared" ref="U54:U55" si="10">T54*S54</f>
        <v>900000</v>
      </c>
      <c r="V54" s="4"/>
      <c r="W54" s="4"/>
      <c r="X54" s="4"/>
      <c r="Y54" s="4"/>
      <c r="Z54" s="45"/>
    </row>
    <row r="55" spans="2:26" ht="18.75" hidden="1">
      <c r="B55" s="58"/>
      <c r="C55" s="60"/>
      <c r="D55" s="52" t="s">
        <v>100</v>
      </c>
      <c r="E55" s="63"/>
      <c r="F55" s="8">
        <v>0.58333333333333337</v>
      </c>
      <c r="G55" s="67" t="s">
        <v>74</v>
      </c>
      <c r="H55" s="68"/>
      <c r="I55" s="35">
        <v>53</v>
      </c>
      <c r="J55" s="9">
        <f t="shared" si="2"/>
        <v>0</v>
      </c>
      <c r="K55" s="39"/>
      <c r="L55" s="39"/>
      <c r="M55" s="39"/>
      <c r="N55" s="39"/>
      <c r="O55" s="39"/>
      <c r="P55" s="39"/>
      <c r="Q55" s="39"/>
      <c r="R55" s="39"/>
      <c r="S55" s="10">
        <f t="shared" si="9"/>
        <v>0</v>
      </c>
      <c r="T55" s="10">
        <v>100000</v>
      </c>
      <c r="U55" s="10">
        <f t="shared" si="10"/>
        <v>0</v>
      </c>
      <c r="V55" s="4"/>
      <c r="W55" s="4"/>
      <c r="X55" s="4"/>
      <c r="Y55" s="4"/>
      <c r="Z55" s="45"/>
    </row>
    <row r="56" spans="2:26" ht="18.75" hidden="1">
      <c r="B56" s="58"/>
      <c r="C56" s="60"/>
      <c r="D56" s="52" t="s">
        <v>100</v>
      </c>
      <c r="E56" s="63"/>
      <c r="F56" s="8">
        <v>0.66666666666666663</v>
      </c>
      <c r="G56" s="67" t="s">
        <v>74</v>
      </c>
      <c r="H56" s="68"/>
      <c r="I56" s="35">
        <v>53</v>
      </c>
      <c r="J56" s="9">
        <f t="shared" si="2"/>
        <v>0</v>
      </c>
      <c r="K56" s="39"/>
      <c r="L56" s="39"/>
      <c r="M56" s="39"/>
      <c r="N56" s="39"/>
      <c r="O56" s="39"/>
      <c r="P56" s="39"/>
      <c r="Q56" s="39"/>
      <c r="R56" s="39"/>
      <c r="S56" s="10">
        <f t="shared" si="9"/>
        <v>0</v>
      </c>
      <c r="T56" s="10">
        <v>100000</v>
      </c>
      <c r="U56" s="10">
        <f>T56*S56</f>
        <v>0</v>
      </c>
      <c r="V56" s="4"/>
      <c r="W56" s="4"/>
      <c r="X56" s="4"/>
      <c r="Y56" s="4"/>
      <c r="Z56" s="45"/>
    </row>
    <row r="57" spans="2:26" ht="18.75" hidden="1">
      <c r="B57" s="58"/>
      <c r="C57" s="60"/>
      <c r="D57" s="52" t="s">
        <v>100</v>
      </c>
      <c r="E57" s="63"/>
      <c r="F57" s="8">
        <v>0.75</v>
      </c>
      <c r="G57" s="67" t="s">
        <v>74</v>
      </c>
      <c r="H57" s="68"/>
      <c r="I57" s="35">
        <v>53</v>
      </c>
      <c r="J57" s="9">
        <f t="shared" si="2"/>
        <v>0</v>
      </c>
      <c r="K57" s="39"/>
      <c r="L57" s="39"/>
      <c r="M57" s="39"/>
      <c r="N57" s="39"/>
      <c r="O57" s="39"/>
      <c r="P57" s="39"/>
      <c r="Q57" s="39"/>
      <c r="R57" s="39"/>
      <c r="S57" s="10">
        <f t="shared" si="9"/>
        <v>0</v>
      </c>
      <c r="T57" s="10">
        <v>100000</v>
      </c>
      <c r="U57" s="10">
        <f t="shared" ref="U57:U64" si="11">T57*S57</f>
        <v>0</v>
      </c>
      <c r="V57" s="4"/>
      <c r="W57" s="4"/>
      <c r="X57" s="11"/>
      <c r="Y57" s="4"/>
      <c r="Z57" s="45"/>
    </row>
    <row r="58" spans="2:26" ht="18.75" hidden="1">
      <c r="B58" s="58"/>
      <c r="C58" s="60"/>
      <c r="D58" s="53" t="s">
        <v>100</v>
      </c>
      <c r="E58" s="64"/>
      <c r="F58" s="12">
        <v>0.83333333333333337</v>
      </c>
      <c r="G58" s="67" t="s">
        <v>74</v>
      </c>
      <c r="H58" s="68"/>
      <c r="I58" s="36">
        <v>53</v>
      </c>
      <c r="J58" s="9">
        <f t="shared" si="2"/>
        <v>0</v>
      </c>
      <c r="K58" s="41"/>
      <c r="L58" s="41"/>
      <c r="M58" s="41"/>
      <c r="N58" s="41"/>
      <c r="O58" s="41"/>
      <c r="P58" s="41"/>
      <c r="Q58" s="41"/>
      <c r="R58" s="41"/>
      <c r="S58" s="13">
        <f t="shared" si="9"/>
        <v>0</v>
      </c>
      <c r="T58" s="13">
        <v>100000</v>
      </c>
      <c r="U58" s="13">
        <f t="shared" si="11"/>
        <v>0</v>
      </c>
      <c r="V58" s="4"/>
      <c r="Y58" s="4"/>
      <c r="Z58" s="45"/>
    </row>
    <row r="59" spans="2:26" ht="18.75" hidden="1">
      <c r="B59" s="58"/>
      <c r="C59" s="60"/>
      <c r="D59" s="51" t="s">
        <v>100</v>
      </c>
      <c r="E59" s="62" t="s">
        <v>102</v>
      </c>
      <c r="F59" s="5">
        <v>0.91666666666666663</v>
      </c>
      <c r="G59" s="65" t="s">
        <v>85</v>
      </c>
      <c r="H59" s="66"/>
      <c r="I59" s="34">
        <v>51</v>
      </c>
      <c r="J59" s="6">
        <f t="shared" si="2"/>
        <v>3.9215686274509803E-2</v>
      </c>
      <c r="K59" s="38"/>
      <c r="L59" s="38"/>
      <c r="M59" s="38">
        <v>2</v>
      </c>
      <c r="N59" s="38"/>
      <c r="O59" s="38"/>
      <c r="P59" s="38"/>
      <c r="Q59" s="38"/>
      <c r="R59" s="38"/>
      <c r="S59" s="7">
        <f t="shared" si="9"/>
        <v>2</v>
      </c>
      <c r="T59" s="7">
        <v>100000</v>
      </c>
      <c r="U59" s="7">
        <f t="shared" si="11"/>
        <v>200000</v>
      </c>
      <c r="V59" s="4"/>
      <c r="Y59" s="4"/>
      <c r="Z59" s="45"/>
    </row>
    <row r="60" spans="2:26" ht="18.75" hidden="1">
      <c r="B60" s="58"/>
      <c r="C60" s="60"/>
      <c r="D60" s="52" t="s">
        <v>100</v>
      </c>
      <c r="E60" s="63"/>
      <c r="F60" s="8">
        <v>1</v>
      </c>
      <c r="G60" s="67" t="s">
        <v>85</v>
      </c>
      <c r="H60" s="68"/>
      <c r="I60" s="35">
        <v>20</v>
      </c>
      <c r="J60" s="9">
        <f t="shared" si="2"/>
        <v>0.05</v>
      </c>
      <c r="K60" s="39">
        <v>1</v>
      </c>
      <c r="L60" s="39"/>
      <c r="M60" s="39"/>
      <c r="N60" s="39"/>
      <c r="O60" s="39"/>
      <c r="P60" s="39"/>
      <c r="Q60" s="39"/>
      <c r="R60" s="39"/>
      <c r="S60" s="10">
        <f t="shared" si="9"/>
        <v>1</v>
      </c>
      <c r="T60" s="10">
        <v>100000</v>
      </c>
      <c r="U60" s="10">
        <f t="shared" si="11"/>
        <v>100000</v>
      </c>
      <c r="V60" s="4"/>
      <c r="Y60" s="4"/>
      <c r="Z60" s="45"/>
    </row>
    <row r="61" spans="2:26" ht="18.75" hidden="1">
      <c r="B61" s="58"/>
      <c r="C61" s="60"/>
      <c r="D61" s="52" t="s">
        <v>100</v>
      </c>
      <c r="E61" s="63"/>
      <c r="F61" s="8">
        <v>8.3333333333333329E-2</v>
      </c>
      <c r="G61" s="67" t="s">
        <v>85</v>
      </c>
      <c r="H61" s="68"/>
      <c r="I61" s="35">
        <v>52</v>
      </c>
      <c r="J61" s="9">
        <f t="shared" si="2"/>
        <v>1.9230769230769232E-2</v>
      </c>
      <c r="K61" s="39"/>
      <c r="L61" s="39"/>
      <c r="M61" s="39">
        <v>1</v>
      </c>
      <c r="N61" s="39"/>
      <c r="O61" s="39"/>
      <c r="P61" s="39"/>
      <c r="Q61" s="39"/>
      <c r="R61" s="39"/>
      <c r="S61" s="10">
        <f t="shared" si="9"/>
        <v>1</v>
      </c>
      <c r="T61" s="10">
        <v>100000</v>
      </c>
      <c r="U61" s="10">
        <f t="shared" si="11"/>
        <v>100000</v>
      </c>
      <c r="V61" s="4"/>
      <c r="Y61" s="4"/>
      <c r="Z61" s="46"/>
    </row>
    <row r="62" spans="2:26" ht="18.75" hidden="1">
      <c r="B62" s="58"/>
      <c r="C62" s="60"/>
      <c r="D62" s="52" t="s">
        <v>100</v>
      </c>
      <c r="E62" s="63"/>
      <c r="F62" s="8">
        <v>0.16666666666666666</v>
      </c>
      <c r="G62" s="67" t="s">
        <v>85</v>
      </c>
      <c r="H62" s="68"/>
      <c r="I62" s="35">
        <v>53</v>
      </c>
      <c r="J62" s="9">
        <f t="shared" si="2"/>
        <v>1.8867924528301886E-2</v>
      </c>
      <c r="K62" s="39"/>
      <c r="L62" s="39"/>
      <c r="M62" s="39">
        <v>1</v>
      </c>
      <c r="N62" s="39"/>
      <c r="O62" s="39"/>
      <c r="P62" s="39"/>
      <c r="Q62" s="39"/>
      <c r="R62" s="39"/>
      <c r="S62" s="10">
        <f t="shared" si="9"/>
        <v>1</v>
      </c>
      <c r="T62" s="10">
        <v>100000</v>
      </c>
      <c r="U62" s="10">
        <f t="shared" si="11"/>
        <v>100000</v>
      </c>
      <c r="V62" s="4"/>
      <c r="W62" s="4"/>
      <c r="X62" s="4"/>
      <c r="Y62" s="4"/>
    </row>
    <row r="63" spans="2:26" ht="18.75" hidden="1">
      <c r="B63" s="58"/>
      <c r="C63" s="60"/>
      <c r="D63" s="52" t="s">
        <v>100</v>
      </c>
      <c r="E63" s="63"/>
      <c r="F63" s="8">
        <v>0.25</v>
      </c>
      <c r="G63" s="67" t="s">
        <v>85</v>
      </c>
      <c r="H63" s="68"/>
      <c r="I63" s="35">
        <v>30</v>
      </c>
      <c r="J63" s="9">
        <f t="shared" si="2"/>
        <v>3.3333333333333333E-2</v>
      </c>
      <c r="K63" s="39"/>
      <c r="L63" s="39"/>
      <c r="M63" s="39">
        <v>1</v>
      </c>
      <c r="N63" s="39"/>
      <c r="O63" s="39"/>
      <c r="P63" s="39"/>
      <c r="Q63" s="39"/>
      <c r="R63" s="39"/>
      <c r="S63" s="10">
        <f t="shared" si="9"/>
        <v>1</v>
      </c>
      <c r="T63" s="10">
        <v>100000</v>
      </c>
      <c r="U63" s="10">
        <f t="shared" si="11"/>
        <v>100000</v>
      </c>
      <c r="V63" s="4"/>
      <c r="Y63" s="4"/>
    </row>
    <row r="64" spans="2:26" ht="18.75" hidden="1">
      <c r="B64" s="58"/>
      <c r="C64" s="61"/>
      <c r="D64" s="53" t="s">
        <v>100</v>
      </c>
      <c r="E64" s="64"/>
      <c r="F64" s="14">
        <v>0.33333333333333331</v>
      </c>
      <c r="G64" s="67" t="s">
        <v>85</v>
      </c>
      <c r="H64" s="68"/>
      <c r="I64" s="37">
        <v>53</v>
      </c>
      <c r="J64" s="9">
        <f t="shared" si="2"/>
        <v>1.8867924528301886E-2</v>
      </c>
      <c r="K64" s="40"/>
      <c r="L64" s="40"/>
      <c r="M64" s="40">
        <v>1</v>
      </c>
      <c r="N64" s="40"/>
      <c r="O64" s="40"/>
      <c r="P64" s="40"/>
      <c r="Q64" s="40"/>
      <c r="R64" s="40"/>
      <c r="S64" s="16">
        <f t="shared" si="9"/>
        <v>1</v>
      </c>
      <c r="T64" s="16">
        <v>100000</v>
      </c>
      <c r="U64" s="16">
        <f t="shared" si="11"/>
        <v>100000</v>
      </c>
      <c r="V64" s="4"/>
      <c r="W64" s="4"/>
      <c r="X64" s="4"/>
      <c r="Y64" s="4"/>
    </row>
    <row r="65" spans="2:25" ht="16.5" hidden="1" customHeight="1">
      <c r="B65" s="58">
        <v>46086</v>
      </c>
      <c r="C65" s="59" t="s">
        <v>14</v>
      </c>
      <c r="D65" s="51" t="s">
        <v>100</v>
      </c>
      <c r="E65" s="62" t="s">
        <v>101</v>
      </c>
      <c r="F65" s="5">
        <v>0.41666666666666669</v>
      </c>
      <c r="G65" s="65" t="s">
        <v>76</v>
      </c>
      <c r="H65" s="66"/>
      <c r="I65" s="34">
        <v>52</v>
      </c>
      <c r="J65" s="6">
        <f t="shared" si="2"/>
        <v>0</v>
      </c>
      <c r="K65" s="38"/>
      <c r="L65" s="38"/>
      <c r="M65" s="38"/>
      <c r="N65" s="38"/>
      <c r="O65" s="38"/>
      <c r="P65" s="38"/>
      <c r="Q65" s="38"/>
      <c r="R65" s="38"/>
      <c r="S65" s="7">
        <f>SUM(K65:R65)</f>
        <v>0</v>
      </c>
      <c r="T65" s="7">
        <v>100000</v>
      </c>
      <c r="U65" s="7">
        <f>T65*S65</f>
        <v>0</v>
      </c>
      <c r="V65" s="4"/>
      <c r="W65" s="4"/>
      <c r="X65" s="4"/>
      <c r="Y65" s="4"/>
    </row>
    <row r="66" spans="2:25" ht="18.75" hidden="1">
      <c r="B66" s="58"/>
      <c r="C66" s="60"/>
      <c r="D66" s="52" t="s">
        <v>100</v>
      </c>
      <c r="E66" s="63"/>
      <c r="F66" s="8">
        <v>0.5</v>
      </c>
      <c r="G66" s="67" t="s">
        <v>76</v>
      </c>
      <c r="H66" s="68"/>
      <c r="I66" s="35">
        <v>52</v>
      </c>
      <c r="J66" s="9">
        <f t="shared" si="2"/>
        <v>0</v>
      </c>
      <c r="K66" s="39"/>
      <c r="L66" s="39"/>
      <c r="M66" s="39"/>
      <c r="N66" s="39"/>
      <c r="O66" s="39"/>
      <c r="P66" s="39"/>
      <c r="Q66" s="39"/>
      <c r="R66" s="39"/>
      <c r="S66" s="10">
        <f t="shared" ref="S66:S76" si="12">SUM(K66:R66)</f>
        <v>0</v>
      </c>
      <c r="T66" s="10">
        <v>100000</v>
      </c>
      <c r="U66" s="10">
        <f t="shared" ref="U66:U67" si="13">T66*S66</f>
        <v>0</v>
      </c>
      <c r="V66" s="4"/>
      <c r="W66" s="4"/>
      <c r="X66" s="4"/>
      <c r="Y66" s="4"/>
    </row>
    <row r="67" spans="2:25" ht="18.75" hidden="1">
      <c r="B67" s="58"/>
      <c r="C67" s="60"/>
      <c r="D67" s="52" t="s">
        <v>100</v>
      </c>
      <c r="E67" s="63"/>
      <c r="F67" s="8">
        <v>0.58333333333333337</v>
      </c>
      <c r="G67" s="67" t="s">
        <v>76</v>
      </c>
      <c r="H67" s="68"/>
      <c r="I67" s="35">
        <v>52</v>
      </c>
      <c r="J67" s="9">
        <f t="shared" si="2"/>
        <v>0</v>
      </c>
      <c r="K67" s="39"/>
      <c r="L67" s="39"/>
      <c r="M67" s="39"/>
      <c r="N67" s="39"/>
      <c r="O67" s="39"/>
      <c r="P67" s="39"/>
      <c r="Q67" s="39"/>
      <c r="R67" s="39"/>
      <c r="S67" s="10">
        <f t="shared" si="12"/>
        <v>0</v>
      </c>
      <c r="T67" s="10">
        <v>100000</v>
      </c>
      <c r="U67" s="10">
        <f t="shared" si="13"/>
        <v>0</v>
      </c>
      <c r="V67" s="4"/>
      <c r="W67" s="4"/>
      <c r="X67" s="4"/>
      <c r="Y67" s="4"/>
    </row>
    <row r="68" spans="2:25" ht="18.75" hidden="1">
      <c r="B68" s="58"/>
      <c r="C68" s="60"/>
      <c r="D68" s="52" t="s">
        <v>100</v>
      </c>
      <c r="E68" s="63"/>
      <c r="F68" s="8">
        <v>0.66666666666666663</v>
      </c>
      <c r="G68" s="67" t="s">
        <v>76</v>
      </c>
      <c r="H68" s="68"/>
      <c r="I68" s="35">
        <v>52</v>
      </c>
      <c r="J68" s="9">
        <f t="shared" si="2"/>
        <v>0</v>
      </c>
      <c r="K68" s="39"/>
      <c r="L68" s="39"/>
      <c r="M68" s="39"/>
      <c r="N68" s="39"/>
      <c r="O68" s="39"/>
      <c r="P68" s="39"/>
      <c r="Q68" s="39"/>
      <c r="R68" s="39"/>
      <c r="S68" s="10">
        <f t="shared" si="12"/>
        <v>0</v>
      </c>
      <c r="T68" s="10">
        <v>100000</v>
      </c>
      <c r="U68" s="10">
        <f>T68*S68</f>
        <v>0</v>
      </c>
      <c r="V68" s="4"/>
      <c r="W68" s="4"/>
      <c r="X68" s="4"/>
      <c r="Y68" s="4"/>
    </row>
    <row r="69" spans="2:25" ht="18.75" hidden="1">
      <c r="B69" s="58"/>
      <c r="C69" s="60"/>
      <c r="D69" s="52" t="s">
        <v>100</v>
      </c>
      <c r="E69" s="63"/>
      <c r="F69" s="8">
        <v>0.75</v>
      </c>
      <c r="G69" s="67" t="s">
        <v>76</v>
      </c>
      <c r="H69" s="68"/>
      <c r="I69" s="35">
        <v>40</v>
      </c>
      <c r="J69" s="9">
        <f t="shared" si="2"/>
        <v>0.05</v>
      </c>
      <c r="K69" s="39"/>
      <c r="L69" s="39"/>
      <c r="M69" s="39">
        <v>2</v>
      </c>
      <c r="N69" s="39"/>
      <c r="O69" s="39"/>
      <c r="P69" s="39"/>
      <c r="Q69" s="39"/>
      <c r="R69" s="39"/>
      <c r="S69" s="10">
        <f t="shared" si="12"/>
        <v>2</v>
      </c>
      <c r="T69" s="10">
        <v>100000</v>
      </c>
      <c r="U69" s="10">
        <f t="shared" ref="U69:U76" si="14">T69*S69</f>
        <v>200000</v>
      </c>
      <c r="V69" s="4"/>
      <c r="W69" s="4"/>
      <c r="X69" s="11"/>
      <c r="Y69" s="4"/>
    </row>
    <row r="70" spans="2:25" ht="18.75" hidden="1">
      <c r="B70" s="58"/>
      <c r="C70" s="60"/>
      <c r="D70" s="53" t="s">
        <v>100</v>
      </c>
      <c r="E70" s="64"/>
      <c r="F70" s="12">
        <v>0.83333333333333337</v>
      </c>
      <c r="G70" s="67" t="s">
        <v>76</v>
      </c>
      <c r="H70" s="68"/>
      <c r="I70" s="36">
        <v>52</v>
      </c>
      <c r="J70" s="9">
        <f t="shared" si="2"/>
        <v>0</v>
      </c>
      <c r="K70" s="41"/>
      <c r="L70" s="41"/>
      <c r="M70" s="41"/>
      <c r="N70" s="41"/>
      <c r="O70" s="41"/>
      <c r="P70" s="41"/>
      <c r="Q70" s="41"/>
      <c r="R70" s="41"/>
      <c r="S70" s="13">
        <f t="shared" si="12"/>
        <v>0</v>
      </c>
      <c r="T70" s="13">
        <v>100000</v>
      </c>
      <c r="U70" s="13">
        <f t="shared" si="14"/>
        <v>0</v>
      </c>
      <c r="V70" s="4"/>
      <c r="Y70" s="4"/>
    </row>
    <row r="71" spans="2:25" ht="18.75" hidden="1">
      <c r="B71" s="58"/>
      <c r="C71" s="60"/>
      <c r="D71" s="51" t="s">
        <v>100</v>
      </c>
      <c r="E71" s="62" t="s">
        <v>102</v>
      </c>
      <c r="F71" s="5">
        <v>0.91666666666666663</v>
      </c>
      <c r="G71" s="65" t="s">
        <v>88</v>
      </c>
      <c r="H71" s="66"/>
      <c r="I71" s="34">
        <v>50</v>
      </c>
      <c r="J71" s="6">
        <f t="shared" si="2"/>
        <v>0.02</v>
      </c>
      <c r="K71" s="38"/>
      <c r="L71" s="38"/>
      <c r="M71" s="38">
        <v>1</v>
      </c>
      <c r="N71" s="38"/>
      <c r="O71" s="38"/>
      <c r="P71" s="38"/>
      <c r="Q71" s="38"/>
      <c r="R71" s="38"/>
      <c r="S71" s="7">
        <f t="shared" si="12"/>
        <v>1</v>
      </c>
      <c r="T71" s="7">
        <v>100000</v>
      </c>
      <c r="U71" s="7">
        <f t="shared" si="14"/>
        <v>100000</v>
      </c>
      <c r="V71" s="4"/>
      <c r="Y71" s="4"/>
    </row>
    <row r="72" spans="2:25" ht="18.75" hidden="1">
      <c r="B72" s="58"/>
      <c r="C72" s="60"/>
      <c r="D72" s="52" t="s">
        <v>100</v>
      </c>
      <c r="E72" s="63"/>
      <c r="F72" s="8">
        <v>1</v>
      </c>
      <c r="G72" s="67" t="s">
        <v>88</v>
      </c>
      <c r="H72" s="68"/>
      <c r="I72" s="35">
        <v>50</v>
      </c>
      <c r="J72" s="9">
        <f t="shared" si="2"/>
        <v>0.02</v>
      </c>
      <c r="K72" s="39"/>
      <c r="L72" s="39"/>
      <c r="M72" s="39">
        <v>1</v>
      </c>
      <c r="N72" s="39"/>
      <c r="O72" s="39"/>
      <c r="P72" s="39"/>
      <c r="Q72" s="39"/>
      <c r="R72" s="39"/>
      <c r="S72" s="10">
        <f t="shared" si="12"/>
        <v>1</v>
      </c>
      <c r="T72" s="10">
        <v>100000</v>
      </c>
      <c r="U72" s="10">
        <f t="shared" si="14"/>
        <v>100000</v>
      </c>
      <c r="V72" s="4"/>
      <c r="Y72" s="4"/>
    </row>
    <row r="73" spans="2:25" ht="18.75" hidden="1">
      <c r="B73" s="58"/>
      <c r="C73" s="60"/>
      <c r="D73" s="52" t="s">
        <v>100</v>
      </c>
      <c r="E73" s="63"/>
      <c r="F73" s="8">
        <v>8.3333333333333329E-2</v>
      </c>
      <c r="G73" s="67" t="s">
        <v>88</v>
      </c>
      <c r="H73" s="68"/>
      <c r="I73" s="35">
        <v>50</v>
      </c>
      <c r="J73" s="9">
        <f t="shared" si="2"/>
        <v>0</v>
      </c>
      <c r="K73" s="39"/>
      <c r="L73" s="39"/>
      <c r="M73" s="39"/>
      <c r="N73" s="39"/>
      <c r="O73" s="39"/>
      <c r="P73" s="39"/>
      <c r="Q73" s="39"/>
      <c r="R73" s="39"/>
      <c r="S73" s="10">
        <f t="shared" si="12"/>
        <v>0</v>
      </c>
      <c r="T73" s="10">
        <v>100000</v>
      </c>
      <c r="U73" s="10">
        <f t="shared" si="14"/>
        <v>0</v>
      </c>
      <c r="V73" s="4"/>
      <c r="Y73" s="4"/>
    </row>
    <row r="74" spans="2:25" ht="18.75" hidden="1">
      <c r="B74" s="58"/>
      <c r="C74" s="60"/>
      <c r="D74" s="52" t="s">
        <v>100</v>
      </c>
      <c r="E74" s="63"/>
      <c r="F74" s="8">
        <v>0.16666666666666666</v>
      </c>
      <c r="G74" s="67" t="s">
        <v>88</v>
      </c>
      <c r="H74" s="68"/>
      <c r="I74" s="35">
        <v>50</v>
      </c>
      <c r="J74" s="9">
        <f t="shared" si="2"/>
        <v>0</v>
      </c>
      <c r="K74" s="39"/>
      <c r="L74" s="39"/>
      <c r="M74" s="39"/>
      <c r="N74" s="39"/>
      <c r="O74" s="39"/>
      <c r="P74" s="39"/>
      <c r="Q74" s="39"/>
      <c r="R74" s="39"/>
      <c r="S74" s="10">
        <f t="shared" si="12"/>
        <v>0</v>
      </c>
      <c r="T74" s="10">
        <v>100000</v>
      </c>
      <c r="U74" s="10">
        <f t="shared" si="14"/>
        <v>0</v>
      </c>
      <c r="V74" s="4"/>
      <c r="W74" s="4"/>
      <c r="X74" s="4"/>
      <c r="Y74" s="4"/>
    </row>
    <row r="75" spans="2:25" ht="18.75" hidden="1">
      <c r="B75" s="58"/>
      <c r="C75" s="60"/>
      <c r="D75" s="52" t="s">
        <v>100</v>
      </c>
      <c r="E75" s="63"/>
      <c r="F75" s="8">
        <v>0.25</v>
      </c>
      <c r="G75" s="67" t="s">
        <v>88</v>
      </c>
      <c r="H75" s="68"/>
      <c r="I75" s="35">
        <v>50</v>
      </c>
      <c r="J75" s="9">
        <f t="shared" si="2"/>
        <v>0</v>
      </c>
      <c r="K75" s="39"/>
      <c r="L75" s="39"/>
      <c r="M75" s="39"/>
      <c r="N75" s="39"/>
      <c r="O75" s="39"/>
      <c r="P75" s="39"/>
      <c r="Q75" s="39"/>
      <c r="R75" s="39"/>
      <c r="S75" s="10">
        <f t="shared" si="12"/>
        <v>0</v>
      </c>
      <c r="T75" s="10">
        <v>100000</v>
      </c>
      <c r="U75" s="10">
        <f t="shared" si="14"/>
        <v>0</v>
      </c>
      <c r="V75" s="4"/>
      <c r="Y75" s="4"/>
    </row>
    <row r="76" spans="2:25" ht="18.75" hidden="1">
      <c r="B76" s="58"/>
      <c r="C76" s="61"/>
      <c r="D76" s="53" t="s">
        <v>100</v>
      </c>
      <c r="E76" s="64"/>
      <c r="F76" s="14">
        <v>0.33333333333333331</v>
      </c>
      <c r="G76" s="67" t="s">
        <v>88</v>
      </c>
      <c r="H76" s="68"/>
      <c r="I76" s="37"/>
      <c r="J76" s="9" t="str">
        <f t="shared" si="2"/>
        <v/>
      </c>
      <c r="K76" s="40"/>
      <c r="L76" s="40"/>
      <c r="M76" s="40"/>
      <c r="N76" s="40"/>
      <c r="O76" s="40"/>
      <c r="P76" s="40"/>
      <c r="Q76" s="40"/>
      <c r="R76" s="40"/>
      <c r="S76" s="16">
        <f t="shared" si="12"/>
        <v>0</v>
      </c>
      <c r="T76" s="16">
        <v>100000</v>
      </c>
      <c r="U76" s="16">
        <f t="shared" si="14"/>
        <v>0</v>
      </c>
      <c r="V76" s="4"/>
      <c r="W76" s="4"/>
      <c r="X76" s="4"/>
      <c r="Y76" s="4"/>
    </row>
    <row r="77" spans="2:25" ht="16.5" hidden="1" customHeight="1">
      <c r="B77" s="58">
        <v>46087</v>
      </c>
      <c r="C77" s="59" t="s">
        <v>14</v>
      </c>
      <c r="D77" s="51" t="s">
        <v>100</v>
      </c>
      <c r="E77" s="62" t="s">
        <v>101</v>
      </c>
      <c r="F77" s="5">
        <v>0.41666666666666669</v>
      </c>
      <c r="G77" s="65" t="s">
        <v>76</v>
      </c>
      <c r="H77" s="66"/>
      <c r="I77" s="34">
        <v>53</v>
      </c>
      <c r="J77" s="6">
        <f t="shared" si="2"/>
        <v>0</v>
      </c>
      <c r="K77" s="38"/>
      <c r="L77" s="38"/>
      <c r="M77" s="38"/>
      <c r="N77" s="38"/>
      <c r="O77" s="38"/>
      <c r="P77" s="38"/>
      <c r="Q77" s="38"/>
      <c r="R77" s="38"/>
      <c r="S77" s="7">
        <f>SUM(K77:R77)</f>
        <v>0</v>
      </c>
      <c r="T77" s="7">
        <v>100000</v>
      </c>
      <c r="U77" s="7">
        <f>T77*S77</f>
        <v>0</v>
      </c>
      <c r="V77" s="4"/>
      <c r="W77" s="4"/>
      <c r="X77" s="4"/>
      <c r="Y77" s="4"/>
    </row>
    <row r="78" spans="2:25" ht="18.75" hidden="1">
      <c r="B78" s="58"/>
      <c r="C78" s="60"/>
      <c r="D78" s="52" t="s">
        <v>100</v>
      </c>
      <c r="E78" s="63"/>
      <c r="F78" s="8">
        <v>0.5</v>
      </c>
      <c r="G78" s="67" t="s">
        <v>76</v>
      </c>
      <c r="H78" s="68"/>
      <c r="I78" s="35">
        <v>28</v>
      </c>
      <c r="J78" s="9">
        <f t="shared" si="2"/>
        <v>3.5714285714285712E-2</v>
      </c>
      <c r="K78" s="39"/>
      <c r="L78" s="39"/>
      <c r="M78" s="39"/>
      <c r="N78" s="39"/>
      <c r="O78" s="39"/>
      <c r="P78" s="39"/>
      <c r="Q78" s="39">
        <v>1</v>
      </c>
      <c r="R78" s="39"/>
      <c r="S78" s="10">
        <f t="shared" ref="S78:S88" si="15">SUM(K78:R78)</f>
        <v>1</v>
      </c>
      <c r="T78" s="10">
        <v>100000</v>
      </c>
      <c r="U78" s="10">
        <f t="shared" ref="U78:U79" si="16">T78*S78</f>
        <v>100000</v>
      </c>
      <c r="V78" s="4"/>
      <c r="W78" s="4"/>
      <c r="X78" s="4"/>
      <c r="Y78" s="4"/>
    </row>
    <row r="79" spans="2:25" ht="18.75" hidden="1">
      <c r="B79" s="58"/>
      <c r="C79" s="60"/>
      <c r="D79" s="52" t="s">
        <v>100</v>
      </c>
      <c r="E79" s="63"/>
      <c r="F79" s="8">
        <v>0.58333333333333337</v>
      </c>
      <c r="G79" s="67" t="s">
        <v>76</v>
      </c>
      <c r="H79" s="68"/>
      <c r="I79" s="35">
        <v>53</v>
      </c>
      <c r="J79" s="9">
        <f t="shared" si="2"/>
        <v>0</v>
      </c>
      <c r="K79" s="39"/>
      <c r="L79" s="39"/>
      <c r="M79" s="39"/>
      <c r="N79" s="39"/>
      <c r="O79" s="39"/>
      <c r="P79" s="39"/>
      <c r="Q79" s="39"/>
      <c r="R79" s="39"/>
      <c r="S79" s="10">
        <f t="shared" si="15"/>
        <v>0</v>
      </c>
      <c r="T79" s="10">
        <v>100000</v>
      </c>
      <c r="U79" s="10">
        <f t="shared" si="16"/>
        <v>0</v>
      </c>
      <c r="V79" s="4"/>
      <c r="W79" s="4"/>
      <c r="X79" s="4"/>
      <c r="Y79" s="4"/>
    </row>
    <row r="80" spans="2:25" ht="18.75" hidden="1">
      <c r="B80" s="58"/>
      <c r="C80" s="60"/>
      <c r="D80" s="52" t="s">
        <v>100</v>
      </c>
      <c r="E80" s="63"/>
      <c r="F80" s="8">
        <v>0.66666666666666663</v>
      </c>
      <c r="G80" s="67" t="s">
        <v>76</v>
      </c>
      <c r="H80" s="68"/>
      <c r="I80" s="35">
        <v>53</v>
      </c>
      <c r="J80" s="9">
        <f t="shared" si="2"/>
        <v>0</v>
      </c>
      <c r="K80" s="39"/>
      <c r="L80" s="39"/>
      <c r="M80" s="39"/>
      <c r="N80" s="39"/>
      <c r="O80" s="39"/>
      <c r="P80" s="39"/>
      <c r="Q80" s="39"/>
      <c r="R80" s="39"/>
      <c r="S80" s="10">
        <f t="shared" si="15"/>
        <v>0</v>
      </c>
      <c r="T80" s="10">
        <v>100000</v>
      </c>
      <c r="U80" s="10">
        <f>T80*S80</f>
        <v>0</v>
      </c>
      <c r="V80" s="4"/>
      <c r="W80" s="4"/>
      <c r="X80" s="4"/>
      <c r="Y80" s="4"/>
    </row>
    <row r="81" spans="2:25" ht="18.75" hidden="1">
      <c r="B81" s="58"/>
      <c r="C81" s="60"/>
      <c r="D81" s="52" t="s">
        <v>100</v>
      </c>
      <c r="E81" s="63"/>
      <c r="F81" s="8">
        <v>0.75</v>
      </c>
      <c r="G81" s="67" t="s">
        <v>76</v>
      </c>
      <c r="H81" s="68"/>
      <c r="I81" s="35">
        <v>40</v>
      </c>
      <c r="J81" s="9">
        <f t="shared" si="2"/>
        <v>2.5000000000000001E-2</v>
      </c>
      <c r="K81" s="39"/>
      <c r="L81" s="39"/>
      <c r="M81" s="39"/>
      <c r="N81" s="39"/>
      <c r="O81" s="39"/>
      <c r="P81" s="39"/>
      <c r="Q81" s="39">
        <v>1</v>
      </c>
      <c r="R81" s="39"/>
      <c r="S81" s="10">
        <f t="shared" si="15"/>
        <v>1</v>
      </c>
      <c r="T81" s="10">
        <v>100000</v>
      </c>
      <c r="U81" s="10">
        <f t="shared" ref="U81:U88" si="17">T81*S81</f>
        <v>100000</v>
      </c>
      <c r="V81" s="4"/>
      <c r="W81" s="4"/>
      <c r="X81" s="11"/>
      <c r="Y81" s="4"/>
    </row>
    <row r="82" spans="2:25" ht="18.75" hidden="1">
      <c r="B82" s="58"/>
      <c r="C82" s="60"/>
      <c r="D82" s="53" t="s">
        <v>100</v>
      </c>
      <c r="E82" s="64"/>
      <c r="F82" s="12">
        <v>0.83333333333333337</v>
      </c>
      <c r="G82" s="67" t="s">
        <v>76</v>
      </c>
      <c r="H82" s="68"/>
      <c r="I82" s="36">
        <v>53</v>
      </c>
      <c r="J82" s="9">
        <f t="shared" si="2"/>
        <v>0</v>
      </c>
      <c r="K82" s="41"/>
      <c r="L82" s="41"/>
      <c r="M82" s="41"/>
      <c r="N82" s="41"/>
      <c r="O82" s="41"/>
      <c r="P82" s="41"/>
      <c r="Q82" s="41"/>
      <c r="R82" s="41"/>
      <c r="S82" s="13">
        <f t="shared" si="15"/>
        <v>0</v>
      </c>
      <c r="T82" s="13">
        <v>100000</v>
      </c>
      <c r="U82" s="13">
        <f t="shared" si="17"/>
        <v>0</v>
      </c>
      <c r="V82" s="4"/>
      <c r="Y82" s="4"/>
    </row>
    <row r="83" spans="2:25" ht="18.75" hidden="1">
      <c r="B83" s="58"/>
      <c r="C83" s="60"/>
      <c r="D83" s="51" t="s">
        <v>100</v>
      </c>
      <c r="E83" s="62" t="s">
        <v>102</v>
      </c>
      <c r="F83" s="5">
        <v>0.91666666666666663</v>
      </c>
      <c r="G83" s="65" t="s">
        <v>88</v>
      </c>
      <c r="H83" s="66"/>
      <c r="I83" s="34">
        <v>45</v>
      </c>
      <c r="J83" s="6">
        <f t="shared" ref="J83:J136" si="18">IFERROR(S83/I83,"")</f>
        <v>2.2222222222222223E-2</v>
      </c>
      <c r="K83" s="38">
        <v>1</v>
      </c>
      <c r="L83" s="38"/>
      <c r="M83" s="38"/>
      <c r="N83" s="38"/>
      <c r="O83" s="38"/>
      <c r="P83" s="38"/>
      <c r="Q83" s="38"/>
      <c r="R83" s="38"/>
      <c r="S83" s="7">
        <f t="shared" si="15"/>
        <v>1</v>
      </c>
      <c r="T83" s="7">
        <v>100000</v>
      </c>
      <c r="U83" s="7">
        <f t="shared" si="17"/>
        <v>100000</v>
      </c>
      <c r="V83" s="4"/>
      <c r="Y83" s="4"/>
    </row>
    <row r="84" spans="2:25" ht="18.75" hidden="1">
      <c r="B84" s="58"/>
      <c r="C84" s="60"/>
      <c r="D84" s="52" t="s">
        <v>100</v>
      </c>
      <c r="E84" s="63"/>
      <c r="F84" s="8">
        <v>1</v>
      </c>
      <c r="G84" s="67" t="s">
        <v>88</v>
      </c>
      <c r="H84" s="68"/>
      <c r="I84" s="35">
        <v>45</v>
      </c>
      <c r="J84" s="9">
        <f t="shared" si="18"/>
        <v>2.2222222222222223E-2</v>
      </c>
      <c r="K84" s="39"/>
      <c r="L84" s="39"/>
      <c r="M84" s="39">
        <v>1</v>
      </c>
      <c r="N84" s="39"/>
      <c r="O84" s="39"/>
      <c r="P84" s="39"/>
      <c r="Q84" s="39"/>
      <c r="R84" s="39"/>
      <c r="S84" s="10">
        <f t="shared" si="15"/>
        <v>1</v>
      </c>
      <c r="T84" s="10">
        <v>100000</v>
      </c>
      <c r="U84" s="10">
        <f t="shared" si="17"/>
        <v>100000</v>
      </c>
      <c r="V84" s="4"/>
      <c r="Y84" s="4"/>
    </row>
    <row r="85" spans="2:25" ht="18.75" hidden="1">
      <c r="B85" s="58"/>
      <c r="C85" s="60"/>
      <c r="D85" s="52" t="s">
        <v>100</v>
      </c>
      <c r="E85" s="63"/>
      <c r="F85" s="8">
        <v>8.3333333333333329E-2</v>
      </c>
      <c r="G85" s="67" t="s">
        <v>88</v>
      </c>
      <c r="H85" s="68"/>
      <c r="I85" s="35">
        <v>45</v>
      </c>
      <c r="J85" s="9">
        <f t="shared" si="18"/>
        <v>2.2222222222222223E-2</v>
      </c>
      <c r="K85" s="39">
        <v>1</v>
      </c>
      <c r="L85" s="39"/>
      <c r="M85" s="39"/>
      <c r="N85" s="39"/>
      <c r="O85" s="39"/>
      <c r="P85" s="39"/>
      <c r="Q85" s="39"/>
      <c r="R85" s="39"/>
      <c r="S85" s="10">
        <f t="shared" si="15"/>
        <v>1</v>
      </c>
      <c r="T85" s="10">
        <v>100000</v>
      </c>
      <c r="U85" s="10">
        <f t="shared" si="17"/>
        <v>100000</v>
      </c>
      <c r="V85" s="4"/>
      <c r="Y85" s="4"/>
    </row>
    <row r="86" spans="2:25" ht="18.75" hidden="1">
      <c r="B86" s="58"/>
      <c r="C86" s="60"/>
      <c r="D86" s="52" t="s">
        <v>100</v>
      </c>
      <c r="E86" s="63"/>
      <c r="F86" s="8">
        <v>0.16666666666666666</v>
      </c>
      <c r="G86" s="67" t="s">
        <v>88</v>
      </c>
      <c r="H86" s="68"/>
      <c r="I86" s="35">
        <v>48</v>
      </c>
      <c r="J86" s="9">
        <f t="shared" si="18"/>
        <v>0</v>
      </c>
      <c r="K86" s="39"/>
      <c r="L86" s="39"/>
      <c r="M86" s="39"/>
      <c r="N86" s="39"/>
      <c r="O86" s="39"/>
      <c r="P86" s="39"/>
      <c r="Q86" s="39"/>
      <c r="R86" s="39"/>
      <c r="S86" s="10">
        <f t="shared" si="15"/>
        <v>0</v>
      </c>
      <c r="T86" s="10">
        <v>100000</v>
      </c>
      <c r="U86" s="10">
        <f t="shared" si="17"/>
        <v>0</v>
      </c>
      <c r="V86" s="4"/>
      <c r="W86" s="4"/>
      <c r="X86" s="4"/>
      <c r="Y86" s="4"/>
    </row>
    <row r="87" spans="2:25" ht="18.75" hidden="1">
      <c r="B87" s="58"/>
      <c r="C87" s="60"/>
      <c r="D87" s="52" t="s">
        <v>100</v>
      </c>
      <c r="E87" s="63"/>
      <c r="F87" s="8">
        <v>0.25</v>
      </c>
      <c r="G87" s="67" t="s">
        <v>88</v>
      </c>
      <c r="H87" s="68"/>
      <c r="I87" s="35">
        <v>48</v>
      </c>
      <c r="J87" s="9">
        <f t="shared" si="18"/>
        <v>0</v>
      </c>
      <c r="K87" s="39"/>
      <c r="L87" s="39"/>
      <c r="M87" s="39"/>
      <c r="N87" s="39"/>
      <c r="O87" s="39"/>
      <c r="P87" s="39"/>
      <c r="Q87" s="39"/>
      <c r="R87" s="39"/>
      <c r="S87" s="10">
        <f t="shared" si="15"/>
        <v>0</v>
      </c>
      <c r="T87" s="10">
        <v>100000</v>
      </c>
      <c r="U87" s="10">
        <f t="shared" si="17"/>
        <v>0</v>
      </c>
      <c r="V87" s="4"/>
      <c r="Y87" s="4"/>
    </row>
    <row r="88" spans="2:25" ht="18.75" hidden="1">
      <c r="B88" s="58"/>
      <c r="C88" s="61"/>
      <c r="D88" s="53" t="s">
        <v>100</v>
      </c>
      <c r="E88" s="64"/>
      <c r="F88" s="14">
        <v>0.33333333333333331</v>
      </c>
      <c r="G88" s="67" t="s">
        <v>88</v>
      </c>
      <c r="H88" s="68"/>
      <c r="I88" s="37">
        <v>49</v>
      </c>
      <c r="J88" s="9">
        <f t="shared" si="18"/>
        <v>0</v>
      </c>
      <c r="K88" s="40"/>
      <c r="L88" s="40"/>
      <c r="M88" s="40"/>
      <c r="N88" s="40"/>
      <c r="O88" s="40"/>
      <c r="P88" s="40"/>
      <c r="Q88" s="40"/>
      <c r="R88" s="40"/>
      <c r="S88" s="16">
        <f t="shared" si="15"/>
        <v>0</v>
      </c>
      <c r="T88" s="16">
        <v>100000</v>
      </c>
      <c r="U88" s="16">
        <f t="shared" si="17"/>
        <v>0</v>
      </c>
      <c r="V88" s="4"/>
      <c r="W88" s="4"/>
      <c r="X88" s="4"/>
      <c r="Y88" s="4"/>
    </row>
    <row r="89" spans="2:25" ht="16.5" hidden="1" customHeight="1">
      <c r="B89" s="58">
        <v>46088</v>
      </c>
      <c r="C89" s="59" t="s">
        <v>14</v>
      </c>
      <c r="D89" s="51" t="s">
        <v>100</v>
      </c>
      <c r="E89" s="62" t="s">
        <v>101</v>
      </c>
      <c r="F89" s="5">
        <v>0.41666666666666669</v>
      </c>
      <c r="G89" s="65" t="s">
        <v>74</v>
      </c>
      <c r="H89" s="66"/>
      <c r="I89" s="34">
        <v>54</v>
      </c>
      <c r="J89" s="6">
        <f t="shared" si="18"/>
        <v>0</v>
      </c>
      <c r="K89" s="38"/>
      <c r="L89" s="38"/>
      <c r="M89" s="38"/>
      <c r="N89" s="38"/>
      <c r="O89" s="38"/>
      <c r="P89" s="38"/>
      <c r="Q89" s="38"/>
      <c r="R89" s="38"/>
      <c r="S89" s="7">
        <f>SUM(K89:R89)</f>
        <v>0</v>
      </c>
      <c r="T89" s="7">
        <v>100000</v>
      </c>
      <c r="U89" s="7">
        <f>T89*S89</f>
        <v>0</v>
      </c>
      <c r="V89" s="4"/>
      <c r="W89" s="4"/>
      <c r="X89" s="4"/>
      <c r="Y89" s="4"/>
    </row>
    <row r="90" spans="2:25" ht="18.75" hidden="1">
      <c r="B90" s="58"/>
      <c r="C90" s="60"/>
      <c r="D90" s="52" t="s">
        <v>100</v>
      </c>
      <c r="E90" s="63"/>
      <c r="F90" s="8">
        <v>0.5</v>
      </c>
      <c r="G90" s="67" t="s">
        <v>74</v>
      </c>
      <c r="H90" s="68"/>
      <c r="I90" s="35">
        <v>27</v>
      </c>
      <c r="J90" s="9">
        <f t="shared" si="18"/>
        <v>3.7037037037037035E-2</v>
      </c>
      <c r="K90" s="39"/>
      <c r="L90" s="39"/>
      <c r="M90" s="39"/>
      <c r="N90" s="39"/>
      <c r="O90" s="39"/>
      <c r="P90" s="39"/>
      <c r="Q90" s="39">
        <v>1</v>
      </c>
      <c r="R90" s="39"/>
      <c r="S90" s="10">
        <f t="shared" ref="S90:S100" si="19">SUM(K90:R90)</f>
        <v>1</v>
      </c>
      <c r="T90" s="10">
        <v>100000</v>
      </c>
      <c r="U90" s="10">
        <f t="shared" ref="U90:U91" si="20">T90*S90</f>
        <v>100000</v>
      </c>
      <c r="V90" s="4"/>
      <c r="W90" s="4"/>
      <c r="X90" s="4"/>
      <c r="Y90" s="4"/>
    </row>
    <row r="91" spans="2:25" ht="18.75" hidden="1">
      <c r="B91" s="58"/>
      <c r="C91" s="60"/>
      <c r="D91" s="52" t="s">
        <v>100</v>
      </c>
      <c r="E91" s="63"/>
      <c r="F91" s="8">
        <v>0.58333333333333337</v>
      </c>
      <c r="G91" s="67" t="s">
        <v>74</v>
      </c>
      <c r="H91" s="68"/>
      <c r="I91" s="35">
        <v>54</v>
      </c>
      <c r="J91" s="9">
        <f t="shared" si="18"/>
        <v>0</v>
      </c>
      <c r="K91" s="39"/>
      <c r="L91" s="39"/>
      <c r="M91" s="39"/>
      <c r="N91" s="39"/>
      <c r="O91" s="39"/>
      <c r="P91" s="39"/>
      <c r="Q91" s="39"/>
      <c r="R91" s="39"/>
      <c r="S91" s="10">
        <f t="shared" si="19"/>
        <v>0</v>
      </c>
      <c r="T91" s="10">
        <v>100000</v>
      </c>
      <c r="U91" s="10">
        <f t="shared" si="20"/>
        <v>0</v>
      </c>
      <c r="V91" s="4"/>
      <c r="W91" s="4"/>
      <c r="X91" s="4"/>
      <c r="Y91" s="4"/>
    </row>
    <row r="92" spans="2:25" ht="18.75" hidden="1">
      <c r="B92" s="58"/>
      <c r="C92" s="60"/>
      <c r="D92" s="52" t="s">
        <v>100</v>
      </c>
      <c r="E92" s="63"/>
      <c r="F92" s="8">
        <v>0.66666666666666663</v>
      </c>
      <c r="G92" s="67" t="s">
        <v>74</v>
      </c>
      <c r="H92" s="68"/>
      <c r="I92" s="35">
        <v>54</v>
      </c>
      <c r="J92" s="9">
        <f t="shared" si="18"/>
        <v>0</v>
      </c>
      <c r="K92" s="39"/>
      <c r="L92" s="39"/>
      <c r="M92" s="39"/>
      <c r="N92" s="39"/>
      <c r="O92" s="39"/>
      <c r="P92" s="39"/>
      <c r="Q92" s="39"/>
      <c r="R92" s="39"/>
      <c r="S92" s="10">
        <f t="shared" si="19"/>
        <v>0</v>
      </c>
      <c r="T92" s="10">
        <v>100000</v>
      </c>
      <c r="U92" s="10">
        <f>T92*S92</f>
        <v>0</v>
      </c>
      <c r="V92" s="4"/>
      <c r="W92" s="4"/>
      <c r="X92" s="4"/>
      <c r="Y92" s="4"/>
    </row>
    <row r="93" spans="2:25" ht="18.75" hidden="1">
      <c r="B93" s="58"/>
      <c r="C93" s="60"/>
      <c r="D93" s="52" t="s">
        <v>100</v>
      </c>
      <c r="E93" s="63"/>
      <c r="F93" s="8">
        <v>0.75</v>
      </c>
      <c r="G93" s="67" t="s">
        <v>74</v>
      </c>
      <c r="H93" s="68"/>
      <c r="I93" s="35">
        <v>37</v>
      </c>
      <c r="J93" s="9">
        <f t="shared" si="18"/>
        <v>2.7027027027027029E-2</v>
      </c>
      <c r="K93" s="39"/>
      <c r="L93" s="39"/>
      <c r="M93" s="39"/>
      <c r="N93" s="39"/>
      <c r="O93" s="39"/>
      <c r="P93" s="39"/>
      <c r="Q93" s="39">
        <v>1</v>
      </c>
      <c r="R93" s="39"/>
      <c r="S93" s="10">
        <f t="shared" si="19"/>
        <v>1</v>
      </c>
      <c r="T93" s="10">
        <v>100000</v>
      </c>
      <c r="U93" s="10">
        <f t="shared" ref="U93:U100" si="21">T93*S93</f>
        <v>100000</v>
      </c>
      <c r="V93" s="4"/>
      <c r="W93" s="4"/>
      <c r="X93" s="11"/>
      <c r="Y93" s="4"/>
    </row>
    <row r="94" spans="2:25" ht="18.75" hidden="1">
      <c r="B94" s="58"/>
      <c r="C94" s="60"/>
      <c r="D94" s="53" t="s">
        <v>100</v>
      </c>
      <c r="E94" s="64"/>
      <c r="F94" s="12">
        <v>0.83333333333333337</v>
      </c>
      <c r="G94" s="67" t="s">
        <v>74</v>
      </c>
      <c r="H94" s="68"/>
      <c r="I94" s="36">
        <v>54</v>
      </c>
      <c r="J94" s="9">
        <f t="shared" si="18"/>
        <v>0</v>
      </c>
      <c r="K94" s="41"/>
      <c r="L94" s="41"/>
      <c r="M94" s="41"/>
      <c r="N94" s="41"/>
      <c r="O94" s="41"/>
      <c r="P94" s="41"/>
      <c r="Q94" s="41"/>
      <c r="R94" s="41"/>
      <c r="S94" s="13">
        <f t="shared" si="19"/>
        <v>0</v>
      </c>
      <c r="T94" s="13">
        <v>100000</v>
      </c>
      <c r="U94" s="13">
        <f t="shared" si="21"/>
        <v>0</v>
      </c>
      <c r="V94" s="4"/>
      <c r="Y94" s="4"/>
    </row>
    <row r="95" spans="2:25" ht="18.75" hidden="1">
      <c r="B95" s="58"/>
      <c r="C95" s="60"/>
      <c r="D95" s="51" t="s">
        <v>100</v>
      </c>
      <c r="E95" s="62" t="s">
        <v>102</v>
      </c>
      <c r="F95" s="5">
        <v>0.91666666666666663</v>
      </c>
      <c r="G95" s="65" t="s">
        <v>86</v>
      </c>
      <c r="H95" s="66"/>
      <c r="I95" s="34">
        <v>50</v>
      </c>
      <c r="J95" s="6">
        <f t="shared" si="18"/>
        <v>0.04</v>
      </c>
      <c r="K95" s="38"/>
      <c r="L95" s="38"/>
      <c r="M95" s="38"/>
      <c r="N95" s="38"/>
      <c r="O95" s="38"/>
      <c r="P95" s="38"/>
      <c r="Q95" s="38">
        <v>2</v>
      </c>
      <c r="R95" s="38"/>
      <c r="S95" s="7">
        <f t="shared" si="19"/>
        <v>2</v>
      </c>
      <c r="T95" s="7">
        <v>100000</v>
      </c>
      <c r="U95" s="7">
        <f t="shared" si="21"/>
        <v>200000</v>
      </c>
      <c r="V95" s="4"/>
      <c r="Y95" s="4"/>
    </row>
    <row r="96" spans="2:25" ht="18.75" hidden="1">
      <c r="B96" s="58"/>
      <c r="C96" s="60"/>
      <c r="D96" s="52" t="s">
        <v>100</v>
      </c>
      <c r="E96" s="63"/>
      <c r="F96" s="8">
        <v>1</v>
      </c>
      <c r="G96" s="67" t="s">
        <v>86</v>
      </c>
      <c r="H96" s="68"/>
      <c r="I96" s="35">
        <v>50</v>
      </c>
      <c r="J96" s="9">
        <f t="shared" si="18"/>
        <v>0.04</v>
      </c>
      <c r="K96" s="39"/>
      <c r="L96" s="39"/>
      <c r="M96" s="39"/>
      <c r="N96" s="39"/>
      <c r="O96" s="39"/>
      <c r="P96" s="39"/>
      <c r="Q96" s="39">
        <v>2</v>
      </c>
      <c r="R96" s="39"/>
      <c r="S96" s="10">
        <f t="shared" si="19"/>
        <v>2</v>
      </c>
      <c r="T96" s="10">
        <v>100000</v>
      </c>
      <c r="U96" s="10">
        <f t="shared" si="21"/>
        <v>200000</v>
      </c>
      <c r="V96" s="4"/>
      <c r="Y96" s="4"/>
    </row>
    <row r="97" spans="2:25" ht="18.75" hidden="1">
      <c r="B97" s="58"/>
      <c r="C97" s="60"/>
      <c r="D97" s="52" t="s">
        <v>100</v>
      </c>
      <c r="E97" s="63"/>
      <c r="F97" s="8">
        <v>8.3333333333333329E-2</v>
      </c>
      <c r="G97" s="67" t="s">
        <v>86</v>
      </c>
      <c r="H97" s="68"/>
      <c r="I97" s="35">
        <v>50</v>
      </c>
      <c r="J97" s="9">
        <f t="shared" si="18"/>
        <v>0.04</v>
      </c>
      <c r="K97" s="39"/>
      <c r="L97" s="39"/>
      <c r="M97" s="39">
        <v>2</v>
      </c>
      <c r="N97" s="39"/>
      <c r="O97" s="39"/>
      <c r="P97" s="39"/>
      <c r="Q97" s="39"/>
      <c r="R97" s="39"/>
      <c r="S97" s="10">
        <f t="shared" si="19"/>
        <v>2</v>
      </c>
      <c r="T97" s="10">
        <v>100000</v>
      </c>
      <c r="U97" s="10">
        <f t="shared" si="21"/>
        <v>200000</v>
      </c>
      <c r="V97" s="4"/>
      <c r="Y97" s="4"/>
    </row>
    <row r="98" spans="2:25" ht="18.75" hidden="1">
      <c r="B98" s="58"/>
      <c r="C98" s="60"/>
      <c r="D98" s="52" t="s">
        <v>100</v>
      </c>
      <c r="E98" s="63"/>
      <c r="F98" s="8">
        <v>0.16666666666666666</v>
      </c>
      <c r="G98" s="67" t="s">
        <v>86</v>
      </c>
      <c r="H98" s="68"/>
      <c r="I98" s="35">
        <v>50</v>
      </c>
      <c r="J98" s="9">
        <f t="shared" si="18"/>
        <v>0.02</v>
      </c>
      <c r="K98" s="39"/>
      <c r="L98" s="39"/>
      <c r="M98" s="39">
        <v>1</v>
      </c>
      <c r="N98" s="39"/>
      <c r="O98" s="39"/>
      <c r="P98" s="39"/>
      <c r="Q98" s="39"/>
      <c r="R98" s="39"/>
      <c r="S98" s="10">
        <f t="shared" si="19"/>
        <v>1</v>
      </c>
      <c r="T98" s="10">
        <v>100000</v>
      </c>
      <c r="U98" s="10">
        <f t="shared" si="21"/>
        <v>100000</v>
      </c>
      <c r="V98" s="4"/>
      <c r="W98" s="4"/>
      <c r="X98" s="4"/>
      <c r="Y98" s="4"/>
    </row>
    <row r="99" spans="2:25" ht="18.75" hidden="1">
      <c r="B99" s="58"/>
      <c r="C99" s="60"/>
      <c r="D99" s="52" t="s">
        <v>100</v>
      </c>
      <c r="E99" s="63"/>
      <c r="F99" s="8">
        <v>0.25</v>
      </c>
      <c r="G99" s="67" t="s">
        <v>86</v>
      </c>
      <c r="H99" s="68"/>
      <c r="I99" s="35">
        <v>20</v>
      </c>
      <c r="J99" s="9">
        <f t="shared" si="18"/>
        <v>0</v>
      </c>
      <c r="K99" s="39"/>
      <c r="L99" s="39"/>
      <c r="M99" s="39"/>
      <c r="N99" s="39"/>
      <c r="O99" s="39"/>
      <c r="P99" s="39"/>
      <c r="Q99" s="39"/>
      <c r="R99" s="39"/>
      <c r="S99" s="10">
        <f t="shared" si="19"/>
        <v>0</v>
      </c>
      <c r="T99" s="10">
        <v>100000</v>
      </c>
      <c r="U99" s="10">
        <f t="shared" si="21"/>
        <v>0</v>
      </c>
      <c r="V99" s="4"/>
      <c r="Y99" s="4"/>
    </row>
    <row r="100" spans="2:25" ht="18.75" hidden="1">
      <c r="B100" s="58"/>
      <c r="C100" s="61"/>
      <c r="D100" s="53" t="s">
        <v>100</v>
      </c>
      <c r="E100" s="64"/>
      <c r="F100" s="14">
        <v>0.33333333333333331</v>
      </c>
      <c r="G100" s="67" t="s">
        <v>86</v>
      </c>
      <c r="H100" s="68"/>
      <c r="I100" s="37">
        <v>0</v>
      </c>
      <c r="J100" s="9" t="str">
        <f t="shared" si="18"/>
        <v/>
      </c>
      <c r="K100" s="40"/>
      <c r="L100" s="40"/>
      <c r="M100" s="40"/>
      <c r="N100" s="40"/>
      <c r="O100" s="40"/>
      <c r="P100" s="40"/>
      <c r="Q100" s="40"/>
      <c r="R100" s="40"/>
      <c r="S100" s="16">
        <f t="shared" si="19"/>
        <v>0</v>
      </c>
      <c r="T100" s="16">
        <v>100000</v>
      </c>
      <c r="U100" s="16">
        <f t="shared" si="21"/>
        <v>0</v>
      </c>
      <c r="V100" s="4"/>
      <c r="W100" s="4"/>
      <c r="X100" s="4"/>
      <c r="Y100" s="4"/>
    </row>
    <row r="101" spans="2:25" ht="16.5" hidden="1" customHeight="1">
      <c r="B101" s="58">
        <v>46089</v>
      </c>
      <c r="C101" s="59" t="s">
        <v>14</v>
      </c>
      <c r="D101" s="51" t="s">
        <v>60</v>
      </c>
      <c r="E101" s="62" t="s">
        <v>101</v>
      </c>
      <c r="F101" s="5">
        <v>0.41666666666666669</v>
      </c>
      <c r="G101" s="65" t="s">
        <v>74</v>
      </c>
      <c r="H101" s="66"/>
      <c r="I101" s="34">
        <v>15</v>
      </c>
      <c r="J101" s="6">
        <f t="shared" si="18"/>
        <v>0.46666666666666667</v>
      </c>
      <c r="K101" s="38"/>
      <c r="L101" s="38"/>
      <c r="M101" s="38">
        <v>1</v>
      </c>
      <c r="N101" s="38"/>
      <c r="O101" s="38"/>
      <c r="P101" s="38"/>
      <c r="Q101" s="38">
        <v>6</v>
      </c>
      <c r="R101" s="38"/>
      <c r="S101" s="7">
        <f>SUM(K101:R101)</f>
        <v>7</v>
      </c>
      <c r="T101" s="7">
        <v>100000</v>
      </c>
      <c r="U101" s="7">
        <f>T101*S101</f>
        <v>700000</v>
      </c>
      <c r="V101" s="4"/>
      <c r="W101" s="4"/>
      <c r="X101" s="4"/>
      <c r="Y101" s="4"/>
    </row>
    <row r="102" spans="2:25" ht="18.75" hidden="1">
      <c r="B102" s="58"/>
      <c r="C102" s="60"/>
      <c r="D102" s="52" t="s">
        <v>60</v>
      </c>
      <c r="E102" s="63"/>
      <c r="F102" s="8">
        <v>0.5</v>
      </c>
      <c r="G102" s="67" t="s">
        <v>74</v>
      </c>
      <c r="H102" s="68"/>
      <c r="I102" s="35">
        <v>60</v>
      </c>
      <c r="J102" s="9">
        <f t="shared" si="18"/>
        <v>0</v>
      </c>
      <c r="K102" s="39"/>
      <c r="L102" s="39"/>
      <c r="M102" s="39"/>
      <c r="N102" s="39"/>
      <c r="O102" s="39"/>
      <c r="P102" s="39"/>
      <c r="Q102" s="39"/>
      <c r="R102" s="39"/>
      <c r="S102" s="10">
        <f t="shared" ref="S102:S112" si="22">SUM(K102:R102)</f>
        <v>0</v>
      </c>
      <c r="T102" s="10">
        <v>100000</v>
      </c>
      <c r="U102" s="10">
        <f t="shared" ref="U102:U103" si="23">T102*S102</f>
        <v>0</v>
      </c>
      <c r="V102" s="4"/>
      <c r="W102" s="4"/>
      <c r="X102" s="4"/>
      <c r="Y102" s="4"/>
    </row>
    <row r="103" spans="2:25" ht="18.75" hidden="1">
      <c r="B103" s="58"/>
      <c r="C103" s="60"/>
      <c r="D103" s="52" t="s">
        <v>60</v>
      </c>
      <c r="E103" s="63"/>
      <c r="F103" s="8">
        <v>0.58333333333333337</v>
      </c>
      <c r="G103" s="67" t="s">
        <v>74</v>
      </c>
      <c r="H103" s="68"/>
      <c r="I103" s="35">
        <v>60</v>
      </c>
      <c r="J103" s="9">
        <f t="shared" si="18"/>
        <v>0</v>
      </c>
      <c r="K103" s="39"/>
      <c r="L103" s="39"/>
      <c r="M103" s="39"/>
      <c r="N103" s="39"/>
      <c r="O103" s="39"/>
      <c r="P103" s="39"/>
      <c r="Q103" s="39"/>
      <c r="R103" s="39"/>
      <c r="S103" s="10">
        <f t="shared" si="22"/>
        <v>0</v>
      </c>
      <c r="T103" s="10">
        <v>100000</v>
      </c>
      <c r="U103" s="10">
        <f t="shared" si="23"/>
        <v>0</v>
      </c>
      <c r="V103" s="4"/>
      <c r="W103" s="4"/>
      <c r="X103" s="4"/>
      <c r="Y103" s="4"/>
    </row>
    <row r="104" spans="2:25" ht="18.75" hidden="1">
      <c r="B104" s="58"/>
      <c r="C104" s="60"/>
      <c r="D104" s="52" t="s">
        <v>60</v>
      </c>
      <c r="E104" s="63"/>
      <c r="F104" s="8">
        <v>0.66666666666666663</v>
      </c>
      <c r="G104" s="67" t="s">
        <v>74</v>
      </c>
      <c r="H104" s="68"/>
      <c r="I104" s="35">
        <v>60</v>
      </c>
      <c r="J104" s="9">
        <f t="shared" si="18"/>
        <v>0</v>
      </c>
      <c r="K104" s="39"/>
      <c r="L104" s="39"/>
      <c r="M104" s="39"/>
      <c r="N104" s="39"/>
      <c r="O104" s="39"/>
      <c r="P104" s="39"/>
      <c r="Q104" s="39"/>
      <c r="R104" s="39"/>
      <c r="S104" s="10">
        <f t="shared" si="22"/>
        <v>0</v>
      </c>
      <c r="T104" s="10">
        <v>100000</v>
      </c>
      <c r="U104" s="10">
        <f>T104*S104</f>
        <v>0</v>
      </c>
      <c r="V104" s="4"/>
      <c r="W104" s="4"/>
      <c r="X104" s="4"/>
      <c r="Y104" s="4"/>
    </row>
    <row r="105" spans="2:25" ht="18.75" hidden="1">
      <c r="B105" s="58"/>
      <c r="C105" s="60"/>
      <c r="D105" s="52" t="s">
        <v>60</v>
      </c>
      <c r="E105" s="63"/>
      <c r="F105" s="8">
        <v>0.75</v>
      </c>
      <c r="G105" s="67" t="s">
        <v>74</v>
      </c>
      <c r="H105" s="68"/>
      <c r="I105" s="35">
        <v>15</v>
      </c>
      <c r="J105" s="9">
        <f t="shared" si="18"/>
        <v>0</v>
      </c>
      <c r="K105" s="39"/>
      <c r="L105" s="39"/>
      <c r="M105" s="39"/>
      <c r="N105" s="39"/>
      <c r="O105" s="39"/>
      <c r="P105" s="39"/>
      <c r="Q105" s="39"/>
      <c r="R105" s="39"/>
      <c r="S105" s="10">
        <f t="shared" si="22"/>
        <v>0</v>
      </c>
      <c r="T105" s="10">
        <v>100000</v>
      </c>
      <c r="U105" s="10">
        <f t="shared" ref="U105:U112" si="24">T105*S105</f>
        <v>0</v>
      </c>
      <c r="V105" s="4"/>
      <c r="W105" s="4"/>
      <c r="X105" s="11"/>
      <c r="Y105" s="4"/>
    </row>
    <row r="106" spans="2:25" ht="18.75" hidden="1">
      <c r="B106" s="58"/>
      <c r="C106" s="60"/>
      <c r="D106" s="53" t="s">
        <v>60</v>
      </c>
      <c r="E106" s="64"/>
      <c r="F106" s="12">
        <v>0.83333333333333337</v>
      </c>
      <c r="G106" s="67" t="s">
        <v>74</v>
      </c>
      <c r="H106" s="68"/>
      <c r="I106" s="36"/>
      <c r="J106" s="9" t="str">
        <f t="shared" si="18"/>
        <v/>
      </c>
      <c r="K106" s="41"/>
      <c r="L106" s="41"/>
      <c r="M106" s="41"/>
      <c r="N106" s="41"/>
      <c r="O106" s="41"/>
      <c r="P106" s="41"/>
      <c r="Q106" s="41"/>
      <c r="R106" s="41"/>
      <c r="S106" s="13">
        <f t="shared" si="22"/>
        <v>0</v>
      </c>
      <c r="T106" s="13">
        <v>100000</v>
      </c>
      <c r="U106" s="13">
        <f t="shared" si="24"/>
        <v>0</v>
      </c>
      <c r="V106" s="4"/>
      <c r="Y106" s="4"/>
    </row>
    <row r="107" spans="2:25" ht="18.75" hidden="1">
      <c r="B107" s="58"/>
      <c r="C107" s="60"/>
      <c r="D107" s="51" t="s">
        <v>60</v>
      </c>
      <c r="E107" s="62" t="s">
        <v>102</v>
      </c>
      <c r="F107" s="5">
        <v>0.91666666666666663</v>
      </c>
      <c r="G107" s="65" t="s">
        <v>88</v>
      </c>
      <c r="H107" s="66"/>
      <c r="I107" s="34">
        <v>23</v>
      </c>
      <c r="J107" s="6">
        <f t="shared" si="18"/>
        <v>0.2608695652173913</v>
      </c>
      <c r="K107" s="38"/>
      <c r="L107" s="38"/>
      <c r="M107" s="38">
        <v>1</v>
      </c>
      <c r="N107" s="38"/>
      <c r="O107" s="38"/>
      <c r="P107" s="38"/>
      <c r="Q107" s="38">
        <v>5</v>
      </c>
      <c r="R107" s="38"/>
      <c r="S107" s="7">
        <f t="shared" si="22"/>
        <v>6</v>
      </c>
      <c r="T107" s="7">
        <v>100000</v>
      </c>
      <c r="U107" s="7">
        <f t="shared" si="24"/>
        <v>600000</v>
      </c>
      <c r="V107" s="4"/>
      <c r="Y107" s="4"/>
    </row>
    <row r="108" spans="2:25" ht="18.75" hidden="1">
      <c r="B108" s="58"/>
      <c r="C108" s="60"/>
      <c r="D108" s="52" t="s">
        <v>60</v>
      </c>
      <c r="E108" s="63"/>
      <c r="F108" s="8">
        <v>1</v>
      </c>
      <c r="G108" s="67" t="s">
        <v>88</v>
      </c>
      <c r="H108" s="68"/>
      <c r="I108" s="35">
        <v>59</v>
      </c>
      <c r="J108" s="9">
        <f t="shared" si="18"/>
        <v>1.6949152542372881E-2</v>
      </c>
      <c r="K108" s="39"/>
      <c r="L108" s="39"/>
      <c r="M108" s="39">
        <v>1</v>
      </c>
      <c r="N108" s="39"/>
      <c r="O108" s="39"/>
      <c r="P108" s="39"/>
      <c r="Q108" s="39"/>
      <c r="R108" s="39"/>
      <c r="S108" s="10">
        <f t="shared" si="22"/>
        <v>1</v>
      </c>
      <c r="T108" s="10">
        <v>100000</v>
      </c>
      <c r="U108" s="10">
        <f t="shared" si="24"/>
        <v>100000</v>
      </c>
      <c r="V108" s="4"/>
      <c r="Y108" s="4"/>
    </row>
    <row r="109" spans="2:25" ht="18.75" hidden="1">
      <c r="B109" s="58"/>
      <c r="C109" s="60"/>
      <c r="D109" s="52" t="s">
        <v>60</v>
      </c>
      <c r="E109" s="63"/>
      <c r="F109" s="8">
        <v>8.3333333333333329E-2</v>
      </c>
      <c r="G109" s="67" t="s">
        <v>88</v>
      </c>
      <c r="H109" s="68"/>
      <c r="I109" s="35">
        <v>59</v>
      </c>
      <c r="J109" s="9">
        <f t="shared" si="18"/>
        <v>1.6949152542372881E-2</v>
      </c>
      <c r="K109" s="39"/>
      <c r="L109" s="39"/>
      <c r="M109" s="39">
        <v>1</v>
      </c>
      <c r="N109" s="39"/>
      <c r="O109" s="39"/>
      <c r="P109" s="39"/>
      <c r="Q109" s="39"/>
      <c r="R109" s="39"/>
      <c r="S109" s="10">
        <f t="shared" si="22"/>
        <v>1</v>
      </c>
      <c r="T109" s="10">
        <v>100000</v>
      </c>
      <c r="U109" s="10">
        <f t="shared" si="24"/>
        <v>100000</v>
      </c>
      <c r="V109" s="4"/>
      <c r="Y109" s="4"/>
    </row>
    <row r="110" spans="2:25" ht="18.75" hidden="1">
      <c r="B110" s="58"/>
      <c r="C110" s="60"/>
      <c r="D110" s="52" t="s">
        <v>60</v>
      </c>
      <c r="E110" s="63"/>
      <c r="F110" s="8">
        <v>0.16666666666666666</v>
      </c>
      <c r="G110" s="67" t="s">
        <v>88</v>
      </c>
      <c r="H110" s="68"/>
      <c r="I110" s="35">
        <v>59</v>
      </c>
      <c r="J110" s="9">
        <f t="shared" si="18"/>
        <v>1.6949152542372881E-2</v>
      </c>
      <c r="K110" s="39"/>
      <c r="L110" s="39"/>
      <c r="M110" s="39">
        <v>1</v>
      </c>
      <c r="N110" s="39"/>
      <c r="O110" s="39"/>
      <c r="P110" s="39"/>
      <c r="Q110" s="39"/>
      <c r="R110" s="39"/>
      <c r="S110" s="10">
        <f t="shared" si="22"/>
        <v>1</v>
      </c>
      <c r="T110" s="10">
        <v>100000</v>
      </c>
      <c r="U110" s="10">
        <f t="shared" si="24"/>
        <v>100000</v>
      </c>
      <c r="V110" s="4"/>
      <c r="W110" s="4"/>
      <c r="X110" s="4"/>
      <c r="Y110" s="4"/>
    </row>
    <row r="111" spans="2:25" ht="18.75" hidden="1">
      <c r="B111" s="58"/>
      <c r="C111" s="60"/>
      <c r="D111" s="52" t="s">
        <v>60</v>
      </c>
      <c r="E111" s="63"/>
      <c r="F111" s="8">
        <v>0.25</v>
      </c>
      <c r="G111" s="67" t="s">
        <v>88</v>
      </c>
      <c r="H111" s="68"/>
      <c r="I111" s="35">
        <v>60</v>
      </c>
      <c r="J111" s="9">
        <f t="shared" si="18"/>
        <v>0</v>
      </c>
      <c r="K111" s="39"/>
      <c r="L111" s="39"/>
      <c r="M111" s="39"/>
      <c r="N111" s="39"/>
      <c r="O111" s="39"/>
      <c r="P111" s="39"/>
      <c r="Q111" s="39"/>
      <c r="R111" s="39"/>
      <c r="S111" s="10">
        <f t="shared" si="22"/>
        <v>0</v>
      </c>
      <c r="T111" s="10">
        <v>100000</v>
      </c>
      <c r="U111" s="10">
        <f t="shared" si="24"/>
        <v>0</v>
      </c>
      <c r="V111" s="4"/>
      <c r="Y111" s="4"/>
    </row>
    <row r="112" spans="2:25" ht="18.75" hidden="1">
      <c r="B112" s="58"/>
      <c r="C112" s="61"/>
      <c r="D112" s="53" t="s">
        <v>60</v>
      </c>
      <c r="E112" s="64"/>
      <c r="F112" s="14">
        <v>0.33333333333333331</v>
      </c>
      <c r="G112" s="67" t="s">
        <v>88</v>
      </c>
      <c r="H112" s="68"/>
      <c r="I112" s="37">
        <v>60</v>
      </c>
      <c r="J112" s="9">
        <f t="shared" si="18"/>
        <v>0</v>
      </c>
      <c r="K112" s="40"/>
      <c r="L112" s="40"/>
      <c r="M112" s="40"/>
      <c r="N112" s="40"/>
      <c r="O112" s="40"/>
      <c r="P112" s="40"/>
      <c r="Q112" s="40"/>
      <c r="R112" s="40"/>
      <c r="S112" s="16">
        <f t="shared" si="22"/>
        <v>0</v>
      </c>
      <c r="T112" s="16">
        <v>100000</v>
      </c>
      <c r="U112" s="16">
        <f t="shared" si="24"/>
        <v>0</v>
      </c>
      <c r="V112" s="4"/>
      <c r="W112" s="4"/>
      <c r="X112" s="4"/>
      <c r="Y112" s="4"/>
    </row>
    <row r="113" spans="2:25" ht="16.5" hidden="1" customHeight="1">
      <c r="B113" s="58">
        <v>46090</v>
      </c>
      <c r="C113" s="59" t="s">
        <v>14</v>
      </c>
      <c r="D113" s="51" t="s">
        <v>60</v>
      </c>
      <c r="E113" s="62" t="s">
        <v>101</v>
      </c>
      <c r="F113" s="5">
        <v>0.41666666666666669</v>
      </c>
      <c r="G113" s="65" t="s">
        <v>75</v>
      </c>
      <c r="H113" s="66"/>
      <c r="I113" s="34">
        <v>26</v>
      </c>
      <c r="J113" s="6">
        <f t="shared" si="18"/>
        <v>0.61538461538461542</v>
      </c>
      <c r="K113" s="38"/>
      <c r="L113" s="38"/>
      <c r="M113" s="38"/>
      <c r="N113" s="38"/>
      <c r="O113" s="38"/>
      <c r="P113" s="38"/>
      <c r="Q113" s="38">
        <v>12</v>
      </c>
      <c r="R113" s="38">
        <v>4</v>
      </c>
      <c r="S113" s="7">
        <f>SUM(K113:R113)</f>
        <v>16</v>
      </c>
      <c r="T113" s="7">
        <v>100000</v>
      </c>
      <c r="U113" s="7">
        <f>T113*S113</f>
        <v>1600000</v>
      </c>
      <c r="V113" s="4"/>
      <c r="W113" s="4"/>
      <c r="X113" s="4"/>
      <c r="Y113" s="4"/>
    </row>
    <row r="114" spans="2:25" ht="18.75" hidden="1" customHeight="1">
      <c r="B114" s="58"/>
      <c r="C114" s="60"/>
      <c r="D114" s="52" t="s">
        <v>60</v>
      </c>
      <c r="E114" s="63"/>
      <c r="F114" s="8">
        <v>0.5</v>
      </c>
      <c r="G114" s="67" t="s">
        <v>75</v>
      </c>
      <c r="H114" s="68"/>
      <c r="I114" s="35">
        <v>30</v>
      </c>
      <c r="J114" s="9">
        <f t="shared" si="18"/>
        <v>0</v>
      </c>
      <c r="K114" s="39"/>
      <c r="L114" s="39"/>
      <c r="M114" s="39"/>
      <c r="N114" s="39"/>
      <c r="O114" s="39"/>
      <c r="P114" s="39"/>
      <c r="Q114" s="39"/>
      <c r="R114" s="39"/>
      <c r="S114" s="10">
        <f t="shared" ref="S114:S124" si="25">SUM(K114:R114)</f>
        <v>0</v>
      </c>
      <c r="T114" s="10">
        <v>100000</v>
      </c>
      <c r="U114" s="10">
        <f t="shared" ref="U114:U115" si="26">T114*S114</f>
        <v>0</v>
      </c>
      <c r="V114" s="4"/>
      <c r="W114" s="4"/>
      <c r="X114" s="4"/>
      <c r="Y114" s="4"/>
    </row>
    <row r="115" spans="2:25" ht="18.75" hidden="1" customHeight="1">
      <c r="B115" s="58"/>
      <c r="C115" s="60"/>
      <c r="D115" s="52" t="s">
        <v>60</v>
      </c>
      <c r="E115" s="63"/>
      <c r="F115" s="8">
        <v>0.58333333333333337</v>
      </c>
      <c r="G115" s="67" t="s">
        <v>75</v>
      </c>
      <c r="H115" s="68"/>
      <c r="I115" s="35">
        <v>30</v>
      </c>
      <c r="J115" s="9">
        <f t="shared" si="18"/>
        <v>0</v>
      </c>
      <c r="K115" s="39"/>
      <c r="L115" s="39"/>
      <c r="M115" s="39"/>
      <c r="N115" s="39"/>
      <c r="O115" s="39"/>
      <c r="P115" s="39"/>
      <c r="Q115" s="39"/>
      <c r="R115" s="39"/>
      <c r="S115" s="10">
        <f t="shared" si="25"/>
        <v>0</v>
      </c>
      <c r="T115" s="10">
        <v>100000</v>
      </c>
      <c r="U115" s="10">
        <f t="shared" si="26"/>
        <v>0</v>
      </c>
      <c r="V115" s="4"/>
      <c r="W115" s="4"/>
      <c r="X115" s="4"/>
      <c r="Y115" s="4"/>
    </row>
    <row r="116" spans="2:25" ht="18.75" hidden="1" customHeight="1">
      <c r="B116" s="58"/>
      <c r="C116" s="60"/>
      <c r="D116" s="52" t="s">
        <v>59</v>
      </c>
      <c r="E116" s="63"/>
      <c r="F116" s="8">
        <v>0.66666666666666663</v>
      </c>
      <c r="G116" s="67" t="s">
        <v>75</v>
      </c>
      <c r="H116" s="68"/>
      <c r="I116" s="35">
        <v>20</v>
      </c>
      <c r="J116" s="9">
        <f t="shared" si="18"/>
        <v>0.1</v>
      </c>
      <c r="K116" s="39"/>
      <c r="L116" s="39"/>
      <c r="M116" s="39"/>
      <c r="N116" s="39"/>
      <c r="O116" s="39"/>
      <c r="P116" s="39"/>
      <c r="Q116" s="39"/>
      <c r="R116" s="39">
        <v>2</v>
      </c>
      <c r="S116" s="10">
        <f t="shared" si="25"/>
        <v>2</v>
      </c>
      <c r="T116" s="10">
        <v>100000</v>
      </c>
      <c r="U116" s="10">
        <f>T116*S116</f>
        <v>200000</v>
      </c>
      <c r="V116" s="4"/>
      <c r="W116" s="4"/>
      <c r="X116" s="4"/>
      <c r="Y116" s="4"/>
    </row>
    <row r="117" spans="2:25" ht="18.75" hidden="1" customHeight="1">
      <c r="B117" s="58"/>
      <c r="C117" s="60"/>
      <c r="D117" s="52" t="s">
        <v>59</v>
      </c>
      <c r="E117" s="63"/>
      <c r="F117" s="8">
        <v>0.75</v>
      </c>
      <c r="G117" s="67" t="s">
        <v>75</v>
      </c>
      <c r="H117" s="68"/>
      <c r="I117" s="35">
        <v>60</v>
      </c>
      <c r="J117" s="9">
        <f t="shared" si="18"/>
        <v>0</v>
      </c>
      <c r="K117" s="39"/>
      <c r="L117" s="39"/>
      <c r="M117" s="39"/>
      <c r="N117" s="39"/>
      <c r="O117" s="39"/>
      <c r="P117" s="39"/>
      <c r="Q117" s="39"/>
      <c r="R117" s="39"/>
      <c r="S117" s="10">
        <f t="shared" si="25"/>
        <v>0</v>
      </c>
      <c r="T117" s="10">
        <v>100000</v>
      </c>
      <c r="U117" s="10">
        <f t="shared" ref="U117:U124" si="27">T117*S117</f>
        <v>0</v>
      </c>
      <c r="V117" s="4"/>
      <c r="W117" s="4"/>
      <c r="X117" s="11"/>
      <c r="Y117" s="4"/>
    </row>
    <row r="118" spans="2:25" ht="18.75" hidden="1" customHeight="1">
      <c r="B118" s="58"/>
      <c r="C118" s="60"/>
      <c r="D118" s="53" t="s">
        <v>59</v>
      </c>
      <c r="E118" s="64"/>
      <c r="F118" s="12">
        <v>0.83333333333333337</v>
      </c>
      <c r="G118" s="67" t="s">
        <v>75</v>
      </c>
      <c r="H118" s="68"/>
      <c r="I118" s="36">
        <v>60</v>
      </c>
      <c r="J118" s="9">
        <f t="shared" si="18"/>
        <v>0</v>
      </c>
      <c r="K118" s="41"/>
      <c r="L118" s="41"/>
      <c r="M118" s="41"/>
      <c r="N118" s="41"/>
      <c r="O118" s="41"/>
      <c r="P118" s="41"/>
      <c r="Q118" s="41"/>
      <c r="R118" s="41"/>
      <c r="S118" s="13">
        <f t="shared" si="25"/>
        <v>0</v>
      </c>
      <c r="T118" s="13">
        <v>100000</v>
      </c>
      <c r="U118" s="13">
        <f t="shared" si="27"/>
        <v>0</v>
      </c>
      <c r="V118" s="4"/>
      <c r="Y118" s="4"/>
    </row>
    <row r="119" spans="2:25" ht="18.75" hidden="1">
      <c r="B119" s="58"/>
      <c r="C119" s="60"/>
      <c r="D119" s="51" t="s">
        <v>59</v>
      </c>
      <c r="E119" s="62" t="s">
        <v>102</v>
      </c>
      <c r="F119" s="5">
        <v>0.91666666666666663</v>
      </c>
      <c r="G119" s="65" t="s">
        <v>85</v>
      </c>
      <c r="H119" s="66"/>
      <c r="I119" s="34">
        <v>53</v>
      </c>
      <c r="J119" s="6">
        <f t="shared" si="18"/>
        <v>1.8867924528301886E-2</v>
      </c>
      <c r="K119" s="38">
        <v>1</v>
      </c>
      <c r="L119" s="38"/>
      <c r="M119" s="38"/>
      <c r="N119" s="38"/>
      <c r="O119" s="38"/>
      <c r="P119" s="38"/>
      <c r="Q119" s="38"/>
      <c r="R119" s="38"/>
      <c r="S119" s="7">
        <f t="shared" si="25"/>
        <v>1</v>
      </c>
      <c r="T119" s="7">
        <v>100000</v>
      </c>
      <c r="U119" s="7">
        <f t="shared" si="27"/>
        <v>100000</v>
      </c>
      <c r="V119" s="4"/>
      <c r="Y119" s="4"/>
    </row>
    <row r="120" spans="2:25" ht="18.75" hidden="1">
      <c r="B120" s="58"/>
      <c r="C120" s="60"/>
      <c r="D120" s="52" t="s">
        <v>59</v>
      </c>
      <c r="E120" s="63"/>
      <c r="F120" s="8">
        <v>1</v>
      </c>
      <c r="G120" s="67" t="s">
        <v>85</v>
      </c>
      <c r="H120" s="68"/>
      <c r="I120" s="35">
        <v>53</v>
      </c>
      <c r="J120" s="9">
        <f t="shared" si="18"/>
        <v>1.8867924528301886E-2</v>
      </c>
      <c r="K120" s="39">
        <v>1</v>
      </c>
      <c r="L120" s="39"/>
      <c r="M120" s="39"/>
      <c r="N120" s="39"/>
      <c r="O120" s="39"/>
      <c r="P120" s="39"/>
      <c r="Q120" s="39"/>
      <c r="R120" s="39"/>
      <c r="S120" s="10">
        <f t="shared" si="25"/>
        <v>1</v>
      </c>
      <c r="T120" s="10">
        <v>100000</v>
      </c>
      <c r="U120" s="10">
        <f t="shared" si="27"/>
        <v>100000</v>
      </c>
      <c r="V120" s="4"/>
      <c r="Y120" s="4"/>
    </row>
    <row r="121" spans="2:25" ht="18.75" hidden="1">
      <c r="B121" s="58"/>
      <c r="C121" s="60"/>
      <c r="D121" s="52" t="s">
        <v>59</v>
      </c>
      <c r="E121" s="63"/>
      <c r="F121" s="8">
        <v>8.3333333333333329E-2</v>
      </c>
      <c r="G121" s="67" t="s">
        <v>85</v>
      </c>
      <c r="H121" s="68"/>
      <c r="I121" s="35">
        <v>53</v>
      </c>
      <c r="J121" s="9">
        <f t="shared" si="18"/>
        <v>1.8867924528301886E-2</v>
      </c>
      <c r="K121" s="39">
        <v>1</v>
      </c>
      <c r="L121" s="39"/>
      <c r="M121" s="39"/>
      <c r="N121" s="39"/>
      <c r="O121" s="39"/>
      <c r="P121" s="39"/>
      <c r="Q121" s="39"/>
      <c r="R121" s="39"/>
      <c r="S121" s="10">
        <f t="shared" si="25"/>
        <v>1</v>
      </c>
      <c r="T121" s="10">
        <v>100000</v>
      </c>
      <c r="U121" s="10">
        <f t="shared" si="27"/>
        <v>100000</v>
      </c>
      <c r="V121" s="4"/>
      <c r="Y121" s="4"/>
    </row>
    <row r="122" spans="2:25" ht="18.75" hidden="1">
      <c r="B122" s="58"/>
      <c r="C122" s="60"/>
      <c r="D122" s="52" t="s">
        <v>59</v>
      </c>
      <c r="E122" s="63"/>
      <c r="F122" s="8">
        <v>0.16666666666666666</v>
      </c>
      <c r="G122" s="67" t="s">
        <v>85</v>
      </c>
      <c r="H122" s="68"/>
      <c r="I122" s="35">
        <v>53</v>
      </c>
      <c r="J122" s="9">
        <f t="shared" si="18"/>
        <v>1.8867924528301886E-2</v>
      </c>
      <c r="K122" s="39">
        <v>1</v>
      </c>
      <c r="L122" s="39"/>
      <c r="M122" s="39"/>
      <c r="N122" s="39"/>
      <c r="O122" s="39"/>
      <c r="P122" s="39"/>
      <c r="Q122" s="39"/>
      <c r="R122" s="39"/>
      <c r="S122" s="10">
        <f t="shared" si="25"/>
        <v>1</v>
      </c>
      <c r="T122" s="10">
        <v>100000</v>
      </c>
      <c r="U122" s="10">
        <f t="shared" si="27"/>
        <v>100000</v>
      </c>
      <c r="V122" s="4"/>
      <c r="W122" s="4"/>
      <c r="X122" s="4"/>
      <c r="Y122" s="4"/>
    </row>
    <row r="123" spans="2:25" ht="18.75" hidden="1">
      <c r="B123" s="58"/>
      <c r="C123" s="60"/>
      <c r="D123" s="52" t="s">
        <v>59</v>
      </c>
      <c r="E123" s="63"/>
      <c r="F123" s="8">
        <v>0.25</v>
      </c>
      <c r="G123" s="67" t="s">
        <v>85</v>
      </c>
      <c r="H123" s="68"/>
      <c r="I123" s="35">
        <v>53</v>
      </c>
      <c r="J123" s="9">
        <f t="shared" si="18"/>
        <v>1.8867924528301886E-2</v>
      </c>
      <c r="K123" s="39">
        <v>1</v>
      </c>
      <c r="L123" s="39"/>
      <c r="M123" s="39"/>
      <c r="N123" s="39"/>
      <c r="O123" s="39"/>
      <c r="P123" s="39"/>
      <c r="Q123" s="39"/>
      <c r="R123" s="39"/>
      <c r="S123" s="10">
        <f t="shared" si="25"/>
        <v>1</v>
      </c>
      <c r="T123" s="10">
        <v>100000</v>
      </c>
      <c r="U123" s="10">
        <f t="shared" si="27"/>
        <v>100000</v>
      </c>
      <c r="V123" s="4"/>
      <c r="Y123" s="4"/>
    </row>
    <row r="124" spans="2:25" ht="18.75" hidden="1">
      <c r="B124" s="58"/>
      <c r="C124" s="61"/>
      <c r="D124" s="53" t="s">
        <v>59</v>
      </c>
      <c r="E124" s="64"/>
      <c r="F124" s="14">
        <v>0.33333333333333331</v>
      </c>
      <c r="G124" s="67" t="s">
        <v>85</v>
      </c>
      <c r="H124" s="68"/>
      <c r="I124" s="37">
        <v>53</v>
      </c>
      <c r="J124" s="9">
        <f t="shared" si="18"/>
        <v>1.8867924528301886E-2</v>
      </c>
      <c r="K124" s="40">
        <v>1</v>
      </c>
      <c r="L124" s="40"/>
      <c r="M124" s="40"/>
      <c r="N124" s="40"/>
      <c r="O124" s="40"/>
      <c r="P124" s="40"/>
      <c r="Q124" s="40"/>
      <c r="R124" s="40"/>
      <c r="S124" s="16">
        <f t="shared" si="25"/>
        <v>1</v>
      </c>
      <c r="T124" s="16">
        <v>100000</v>
      </c>
      <c r="U124" s="16">
        <f t="shared" si="27"/>
        <v>100000</v>
      </c>
      <c r="V124" s="4"/>
      <c r="W124" s="4"/>
      <c r="X124" s="4"/>
      <c r="Y124" s="4"/>
    </row>
    <row r="125" spans="2:25" ht="16.5" hidden="1" customHeight="1">
      <c r="B125" s="58">
        <v>46091</v>
      </c>
      <c r="C125" s="59" t="s">
        <v>14</v>
      </c>
      <c r="D125" s="51" t="s">
        <v>59</v>
      </c>
      <c r="E125" s="62" t="s">
        <v>101</v>
      </c>
      <c r="F125" s="5">
        <v>0.41666666666666669</v>
      </c>
      <c r="G125" s="65" t="s">
        <v>74</v>
      </c>
      <c r="H125" s="66"/>
      <c r="I125" s="34">
        <v>50</v>
      </c>
      <c r="J125" s="6">
        <f t="shared" si="18"/>
        <v>0.24</v>
      </c>
      <c r="K125" s="38">
        <v>2</v>
      </c>
      <c r="L125" s="38"/>
      <c r="M125" s="38"/>
      <c r="N125" s="38"/>
      <c r="O125" s="38"/>
      <c r="P125" s="38"/>
      <c r="Q125" s="38">
        <v>10</v>
      </c>
      <c r="R125" s="38"/>
      <c r="S125" s="7">
        <f>SUM(K125:R125)</f>
        <v>12</v>
      </c>
      <c r="T125" s="7">
        <v>100000</v>
      </c>
      <c r="U125" s="7">
        <f>T125*S125</f>
        <v>1200000</v>
      </c>
      <c r="V125" s="4"/>
      <c r="W125" s="4"/>
      <c r="X125" s="4"/>
      <c r="Y125" s="4"/>
    </row>
    <row r="126" spans="2:25" ht="18.75" hidden="1">
      <c r="B126" s="58"/>
      <c r="C126" s="60"/>
      <c r="D126" s="52" t="s">
        <v>59</v>
      </c>
      <c r="E126" s="63"/>
      <c r="F126" s="8">
        <v>0.5</v>
      </c>
      <c r="G126" s="67" t="s">
        <v>74</v>
      </c>
      <c r="H126" s="68"/>
      <c r="I126" s="35">
        <v>50</v>
      </c>
      <c r="J126" s="9">
        <f t="shared" si="18"/>
        <v>0</v>
      </c>
      <c r="K126" s="39"/>
      <c r="L126" s="39"/>
      <c r="M126" s="39"/>
      <c r="N126" s="39"/>
      <c r="O126" s="39"/>
      <c r="P126" s="39"/>
      <c r="Q126" s="39"/>
      <c r="R126" s="39"/>
      <c r="S126" s="10">
        <f t="shared" ref="S126:S136" si="28">SUM(K126:R126)</f>
        <v>0</v>
      </c>
      <c r="T126" s="10">
        <v>100000</v>
      </c>
      <c r="U126" s="10">
        <f t="shared" ref="U126:U127" si="29">T126*S126</f>
        <v>0</v>
      </c>
      <c r="V126" s="4"/>
      <c r="W126" s="4"/>
      <c r="X126" s="4"/>
      <c r="Y126" s="4"/>
    </row>
    <row r="127" spans="2:25" ht="18.75" hidden="1">
      <c r="B127" s="58"/>
      <c r="C127" s="60"/>
      <c r="D127" s="52"/>
      <c r="E127" s="63"/>
      <c r="F127" s="8">
        <v>0.58333333333333337</v>
      </c>
      <c r="G127" s="67"/>
      <c r="H127" s="68"/>
      <c r="I127" s="35"/>
      <c r="J127" s="9" t="str">
        <f t="shared" si="18"/>
        <v/>
      </c>
      <c r="K127" s="39"/>
      <c r="L127" s="39"/>
      <c r="M127" s="39"/>
      <c r="N127" s="39"/>
      <c r="O127" s="39"/>
      <c r="P127" s="39"/>
      <c r="Q127" s="39"/>
      <c r="R127" s="39"/>
      <c r="S127" s="10">
        <f t="shared" si="28"/>
        <v>0</v>
      </c>
      <c r="T127" s="10">
        <v>100000</v>
      </c>
      <c r="U127" s="10">
        <f t="shared" si="29"/>
        <v>0</v>
      </c>
      <c r="V127" s="4"/>
      <c r="W127" s="4"/>
      <c r="X127" s="4"/>
      <c r="Y127" s="4"/>
    </row>
    <row r="128" spans="2:25" ht="18.75" hidden="1">
      <c r="B128" s="58"/>
      <c r="C128" s="60"/>
      <c r="D128" s="52"/>
      <c r="E128" s="63"/>
      <c r="F128" s="8">
        <v>0.66666666666666663</v>
      </c>
      <c r="G128" s="67"/>
      <c r="H128" s="68"/>
      <c r="I128" s="35"/>
      <c r="J128" s="9" t="str">
        <f t="shared" si="18"/>
        <v/>
      </c>
      <c r="K128" s="39"/>
      <c r="L128" s="39"/>
      <c r="M128" s="39"/>
      <c r="N128" s="39"/>
      <c r="O128" s="39"/>
      <c r="P128" s="39"/>
      <c r="Q128" s="39"/>
      <c r="R128" s="39"/>
      <c r="S128" s="10">
        <f t="shared" si="28"/>
        <v>0</v>
      </c>
      <c r="T128" s="10">
        <v>100000</v>
      </c>
      <c r="U128" s="10">
        <f>T128*S128</f>
        <v>0</v>
      </c>
      <c r="V128" s="4"/>
      <c r="W128" s="4"/>
      <c r="X128" s="4"/>
      <c r="Y128" s="4"/>
    </row>
    <row r="129" spans="2:25" ht="18.75" hidden="1">
      <c r="B129" s="58"/>
      <c r="C129" s="60"/>
      <c r="D129" s="52" t="s">
        <v>100</v>
      </c>
      <c r="E129" s="63"/>
      <c r="F129" s="8">
        <v>0.75</v>
      </c>
      <c r="G129" s="67" t="s">
        <v>74</v>
      </c>
      <c r="H129" s="68"/>
      <c r="I129" s="35">
        <v>47</v>
      </c>
      <c r="J129" s="9">
        <f t="shared" si="18"/>
        <v>6.3829787234042548E-2</v>
      </c>
      <c r="K129" s="39"/>
      <c r="L129" s="39"/>
      <c r="M129" s="39"/>
      <c r="N129" s="39"/>
      <c r="O129" s="39"/>
      <c r="P129" s="39"/>
      <c r="Q129" s="39"/>
      <c r="R129" s="39">
        <v>3</v>
      </c>
      <c r="S129" s="10">
        <f t="shared" si="28"/>
        <v>3</v>
      </c>
      <c r="T129" s="10">
        <v>100000</v>
      </c>
      <c r="U129" s="10">
        <f t="shared" ref="U129:U136" si="30">T129*S129</f>
        <v>300000</v>
      </c>
      <c r="V129" s="4"/>
      <c r="W129" s="4"/>
      <c r="X129" s="11"/>
      <c r="Y129" s="4"/>
    </row>
    <row r="130" spans="2:25" ht="18.75" hidden="1">
      <c r="B130" s="58"/>
      <c r="C130" s="60"/>
      <c r="D130" s="53" t="s">
        <v>100</v>
      </c>
      <c r="E130" s="64"/>
      <c r="F130" s="12">
        <v>0.83333333333333337</v>
      </c>
      <c r="G130" s="67" t="s">
        <v>74</v>
      </c>
      <c r="H130" s="68"/>
      <c r="I130" s="36">
        <v>53</v>
      </c>
      <c r="J130" s="9">
        <f t="shared" si="18"/>
        <v>0</v>
      </c>
      <c r="K130" s="41"/>
      <c r="L130" s="41"/>
      <c r="M130" s="41"/>
      <c r="N130" s="41"/>
      <c r="O130" s="41"/>
      <c r="P130" s="41"/>
      <c r="Q130" s="41"/>
      <c r="R130" s="41"/>
      <c r="S130" s="13">
        <f t="shared" si="28"/>
        <v>0</v>
      </c>
      <c r="T130" s="13">
        <v>100000</v>
      </c>
      <c r="U130" s="13">
        <f t="shared" si="30"/>
        <v>0</v>
      </c>
      <c r="V130" s="4"/>
      <c r="Y130" s="4"/>
    </row>
    <row r="131" spans="2:25" ht="18.75" hidden="1">
      <c r="B131" s="58"/>
      <c r="C131" s="60"/>
      <c r="D131" s="51" t="s">
        <v>100</v>
      </c>
      <c r="E131" s="62" t="s">
        <v>102</v>
      </c>
      <c r="F131" s="5">
        <v>0.91666666666666663</v>
      </c>
      <c r="G131" s="65" t="s">
        <v>88</v>
      </c>
      <c r="H131" s="66"/>
      <c r="I131" s="34">
        <v>50</v>
      </c>
      <c r="J131" s="6">
        <f t="shared" si="18"/>
        <v>0.02</v>
      </c>
      <c r="K131" s="38"/>
      <c r="L131" s="38"/>
      <c r="M131" s="38">
        <v>1</v>
      </c>
      <c r="N131" s="38"/>
      <c r="O131" s="38"/>
      <c r="P131" s="38"/>
      <c r="Q131" s="38"/>
      <c r="R131" s="38"/>
      <c r="S131" s="7">
        <f t="shared" si="28"/>
        <v>1</v>
      </c>
      <c r="T131" s="7">
        <v>100000</v>
      </c>
      <c r="U131" s="7">
        <f t="shared" si="30"/>
        <v>100000</v>
      </c>
      <c r="V131" s="4"/>
      <c r="Y131" s="4"/>
    </row>
    <row r="132" spans="2:25" ht="18.75" hidden="1">
      <c r="B132" s="58"/>
      <c r="C132" s="60"/>
      <c r="D132" s="52" t="s">
        <v>100</v>
      </c>
      <c r="E132" s="63"/>
      <c r="F132" s="8">
        <v>1</v>
      </c>
      <c r="G132" s="67" t="s">
        <v>88</v>
      </c>
      <c r="H132" s="68"/>
      <c r="I132" s="35">
        <v>50</v>
      </c>
      <c r="J132" s="9">
        <f t="shared" si="18"/>
        <v>0.02</v>
      </c>
      <c r="K132" s="39">
        <v>1</v>
      </c>
      <c r="L132" s="39"/>
      <c r="M132" s="39"/>
      <c r="N132" s="39"/>
      <c r="O132" s="39"/>
      <c r="P132" s="39"/>
      <c r="Q132" s="39"/>
      <c r="R132" s="39"/>
      <c r="S132" s="10">
        <f t="shared" si="28"/>
        <v>1</v>
      </c>
      <c r="T132" s="10">
        <v>100000</v>
      </c>
      <c r="U132" s="10">
        <f t="shared" si="30"/>
        <v>100000</v>
      </c>
      <c r="V132" s="4"/>
      <c r="Y132" s="4"/>
    </row>
    <row r="133" spans="2:25" ht="18.75" hidden="1">
      <c r="B133" s="58"/>
      <c r="C133" s="60"/>
      <c r="D133" s="52" t="s">
        <v>100</v>
      </c>
      <c r="E133" s="63"/>
      <c r="F133" s="8">
        <v>8.3333333333333329E-2</v>
      </c>
      <c r="G133" s="67" t="s">
        <v>88</v>
      </c>
      <c r="H133" s="68"/>
      <c r="I133" s="35">
        <v>50</v>
      </c>
      <c r="J133" s="9">
        <f t="shared" si="18"/>
        <v>0.02</v>
      </c>
      <c r="K133" s="39"/>
      <c r="L133" s="39"/>
      <c r="M133" s="39">
        <v>1</v>
      </c>
      <c r="N133" s="39"/>
      <c r="O133" s="39"/>
      <c r="P133" s="39"/>
      <c r="Q133" s="39"/>
      <c r="R133" s="39"/>
      <c r="S133" s="10">
        <f t="shared" si="28"/>
        <v>1</v>
      </c>
      <c r="T133" s="10">
        <v>100000</v>
      </c>
      <c r="U133" s="10">
        <f t="shared" si="30"/>
        <v>100000</v>
      </c>
      <c r="V133" s="4"/>
      <c r="Y133" s="4"/>
    </row>
    <row r="134" spans="2:25" ht="18.75" hidden="1">
      <c r="B134" s="58"/>
      <c r="C134" s="60"/>
      <c r="D134" s="52" t="s">
        <v>100</v>
      </c>
      <c r="E134" s="63"/>
      <c r="F134" s="8">
        <v>0.16666666666666666</v>
      </c>
      <c r="G134" s="67" t="s">
        <v>88</v>
      </c>
      <c r="H134" s="68"/>
      <c r="I134" s="35">
        <v>50</v>
      </c>
      <c r="J134" s="9">
        <f t="shared" si="18"/>
        <v>0.02</v>
      </c>
      <c r="K134" s="39">
        <v>1</v>
      </c>
      <c r="L134" s="39"/>
      <c r="M134" s="39"/>
      <c r="N134" s="39"/>
      <c r="O134" s="39"/>
      <c r="P134" s="39"/>
      <c r="Q134" s="39"/>
      <c r="R134" s="39"/>
      <c r="S134" s="10">
        <f t="shared" si="28"/>
        <v>1</v>
      </c>
      <c r="T134" s="10">
        <v>100000</v>
      </c>
      <c r="U134" s="10">
        <f t="shared" si="30"/>
        <v>100000</v>
      </c>
      <c r="V134" s="4"/>
      <c r="W134" s="4"/>
      <c r="X134" s="4"/>
      <c r="Y134" s="4"/>
    </row>
    <row r="135" spans="2:25" ht="18.75" hidden="1">
      <c r="B135" s="58"/>
      <c r="C135" s="60"/>
      <c r="D135" s="52" t="s">
        <v>100</v>
      </c>
      <c r="E135" s="63"/>
      <c r="F135" s="8">
        <v>0.25</v>
      </c>
      <c r="G135" s="67" t="s">
        <v>88</v>
      </c>
      <c r="H135" s="68"/>
      <c r="I135" s="35">
        <v>50</v>
      </c>
      <c r="J135" s="9">
        <f t="shared" si="18"/>
        <v>0.02</v>
      </c>
      <c r="K135" s="39"/>
      <c r="L135" s="39"/>
      <c r="M135" s="39">
        <v>1</v>
      </c>
      <c r="N135" s="39"/>
      <c r="O135" s="39"/>
      <c r="P135" s="39"/>
      <c r="Q135" s="39"/>
      <c r="R135" s="39"/>
      <c r="S135" s="10">
        <f t="shared" si="28"/>
        <v>1</v>
      </c>
      <c r="T135" s="10">
        <v>100000</v>
      </c>
      <c r="U135" s="10">
        <f t="shared" si="30"/>
        <v>100000</v>
      </c>
      <c r="V135" s="4"/>
      <c r="Y135" s="4"/>
    </row>
    <row r="136" spans="2:25" ht="18.75" hidden="1">
      <c r="B136" s="58"/>
      <c r="C136" s="61"/>
      <c r="D136" s="53" t="s">
        <v>100</v>
      </c>
      <c r="E136" s="64"/>
      <c r="F136" s="14">
        <v>0.33333333333333331</v>
      </c>
      <c r="G136" s="67" t="s">
        <v>88</v>
      </c>
      <c r="H136" s="68"/>
      <c r="I136" s="37">
        <v>50</v>
      </c>
      <c r="J136" s="15">
        <f t="shared" si="18"/>
        <v>0.02</v>
      </c>
      <c r="K136" s="40"/>
      <c r="L136" s="40"/>
      <c r="M136" s="40">
        <v>1</v>
      </c>
      <c r="N136" s="40"/>
      <c r="O136" s="40"/>
      <c r="P136" s="40"/>
      <c r="Q136" s="40"/>
      <c r="R136" s="40"/>
      <c r="S136" s="16">
        <f t="shared" si="28"/>
        <v>1</v>
      </c>
      <c r="T136" s="16">
        <v>100000</v>
      </c>
      <c r="U136" s="16">
        <f t="shared" si="30"/>
        <v>100000</v>
      </c>
      <c r="V136" s="4"/>
      <c r="W136" s="4"/>
      <c r="X136" s="4"/>
      <c r="Y136" s="4"/>
    </row>
    <row r="137" spans="2:25" ht="16.5" hidden="1" customHeight="1">
      <c r="B137" s="58">
        <v>46092</v>
      </c>
      <c r="C137" s="59" t="s">
        <v>14</v>
      </c>
      <c r="D137" s="51" t="s">
        <v>100</v>
      </c>
      <c r="E137" s="62" t="s">
        <v>101</v>
      </c>
      <c r="F137" s="5">
        <v>0.41666666666666669</v>
      </c>
      <c r="G137" s="65" t="s">
        <v>74</v>
      </c>
      <c r="H137" s="66"/>
      <c r="I137" s="34">
        <v>31</v>
      </c>
      <c r="J137" s="6">
        <f t="shared" ref="J137:J148" si="31">IFERROR(S137/I137,"")</f>
        <v>6.4516129032258063E-2</v>
      </c>
      <c r="K137" s="38">
        <v>2</v>
      </c>
      <c r="L137" s="38"/>
      <c r="M137" s="38"/>
      <c r="N137" s="38"/>
      <c r="O137" s="38"/>
      <c r="P137" s="38"/>
      <c r="Q137" s="38"/>
      <c r="R137" s="38"/>
      <c r="S137" s="7">
        <f>SUM(K137:R137)</f>
        <v>2</v>
      </c>
      <c r="T137" s="7">
        <v>100000</v>
      </c>
      <c r="U137" s="7">
        <f>T137*S137</f>
        <v>200000</v>
      </c>
      <c r="V137" s="4"/>
      <c r="W137" s="4"/>
      <c r="X137" s="4"/>
      <c r="Y137" s="4"/>
    </row>
    <row r="138" spans="2:25" ht="18.75" hidden="1">
      <c r="B138" s="58"/>
      <c r="C138" s="60"/>
      <c r="D138" s="52" t="s">
        <v>100</v>
      </c>
      <c r="E138" s="63"/>
      <c r="F138" s="8">
        <v>0.5</v>
      </c>
      <c r="G138" s="67" t="s">
        <v>74</v>
      </c>
      <c r="H138" s="68"/>
      <c r="I138" s="35">
        <v>35</v>
      </c>
      <c r="J138" s="9">
        <f t="shared" si="31"/>
        <v>0.14285714285714285</v>
      </c>
      <c r="K138" s="39"/>
      <c r="L138" s="39"/>
      <c r="M138" s="39">
        <v>5</v>
      </c>
      <c r="N138" s="39"/>
      <c r="O138" s="39"/>
      <c r="P138" s="39"/>
      <c r="Q138" s="39"/>
      <c r="R138" s="39"/>
      <c r="S138" s="10">
        <f t="shared" ref="S138:S148" si="32">SUM(K138:R138)</f>
        <v>5</v>
      </c>
      <c r="T138" s="10">
        <v>100000</v>
      </c>
      <c r="U138" s="10">
        <f t="shared" ref="U138:U139" si="33">T138*S138</f>
        <v>500000</v>
      </c>
      <c r="V138" s="4"/>
      <c r="W138" s="4"/>
      <c r="X138" s="4"/>
      <c r="Y138" s="4"/>
    </row>
    <row r="139" spans="2:25" ht="18.75" hidden="1">
      <c r="B139" s="58"/>
      <c r="C139" s="60"/>
      <c r="D139" s="52" t="s">
        <v>100</v>
      </c>
      <c r="E139" s="63"/>
      <c r="F139" s="8">
        <v>0.58333333333333337</v>
      </c>
      <c r="G139" s="67" t="s">
        <v>74</v>
      </c>
      <c r="H139" s="68"/>
      <c r="I139" s="35">
        <v>35</v>
      </c>
      <c r="J139" s="9">
        <f t="shared" si="31"/>
        <v>0.14285714285714285</v>
      </c>
      <c r="K139" s="39"/>
      <c r="L139" s="39"/>
      <c r="M139" s="39">
        <v>5</v>
      </c>
      <c r="N139" s="39"/>
      <c r="O139" s="39"/>
      <c r="P139" s="39"/>
      <c r="Q139" s="39"/>
      <c r="R139" s="39"/>
      <c r="S139" s="10">
        <f t="shared" si="32"/>
        <v>5</v>
      </c>
      <c r="T139" s="10">
        <v>100000</v>
      </c>
      <c r="U139" s="10">
        <f t="shared" si="33"/>
        <v>500000</v>
      </c>
      <c r="V139" s="4"/>
      <c r="W139" s="4"/>
      <c r="X139" s="4"/>
      <c r="Y139" s="4"/>
    </row>
    <row r="140" spans="2:25" ht="18.75" hidden="1">
      <c r="B140" s="58"/>
      <c r="C140" s="60"/>
      <c r="D140" s="52" t="s">
        <v>100</v>
      </c>
      <c r="E140" s="63"/>
      <c r="F140" s="8">
        <v>0.66666666666666663</v>
      </c>
      <c r="G140" s="67" t="s">
        <v>74</v>
      </c>
      <c r="H140" s="68"/>
      <c r="I140" s="35">
        <v>53</v>
      </c>
      <c r="J140" s="9">
        <f t="shared" si="31"/>
        <v>0</v>
      </c>
      <c r="K140" s="39"/>
      <c r="L140" s="39"/>
      <c r="M140" s="39"/>
      <c r="N140" s="39"/>
      <c r="O140" s="39"/>
      <c r="P140" s="39"/>
      <c r="Q140" s="39"/>
      <c r="R140" s="39"/>
      <c r="S140" s="10">
        <f t="shared" si="32"/>
        <v>0</v>
      </c>
      <c r="T140" s="10">
        <v>100000</v>
      </c>
      <c r="U140" s="10">
        <f>T140*S140</f>
        <v>0</v>
      </c>
      <c r="V140" s="4"/>
      <c r="W140" s="4"/>
      <c r="X140" s="4"/>
      <c r="Y140" s="4"/>
    </row>
    <row r="141" spans="2:25" ht="18.75" hidden="1">
      <c r="B141" s="58"/>
      <c r="C141" s="60"/>
      <c r="D141" s="52" t="s">
        <v>100</v>
      </c>
      <c r="E141" s="63"/>
      <c r="F141" s="8">
        <v>0.75</v>
      </c>
      <c r="G141" s="67" t="s">
        <v>74</v>
      </c>
      <c r="H141" s="68"/>
      <c r="I141" s="35">
        <v>53</v>
      </c>
      <c r="J141" s="9">
        <f t="shared" si="31"/>
        <v>0</v>
      </c>
      <c r="K141" s="39"/>
      <c r="L141" s="39"/>
      <c r="M141" s="39"/>
      <c r="N141" s="39"/>
      <c r="O141" s="39"/>
      <c r="P141" s="39"/>
      <c r="Q141" s="39"/>
      <c r="R141" s="39"/>
      <c r="S141" s="10">
        <f t="shared" si="32"/>
        <v>0</v>
      </c>
      <c r="T141" s="10">
        <v>100000</v>
      </c>
      <c r="U141" s="10">
        <f t="shared" ref="U141:U148" si="34">T141*S141</f>
        <v>0</v>
      </c>
      <c r="V141" s="4"/>
      <c r="W141" s="4"/>
      <c r="X141" s="11"/>
      <c r="Y141" s="4"/>
    </row>
    <row r="142" spans="2:25" ht="18.75" hidden="1">
      <c r="B142" s="58"/>
      <c r="C142" s="60"/>
      <c r="D142" s="53" t="s">
        <v>100</v>
      </c>
      <c r="E142" s="64"/>
      <c r="F142" s="12">
        <v>0.83333333333333337</v>
      </c>
      <c r="G142" s="67" t="s">
        <v>74</v>
      </c>
      <c r="H142" s="68"/>
      <c r="I142" s="36">
        <v>53</v>
      </c>
      <c r="J142" s="9">
        <f t="shared" si="31"/>
        <v>0</v>
      </c>
      <c r="K142" s="41"/>
      <c r="L142" s="41"/>
      <c r="M142" s="41"/>
      <c r="N142" s="41"/>
      <c r="O142" s="41"/>
      <c r="P142" s="41"/>
      <c r="Q142" s="41"/>
      <c r="R142" s="41"/>
      <c r="S142" s="13">
        <f t="shared" si="32"/>
        <v>0</v>
      </c>
      <c r="T142" s="13">
        <v>100000</v>
      </c>
      <c r="U142" s="13">
        <f t="shared" si="34"/>
        <v>0</v>
      </c>
      <c r="V142" s="4"/>
      <c r="Y142" s="4"/>
    </row>
    <row r="143" spans="2:25" ht="18.75" hidden="1">
      <c r="B143" s="58"/>
      <c r="C143" s="60"/>
      <c r="D143" s="51" t="s">
        <v>100</v>
      </c>
      <c r="E143" s="62" t="s">
        <v>102</v>
      </c>
      <c r="F143" s="5">
        <v>0.91666666666666663</v>
      </c>
      <c r="G143" s="65" t="s">
        <v>88</v>
      </c>
      <c r="H143" s="66"/>
      <c r="I143" s="34">
        <v>50</v>
      </c>
      <c r="J143" s="6">
        <f t="shared" si="31"/>
        <v>0.04</v>
      </c>
      <c r="K143" s="38">
        <v>2</v>
      </c>
      <c r="L143" s="38"/>
      <c r="M143" s="38"/>
      <c r="N143" s="38"/>
      <c r="O143" s="38"/>
      <c r="P143" s="38"/>
      <c r="Q143" s="38"/>
      <c r="R143" s="38"/>
      <c r="S143" s="7">
        <f t="shared" si="32"/>
        <v>2</v>
      </c>
      <c r="T143" s="7">
        <v>100000</v>
      </c>
      <c r="U143" s="7">
        <f t="shared" si="34"/>
        <v>200000</v>
      </c>
      <c r="V143" s="4"/>
      <c r="Y143" s="4"/>
    </row>
    <row r="144" spans="2:25" ht="18.75" hidden="1">
      <c r="B144" s="58"/>
      <c r="C144" s="60"/>
      <c r="D144" s="52" t="s">
        <v>100</v>
      </c>
      <c r="E144" s="63"/>
      <c r="F144" s="8">
        <v>1</v>
      </c>
      <c r="G144" s="67" t="s">
        <v>88</v>
      </c>
      <c r="H144" s="68"/>
      <c r="I144" s="35">
        <v>50</v>
      </c>
      <c r="J144" s="9">
        <f t="shared" si="31"/>
        <v>0.02</v>
      </c>
      <c r="K144" s="39"/>
      <c r="L144" s="39"/>
      <c r="M144" s="39">
        <v>1</v>
      </c>
      <c r="N144" s="39"/>
      <c r="O144" s="39"/>
      <c r="P144" s="39"/>
      <c r="Q144" s="39"/>
      <c r="R144" s="39"/>
      <c r="S144" s="10">
        <f t="shared" si="32"/>
        <v>1</v>
      </c>
      <c r="T144" s="10">
        <v>100000</v>
      </c>
      <c r="U144" s="10">
        <f t="shared" si="34"/>
        <v>100000</v>
      </c>
      <c r="V144" s="4"/>
      <c r="Y144" s="4"/>
    </row>
    <row r="145" spans="2:25" ht="18.75" hidden="1">
      <c r="B145" s="58"/>
      <c r="C145" s="60"/>
      <c r="D145" s="52" t="s">
        <v>100</v>
      </c>
      <c r="E145" s="63"/>
      <c r="F145" s="8">
        <v>8.3333333333333329E-2</v>
      </c>
      <c r="G145" s="67" t="s">
        <v>88</v>
      </c>
      <c r="H145" s="68"/>
      <c r="I145" s="35">
        <v>50</v>
      </c>
      <c r="J145" s="9">
        <f t="shared" si="31"/>
        <v>0.02</v>
      </c>
      <c r="K145" s="39"/>
      <c r="L145" s="39"/>
      <c r="M145" s="39">
        <v>1</v>
      </c>
      <c r="N145" s="39"/>
      <c r="O145" s="39"/>
      <c r="P145" s="39"/>
      <c r="Q145" s="39"/>
      <c r="R145" s="39"/>
      <c r="S145" s="10">
        <f t="shared" si="32"/>
        <v>1</v>
      </c>
      <c r="T145" s="10">
        <v>100000</v>
      </c>
      <c r="U145" s="10">
        <f t="shared" si="34"/>
        <v>100000</v>
      </c>
      <c r="V145" s="4"/>
      <c r="Y145" s="4"/>
    </row>
    <row r="146" spans="2:25" ht="18.75" hidden="1">
      <c r="B146" s="58"/>
      <c r="C146" s="60"/>
      <c r="D146" s="52" t="s">
        <v>100</v>
      </c>
      <c r="E146" s="63"/>
      <c r="F146" s="8">
        <v>0.16666666666666666</v>
      </c>
      <c r="G146" s="67" t="s">
        <v>88</v>
      </c>
      <c r="H146" s="68"/>
      <c r="I146" s="35">
        <v>50</v>
      </c>
      <c r="J146" s="9">
        <f t="shared" si="31"/>
        <v>0.04</v>
      </c>
      <c r="K146" s="39"/>
      <c r="L146" s="39"/>
      <c r="M146" s="39">
        <v>2</v>
      </c>
      <c r="N146" s="39"/>
      <c r="O146" s="39"/>
      <c r="P146" s="39"/>
      <c r="Q146" s="39"/>
      <c r="R146" s="39"/>
      <c r="S146" s="10">
        <f t="shared" si="32"/>
        <v>2</v>
      </c>
      <c r="T146" s="10">
        <v>100000</v>
      </c>
      <c r="U146" s="10">
        <f t="shared" si="34"/>
        <v>200000</v>
      </c>
      <c r="V146" s="4"/>
      <c r="W146" s="4"/>
      <c r="X146" s="4"/>
      <c r="Y146" s="4"/>
    </row>
    <row r="147" spans="2:25" ht="18.75" hidden="1">
      <c r="B147" s="58"/>
      <c r="C147" s="60"/>
      <c r="D147" s="52" t="s">
        <v>100</v>
      </c>
      <c r="E147" s="63"/>
      <c r="F147" s="8">
        <v>0.25</v>
      </c>
      <c r="G147" s="67" t="s">
        <v>88</v>
      </c>
      <c r="H147" s="68"/>
      <c r="I147" s="35"/>
      <c r="J147" s="9" t="str">
        <f t="shared" si="31"/>
        <v/>
      </c>
      <c r="K147" s="39"/>
      <c r="L147" s="39"/>
      <c r="M147" s="39"/>
      <c r="N147" s="39"/>
      <c r="O147" s="39"/>
      <c r="P147" s="39"/>
      <c r="Q147" s="39"/>
      <c r="R147" s="39"/>
      <c r="S147" s="10">
        <f t="shared" si="32"/>
        <v>0</v>
      </c>
      <c r="T147" s="10">
        <v>100000</v>
      </c>
      <c r="U147" s="10">
        <f t="shared" si="34"/>
        <v>0</v>
      </c>
      <c r="V147" s="4"/>
      <c r="Y147" s="4"/>
    </row>
    <row r="148" spans="2:25" ht="18.75" hidden="1">
      <c r="B148" s="58"/>
      <c r="C148" s="61"/>
      <c r="D148" s="53" t="s">
        <v>100</v>
      </c>
      <c r="E148" s="69"/>
      <c r="F148" s="14">
        <v>0.33333333333333331</v>
      </c>
      <c r="G148" s="67" t="s">
        <v>88</v>
      </c>
      <c r="H148" s="68"/>
      <c r="I148" s="37"/>
      <c r="J148" s="15" t="str">
        <f t="shared" si="31"/>
        <v/>
      </c>
      <c r="K148" s="40"/>
      <c r="L148" s="40"/>
      <c r="M148" s="40"/>
      <c r="N148" s="40"/>
      <c r="O148" s="40"/>
      <c r="P148" s="40"/>
      <c r="Q148" s="40"/>
      <c r="R148" s="40"/>
      <c r="S148" s="16">
        <f t="shared" si="32"/>
        <v>0</v>
      </c>
      <c r="T148" s="16">
        <v>100000</v>
      </c>
      <c r="U148" s="16">
        <f t="shared" si="34"/>
        <v>0</v>
      </c>
      <c r="V148" s="4"/>
      <c r="W148" s="4"/>
      <c r="X148" s="4"/>
      <c r="Y148" s="4"/>
    </row>
    <row r="149" spans="2:25" ht="42.75" hidden="1" customHeight="1">
      <c r="B149" s="58">
        <v>46093</v>
      </c>
      <c r="C149" s="59" t="s">
        <v>14</v>
      </c>
      <c r="D149" s="51" t="s">
        <v>41</v>
      </c>
      <c r="E149" s="62" t="s">
        <v>101</v>
      </c>
      <c r="F149" s="5">
        <v>0.41666666666666669</v>
      </c>
      <c r="G149" s="65" t="s">
        <v>78</v>
      </c>
      <c r="H149" s="66"/>
      <c r="I149" s="34">
        <v>0</v>
      </c>
      <c r="J149" s="6" t="str">
        <f t="shared" ref="J149:J160" si="35">IFERROR(S149/I149,"")</f>
        <v/>
      </c>
      <c r="K149" s="38"/>
      <c r="L149" s="38"/>
      <c r="M149" s="38"/>
      <c r="N149" s="38"/>
      <c r="O149" s="38"/>
      <c r="P149" s="38"/>
      <c r="Q149" s="38">
        <v>20</v>
      </c>
      <c r="R149" s="38"/>
      <c r="S149" s="7">
        <f>SUM(K149:R149)</f>
        <v>20</v>
      </c>
      <c r="T149" s="7">
        <v>100000</v>
      </c>
      <c r="U149" s="7">
        <f>T149*S149</f>
        <v>2000000</v>
      </c>
      <c r="V149" s="4"/>
      <c r="W149" s="4"/>
      <c r="X149" s="4"/>
      <c r="Y149" s="4"/>
    </row>
    <row r="150" spans="2:25" ht="37.5" hidden="1">
      <c r="B150" s="58"/>
      <c r="C150" s="60"/>
      <c r="D150" s="52" t="s">
        <v>41</v>
      </c>
      <c r="E150" s="63"/>
      <c r="F150" s="8">
        <v>0.5</v>
      </c>
      <c r="G150" s="67" t="s">
        <v>78</v>
      </c>
      <c r="H150" s="68"/>
      <c r="I150" s="35">
        <v>12</v>
      </c>
      <c r="J150" s="9">
        <f t="shared" si="35"/>
        <v>0.66666666666666663</v>
      </c>
      <c r="K150" s="39"/>
      <c r="L150" s="39"/>
      <c r="M150" s="39"/>
      <c r="N150" s="39"/>
      <c r="O150" s="39"/>
      <c r="P150" s="39"/>
      <c r="Q150" s="39"/>
      <c r="R150" s="39">
        <v>8</v>
      </c>
      <c r="S150" s="10">
        <f t="shared" ref="S150:S160" si="36">SUM(K150:R150)</f>
        <v>8</v>
      </c>
      <c r="T150" s="10">
        <v>100000</v>
      </c>
      <c r="U150" s="10">
        <f t="shared" ref="U150:U151" si="37">T150*S150</f>
        <v>800000</v>
      </c>
      <c r="V150" s="4"/>
      <c r="W150" s="4"/>
      <c r="X150" s="4"/>
      <c r="Y150" s="4"/>
    </row>
    <row r="151" spans="2:25" ht="37.5" hidden="1">
      <c r="B151" s="58"/>
      <c r="C151" s="60"/>
      <c r="D151" s="52" t="s">
        <v>41</v>
      </c>
      <c r="E151" s="63"/>
      <c r="F151" s="8">
        <v>0.58333333333333337</v>
      </c>
      <c r="G151" s="67" t="s">
        <v>78</v>
      </c>
      <c r="H151" s="68"/>
      <c r="I151" s="35">
        <v>120</v>
      </c>
      <c r="J151" s="9">
        <f t="shared" si="35"/>
        <v>8.3333333333333329E-2</v>
      </c>
      <c r="K151" s="39"/>
      <c r="L151" s="39"/>
      <c r="M151" s="39"/>
      <c r="N151" s="39"/>
      <c r="O151" s="39"/>
      <c r="P151" s="39"/>
      <c r="Q151" s="39"/>
      <c r="R151" s="39">
        <v>10</v>
      </c>
      <c r="S151" s="10">
        <f t="shared" si="36"/>
        <v>10</v>
      </c>
      <c r="T151" s="10">
        <v>100000</v>
      </c>
      <c r="U151" s="10">
        <f t="shared" si="37"/>
        <v>1000000</v>
      </c>
      <c r="V151" s="4"/>
      <c r="W151" s="4"/>
      <c r="X151" s="4"/>
      <c r="Y151" s="4"/>
    </row>
    <row r="152" spans="2:25" ht="37.5" hidden="1">
      <c r="B152" s="58"/>
      <c r="C152" s="60"/>
      <c r="D152" s="52" t="s">
        <v>41</v>
      </c>
      <c r="E152" s="63"/>
      <c r="F152" s="8">
        <v>0.66666666666666663</v>
      </c>
      <c r="G152" s="67" t="s">
        <v>78</v>
      </c>
      <c r="H152" s="68"/>
      <c r="I152" s="35">
        <v>145</v>
      </c>
      <c r="J152" s="9">
        <f t="shared" si="35"/>
        <v>0</v>
      </c>
      <c r="K152" s="39"/>
      <c r="L152" s="39"/>
      <c r="M152" s="39"/>
      <c r="N152" s="39"/>
      <c r="O152" s="39"/>
      <c r="P152" s="39"/>
      <c r="Q152" s="39"/>
      <c r="R152" s="39"/>
      <c r="S152" s="10">
        <f t="shared" si="36"/>
        <v>0</v>
      </c>
      <c r="T152" s="10">
        <v>100000</v>
      </c>
      <c r="U152" s="10">
        <f>T152*S152</f>
        <v>0</v>
      </c>
      <c r="V152" s="4"/>
      <c r="W152" s="4"/>
      <c r="X152" s="4"/>
      <c r="Y152" s="4"/>
    </row>
    <row r="153" spans="2:25" ht="37.5" hidden="1">
      <c r="B153" s="58"/>
      <c r="C153" s="60"/>
      <c r="D153" s="52" t="s">
        <v>41</v>
      </c>
      <c r="E153" s="63"/>
      <c r="F153" s="8">
        <v>0.75</v>
      </c>
      <c r="G153" s="67" t="s">
        <v>78</v>
      </c>
      <c r="H153" s="68"/>
      <c r="I153" s="35">
        <v>141</v>
      </c>
      <c r="J153" s="9">
        <f t="shared" si="35"/>
        <v>0</v>
      </c>
      <c r="K153" s="39"/>
      <c r="L153" s="39"/>
      <c r="M153" s="39"/>
      <c r="N153" s="39"/>
      <c r="O153" s="39"/>
      <c r="P153" s="39"/>
      <c r="Q153" s="39"/>
      <c r="R153" s="39"/>
      <c r="S153" s="10">
        <f t="shared" si="36"/>
        <v>0</v>
      </c>
      <c r="T153" s="10">
        <v>100000</v>
      </c>
      <c r="U153" s="10">
        <f t="shared" ref="U153:U160" si="38">T153*S153</f>
        <v>0</v>
      </c>
      <c r="V153" s="4"/>
      <c r="W153" s="4"/>
      <c r="X153" s="11"/>
      <c r="Y153" s="4"/>
    </row>
    <row r="154" spans="2:25" ht="37.5" hidden="1">
      <c r="B154" s="58"/>
      <c r="C154" s="60"/>
      <c r="D154" s="53" t="s">
        <v>41</v>
      </c>
      <c r="E154" s="64"/>
      <c r="F154" s="12">
        <v>0.83333333333333337</v>
      </c>
      <c r="G154" s="67" t="s">
        <v>78</v>
      </c>
      <c r="H154" s="68"/>
      <c r="I154" s="36">
        <v>142</v>
      </c>
      <c r="J154" s="9">
        <f t="shared" si="35"/>
        <v>0</v>
      </c>
      <c r="K154" s="41"/>
      <c r="L154" s="41"/>
      <c r="M154" s="41"/>
      <c r="N154" s="41"/>
      <c r="O154" s="41"/>
      <c r="P154" s="41"/>
      <c r="Q154" s="41"/>
      <c r="R154" s="41"/>
      <c r="S154" s="13">
        <f t="shared" si="36"/>
        <v>0</v>
      </c>
      <c r="T154" s="13">
        <v>100000</v>
      </c>
      <c r="U154" s="13">
        <f t="shared" si="38"/>
        <v>0</v>
      </c>
      <c r="V154" s="4"/>
      <c r="Y154" s="4"/>
    </row>
    <row r="155" spans="2:25" ht="37.5" hidden="1">
      <c r="B155" s="58"/>
      <c r="C155" s="60"/>
      <c r="D155" s="51" t="s">
        <v>41</v>
      </c>
      <c r="E155" s="62" t="s">
        <v>102</v>
      </c>
      <c r="F155" s="5">
        <v>0.91666666666666663</v>
      </c>
      <c r="G155" s="65" t="s">
        <v>85</v>
      </c>
      <c r="H155" s="66"/>
      <c r="I155" s="34">
        <v>146</v>
      </c>
      <c r="J155" s="6">
        <f t="shared" si="35"/>
        <v>0</v>
      </c>
      <c r="K155" s="38"/>
      <c r="L155" s="38"/>
      <c r="M155" s="38"/>
      <c r="N155" s="38"/>
      <c r="O155" s="38"/>
      <c r="P155" s="38"/>
      <c r="Q155" s="38"/>
      <c r="R155" s="38"/>
      <c r="S155" s="7">
        <f t="shared" si="36"/>
        <v>0</v>
      </c>
      <c r="T155" s="7">
        <v>100000</v>
      </c>
      <c r="U155" s="7">
        <f t="shared" si="38"/>
        <v>0</v>
      </c>
      <c r="V155" s="4"/>
      <c r="Y155" s="4"/>
    </row>
    <row r="156" spans="2:25" ht="37.5" hidden="1">
      <c r="B156" s="58"/>
      <c r="C156" s="60"/>
      <c r="D156" s="52" t="s">
        <v>41</v>
      </c>
      <c r="E156" s="63"/>
      <c r="F156" s="8">
        <v>1</v>
      </c>
      <c r="G156" s="67" t="s">
        <v>85</v>
      </c>
      <c r="H156" s="68"/>
      <c r="I156" s="35">
        <v>146</v>
      </c>
      <c r="J156" s="9">
        <f t="shared" si="35"/>
        <v>0</v>
      </c>
      <c r="K156" s="39"/>
      <c r="L156" s="39"/>
      <c r="M156" s="39"/>
      <c r="N156" s="39"/>
      <c r="O156" s="39"/>
      <c r="P156" s="39"/>
      <c r="Q156" s="39"/>
      <c r="R156" s="39"/>
      <c r="S156" s="10">
        <f t="shared" si="36"/>
        <v>0</v>
      </c>
      <c r="T156" s="10">
        <v>100000</v>
      </c>
      <c r="U156" s="10">
        <f t="shared" si="38"/>
        <v>0</v>
      </c>
      <c r="V156" s="4"/>
      <c r="Y156" s="4"/>
    </row>
    <row r="157" spans="2:25" ht="37.5" hidden="1">
      <c r="B157" s="58"/>
      <c r="C157" s="60"/>
      <c r="D157" s="52" t="s">
        <v>41</v>
      </c>
      <c r="E157" s="63"/>
      <c r="F157" s="8">
        <v>8.3333333333333329E-2</v>
      </c>
      <c r="G157" s="67" t="s">
        <v>85</v>
      </c>
      <c r="H157" s="68"/>
      <c r="I157" s="35">
        <v>147</v>
      </c>
      <c r="J157" s="9">
        <f t="shared" si="35"/>
        <v>0</v>
      </c>
      <c r="K157" s="39"/>
      <c r="L157" s="39"/>
      <c r="M157" s="39"/>
      <c r="N157" s="39"/>
      <c r="O157" s="39"/>
      <c r="P157" s="39"/>
      <c r="Q157" s="39"/>
      <c r="R157" s="39"/>
      <c r="S157" s="10">
        <f t="shared" si="36"/>
        <v>0</v>
      </c>
      <c r="T157" s="10">
        <v>100000</v>
      </c>
      <c r="U157" s="10">
        <f t="shared" si="38"/>
        <v>0</v>
      </c>
      <c r="V157" s="4"/>
      <c r="Y157" s="4"/>
    </row>
    <row r="158" spans="2:25" ht="37.5" hidden="1">
      <c r="B158" s="58"/>
      <c r="C158" s="60"/>
      <c r="D158" s="52" t="s">
        <v>41</v>
      </c>
      <c r="E158" s="63"/>
      <c r="F158" s="8">
        <v>0.16666666666666666</v>
      </c>
      <c r="G158" s="67" t="s">
        <v>85</v>
      </c>
      <c r="H158" s="68"/>
      <c r="I158" s="35">
        <v>147</v>
      </c>
      <c r="J158" s="9">
        <f t="shared" si="35"/>
        <v>0</v>
      </c>
      <c r="K158" s="39"/>
      <c r="L158" s="39"/>
      <c r="M158" s="39"/>
      <c r="N158" s="39"/>
      <c r="O158" s="39"/>
      <c r="P158" s="39"/>
      <c r="Q158" s="39"/>
      <c r="R158" s="39"/>
      <c r="S158" s="10">
        <f t="shared" si="36"/>
        <v>0</v>
      </c>
      <c r="T158" s="10">
        <v>100000</v>
      </c>
      <c r="U158" s="10">
        <f t="shared" si="38"/>
        <v>0</v>
      </c>
      <c r="V158" s="4"/>
      <c r="W158" s="4"/>
      <c r="X158" s="4"/>
      <c r="Y158" s="4"/>
    </row>
    <row r="159" spans="2:25" ht="37.5" hidden="1">
      <c r="B159" s="58"/>
      <c r="C159" s="60"/>
      <c r="D159" s="52" t="s">
        <v>41</v>
      </c>
      <c r="E159" s="63"/>
      <c r="F159" s="8">
        <v>0.25</v>
      </c>
      <c r="G159" s="67" t="s">
        <v>85</v>
      </c>
      <c r="H159" s="68"/>
      <c r="I159" s="35">
        <v>147</v>
      </c>
      <c r="J159" s="9">
        <f t="shared" si="35"/>
        <v>0</v>
      </c>
      <c r="K159" s="39"/>
      <c r="L159" s="39"/>
      <c r="M159" s="39"/>
      <c r="N159" s="39"/>
      <c r="O159" s="39"/>
      <c r="P159" s="39"/>
      <c r="Q159" s="39"/>
      <c r="R159" s="39"/>
      <c r="S159" s="10">
        <f t="shared" si="36"/>
        <v>0</v>
      </c>
      <c r="T159" s="10">
        <v>100000</v>
      </c>
      <c r="U159" s="10">
        <f t="shared" si="38"/>
        <v>0</v>
      </c>
      <c r="V159" s="4"/>
      <c r="Y159" s="4"/>
    </row>
    <row r="160" spans="2:25" ht="37.5" hidden="1">
      <c r="B160" s="58"/>
      <c r="C160" s="61"/>
      <c r="D160" s="53" t="s">
        <v>41</v>
      </c>
      <c r="E160" s="69"/>
      <c r="F160" s="14">
        <v>0.33333333333333331</v>
      </c>
      <c r="G160" s="67" t="s">
        <v>85</v>
      </c>
      <c r="H160" s="68"/>
      <c r="I160" s="37">
        <v>147</v>
      </c>
      <c r="J160" s="15">
        <f t="shared" si="35"/>
        <v>0</v>
      </c>
      <c r="K160" s="40"/>
      <c r="L160" s="40"/>
      <c r="M160" s="40"/>
      <c r="N160" s="40"/>
      <c r="O160" s="40"/>
      <c r="P160" s="40"/>
      <c r="Q160" s="40"/>
      <c r="R160" s="40"/>
      <c r="S160" s="16">
        <f t="shared" si="36"/>
        <v>0</v>
      </c>
      <c r="T160" s="16">
        <v>100000</v>
      </c>
      <c r="U160" s="16">
        <f t="shared" si="38"/>
        <v>0</v>
      </c>
      <c r="V160" s="4"/>
      <c r="W160" s="4"/>
      <c r="X160" s="4"/>
      <c r="Y160" s="4"/>
    </row>
    <row r="161" spans="2:25" ht="45" hidden="1" customHeight="1">
      <c r="B161" s="58">
        <v>46094</v>
      </c>
      <c r="C161" s="59" t="s">
        <v>14</v>
      </c>
      <c r="D161" s="51" t="s">
        <v>41</v>
      </c>
      <c r="E161" s="62" t="s">
        <v>101</v>
      </c>
      <c r="F161" s="5">
        <v>0.41666666666666669</v>
      </c>
      <c r="G161" s="65" t="s">
        <v>104</v>
      </c>
      <c r="H161" s="66"/>
      <c r="I161" s="34">
        <v>168</v>
      </c>
      <c r="J161" s="6">
        <f t="shared" ref="J161:J184" si="39">IFERROR(S161/I161,"")</f>
        <v>2.3809523809523808E-2</v>
      </c>
      <c r="K161" s="38"/>
      <c r="L161" s="38"/>
      <c r="M161" s="38"/>
      <c r="N161" s="38"/>
      <c r="O161" s="38"/>
      <c r="P161" s="38"/>
      <c r="Q161" s="38"/>
      <c r="R161" s="38">
        <v>4</v>
      </c>
      <c r="S161" s="7">
        <f>SUM(K161:R161)</f>
        <v>4</v>
      </c>
      <c r="T161" s="7">
        <v>100000</v>
      </c>
      <c r="U161" s="7">
        <f>T161*S161</f>
        <v>400000</v>
      </c>
      <c r="V161" s="4"/>
      <c r="W161" s="4"/>
      <c r="X161" s="4"/>
      <c r="Y161" s="4"/>
    </row>
    <row r="162" spans="2:25" ht="37.5" hidden="1">
      <c r="B162" s="58"/>
      <c r="C162" s="60"/>
      <c r="D162" s="52" t="s">
        <v>41</v>
      </c>
      <c r="E162" s="63"/>
      <c r="F162" s="8">
        <v>0.5</v>
      </c>
      <c r="G162" s="65" t="s">
        <v>104</v>
      </c>
      <c r="H162" s="66"/>
      <c r="I162" s="35">
        <v>0</v>
      </c>
      <c r="J162" s="9" t="str">
        <f t="shared" si="39"/>
        <v/>
      </c>
      <c r="K162" s="39"/>
      <c r="L162" s="39"/>
      <c r="M162" s="39"/>
      <c r="N162" s="39"/>
      <c r="O162" s="39"/>
      <c r="P162" s="39"/>
      <c r="Q162" s="39"/>
      <c r="R162" s="39"/>
      <c r="S162" s="10">
        <f t="shared" ref="S162:S172" si="40">SUM(K162:R162)</f>
        <v>0</v>
      </c>
      <c r="T162" s="10">
        <v>100000</v>
      </c>
      <c r="U162" s="10">
        <f t="shared" ref="U162:U163" si="41">T162*S162</f>
        <v>0</v>
      </c>
      <c r="V162" s="4"/>
      <c r="W162" s="4"/>
      <c r="X162" s="4"/>
      <c r="Y162" s="4"/>
    </row>
    <row r="163" spans="2:25" ht="37.5" hidden="1">
      <c r="B163" s="58"/>
      <c r="C163" s="60"/>
      <c r="D163" s="52" t="s">
        <v>41</v>
      </c>
      <c r="E163" s="63"/>
      <c r="F163" s="8">
        <v>0.58333333333333337</v>
      </c>
      <c r="G163" s="65" t="s">
        <v>104</v>
      </c>
      <c r="H163" s="66"/>
      <c r="I163" s="35">
        <v>0</v>
      </c>
      <c r="J163" s="9" t="str">
        <f t="shared" si="39"/>
        <v/>
      </c>
      <c r="K163" s="39"/>
      <c r="L163" s="39"/>
      <c r="M163" s="39"/>
      <c r="N163" s="39"/>
      <c r="O163" s="39"/>
      <c r="P163" s="39"/>
      <c r="Q163" s="39"/>
      <c r="R163" s="39"/>
      <c r="S163" s="10">
        <f t="shared" si="40"/>
        <v>0</v>
      </c>
      <c r="T163" s="10">
        <v>100000</v>
      </c>
      <c r="U163" s="10">
        <f t="shared" si="41"/>
        <v>0</v>
      </c>
      <c r="V163" s="4"/>
      <c r="W163" s="4"/>
      <c r="X163" s="4"/>
      <c r="Y163" s="4"/>
    </row>
    <row r="164" spans="2:25" ht="37.5" hidden="1">
      <c r="B164" s="58"/>
      <c r="C164" s="60"/>
      <c r="D164" s="52" t="s">
        <v>41</v>
      </c>
      <c r="E164" s="63"/>
      <c r="F164" s="8">
        <v>0.66666666666666663</v>
      </c>
      <c r="G164" s="65" t="s">
        <v>104</v>
      </c>
      <c r="H164" s="66"/>
      <c r="I164" s="35">
        <v>0</v>
      </c>
      <c r="J164" s="9" t="str">
        <f t="shared" si="39"/>
        <v/>
      </c>
      <c r="K164" s="39"/>
      <c r="L164" s="39"/>
      <c r="M164" s="39"/>
      <c r="N164" s="39"/>
      <c r="O164" s="39"/>
      <c r="P164" s="39"/>
      <c r="Q164" s="39"/>
      <c r="R164" s="39"/>
      <c r="S164" s="10">
        <f t="shared" si="40"/>
        <v>0</v>
      </c>
      <c r="T164" s="10">
        <v>100000</v>
      </c>
      <c r="U164" s="10">
        <f>T164*S164</f>
        <v>0</v>
      </c>
      <c r="V164" s="4"/>
      <c r="W164" s="4"/>
      <c r="X164" s="4"/>
      <c r="Y164" s="4"/>
    </row>
    <row r="165" spans="2:25" ht="37.5" hidden="1">
      <c r="B165" s="58"/>
      <c r="C165" s="60"/>
      <c r="D165" s="52" t="s">
        <v>41</v>
      </c>
      <c r="E165" s="63"/>
      <c r="F165" s="8">
        <v>0.75</v>
      </c>
      <c r="G165" s="65" t="s">
        <v>104</v>
      </c>
      <c r="H165" s="66"/>
      <c r="I165" s="35">
        <v>0</v>
      </c>
      <c r="J165" s="9" t="str">
        <f t="shared" si="39"/>
        <v/>
      </c>
      <c r="K165" s="39"/>
      <c r="L165" s="39"/>
      <c r="M165" s="39"/>
      <c r="N165" s="39"/>
      <c r="O165" s="39"/>
      <c r="P165" s="39"/>
      <c r="Q165" s="39"/>
      <c r="R165" s="39"/>
      <c r="S165" s="10">
        <f t="shared" si="40"/>
        <v>0</v>
      </c>
      <c r="T165" s="10">
        <v>100000</v>
      </c>
      <c r="U165" s="10">
        <f t="shared" ref="U165:U172" si="42">T165*S165</f>
        <v>0</v>
      </c>
      <c r="V165" s="4"/>
      <c r="W165" s="4"/>
      <c r="X165" s="11"/>
      <c r="Y165" s="4"/>
    </row>
    <row r="166" spans="2:25" ht="37.5" hidden="1">
      <c r="B166" s="58"/>
      <c r="C166" s="60"/>
      <c r="D166" s="53" t="s">
        <v>41</v>
      </c>
      <c r="E166" s="64"/>
      <c r="F166" s="12">
        <v>0.83333333333333337</v>
      </c>
      <c r="G166" s="67" t="s">
        <v>104</v>
      </c>
      <c r="H166" s="68"/>
      <c r="I166" s="36">
        <v>72</v>
      </c>
      <c r="J166" s="9">
        <f t="shared" si="39"/>
        <v>5.5555555555555552E-2</v>
      </c>
      <c r="K166" s="41"/>
      <c r="L166" s="41"/>
      <c r="M166" s="41"/>
      <c r="N166" s="41"/>
      <c r="O166" s="41"/>
      <c r="P166" s="41"/>
      <c r="Q166" s="41">
        <v>4</v>
      </c>
      <c r="R166" s="41"/>
      <c r="S166" s="13">
        <f t="shared" si="40"/>
        <v>4</v>
      </c>
      <c r="T166" s="13">
        <v>100000</v>
      </c>
      <c r="U166" s="13">
        <f t="shared" si="42"/>
        <v>400000</v>
      </c>
      <c r="V166" s="4"/>
      <c r="Y166" s="4"/>
    </row>
    <row r="167" spans="2:25" ht="37.5" hidden="1">
      <c r="B167" s="58"/>
      <c r="C167" s="60"/>
      <c r="D167" s="51" t="s">
        <v>41</v>
      </c>
      <c r="E167" s="62" t="s">
        <v>102</v>
      </c>
      <c r="F167" s="5">
        <v>0.91666666666666663</v>
      </c>
      <c r="G167" s="65" t="s">
        <v>85</v>
      </c>
      <c r="H167" s="66"/>
      <c r="I167" s="34">
        <v>140</v>
      </c>
      <c r="J167" s="6">
        <f t="shared" si="39"/>
        <v>1.4285714285714285E-2</v>
      </c>
      <c r="K167" s="38">
        <v>2</v>
      </c>
      <c r="L167" s="38"/>
      <c r="M167" s="38"/>
      <c r="N167" s="38"/>
      <c r="O167" s="38"/>
      <c r="P167" s="38"/>
      <c r="Q167" s="38"/>
      <c r="R167" s="38"/>
      <c r="S167" s="7">
        <f t="shared" si="40"/>
        <v>2</v>
      </c>
      <c r="T167" s="7">
        <v>100000</v>
      </c>
      <c r="U167" s="7">
        <f t="shared" si="42"/>
        <v>200000</v>
      </c>
      <c r="V167" s="4"/>
      <c r="Y167" s="4"/>
    </row>
    <row r="168" spans="2:25" ht="37.5" hidden="1">
      <c r="B168" s="58"/>
      <c r="C168" s="60"/>
      <c r="D168" s="52" t="s">
        <v>41</v>
      </c>
      <c r="E168" s="63"/>
      <c r="F168" s="8">
        <v>1</v>
      </c>
      <c r="G168" s="67" t="s">
        <v>85</v>
      </c>
      <c r="H168" s="68"/>
      <c r="I168" s="35">
        <v>140</v>
      </c>
      <c r="J168" s="9">
        <f t="shared" si="39"/>
        <v>1.4285714285714285E-2</v>
      </c>
      <c r="K168" s="39">
        <v>2</v>
      </c>
      <c r="L168" s="39"/>
      <c r="M168" s="39"/>
      <c r="N168" s="39"/>
      <c r="O168" s="39"/>
      <c r="P168" s="39"/>
      <c r="Q168" s="39"/>
      <c r="R168" s="39"/>
      <c r="S168" s="10">
        <f t="shared" si="40"/>
        <v>2</v>
      </c>
      <c r="T168" s="10">
        <v>100000</v>
      </c>
      <c r="U168" s="10">
        <f t="shared" si="42"/>
        <v>200000</v>
      </c>
      <c r="V168" s="4"/>
      <c r="Y168" s="4"/>
    </row>
    <row r="169" spans="2:25" ht="37.5" hidden="1">
      <c r="B169" s="58"/>
      <c r="C169" s="60"/>
      <c r="D169" s="52" t="s">
        <v>41</v>
      </c>
      <c r="E169" s="63"/>
      <c r="F169" s="8">
        <v>8.3333333333333329E-2</v>
      </c>
      <c r="G169" s="67" t="s">
        <v>85</v>
      </c>
      <c r="H169" s="68"/>
      <c r="I169" s="35">
        <v>140</v>
      </c>
      <c r="J169" s="9">
        <f t="shared" si="39"/>
        <v>1.4285714285714285E-2</v>
      </c>
      <c r="K169" s="39">
        <v>2</v>
      </c>
      <c r="L169" s="39"/>
      <c r="M169" s="39"/>
      <c r="N169" s="39"/>
      <c r="O169" s="39"/>
      <c r="P169" s="39"/>
      <c r="Q169" s="39"/>
      <c r="R169" s="39"/>
      <c r="S169" s="10">
        <f t="shared" si="40"/>
        <v>2</v>
      </c>
      <c r="T169" s="10">
        <v>100000</v>
      </c>
      <c r="U169" s="10">
        <f t="shared" si="42"/>
        <v>200000</v>
      </c>
      <c r="V169" s="4"/>
      <c r="Y169" s="4"/>
    </row>
    <row r="170" spans="2:25" ht="37.5" hidden="1">
      <c r="B170" s="58"/>
      <c r="C170" s="60"/>
      <c r="D170" s="52" t="s">
        <v>41</v>
      </c>
      <c r="E170" s="63"/>
      <c r="F170" s="8">
        <v>0.16666666666666666</v>
      </c>
      <c r="G170" s="67" t="s">
        <v>85</v>
      </c>
      <c r="H170" s="68"/>
      <c r="I170" s="35">
        <v>140</v>
      </c>
      <c r="J170" s="9">
        <f t="shared" si="39"/>
        <v>1.4285714285714285E-2</v>
      </c>
      <c r="K170" s="39">
        <v>2</v>
      </c>
      <c r="L170" s="39"/>
      <c r="M170" s="39"/>
      <c r="N170" s="39"/>
      <c r="O170" s="39"/>
      <c r="P170" s="39"/>
      <c r="Q170" s="39"/>
      <c r="R170" s="39"/>
      <c r="S170" s="10">
        <f t="shared" si="40"/>
        <v>2</v>
      </c>
      <c r="T170" s="10">
        <v>100000</v>
      </c>
      <c r="U170" s="10">
        <f t="shared" si="42"/>
        <v>200000</v>
      </c>
      <c r="V170" s="4"/>
      <c r="W170" s="4"/>
      <c r="X170" s="4"/>
      <c r="Y170" s="4"/>
    </row>
    <row r="171" spans="2:25" ht="37.5" hidden="1">
      <c r="B171" s="58"/>
      <c r="C171" s="60"/>
      <c r="D171" s="52" t="s">
        <v>41</v>
      </c>
      <c r="E171" s="63"/>
      <c r="F171" s="8">
        <v>0.25</v>
      </c>
      <c r="G171" s="67" t="s">
        <v>85</v>
      </c>
      <c r="H171" s="68"/>
      <c r="I171" s="35">
        <v>140</v>
      </c>
      <c r="J171" s="9">
        <f t="shared" si="39"/>
        <v>0</v>
      </c>
      <c r="K171" s="39"/>
      <c r="L171" s="39"/>
      <c r="M171" s="39"/>
      <c r="N171" s="39"/>
      <c r="O171" s="39"/>
      <c r="P171" s="39"/>
      <c r="Q171" s="39"/>
      <c r="R171" s="39"/>
      <c r="S171" s="10">
        <f t="shared" si="40"/>
        <v>0</v>
      </c>
      <c r="T171" s="10">
        <v>100000</v>
      </c>
      <c r="U171" s="10">
        <f t="shared" si="42"/>
        <v>0</v>
      </c>
      <c r="V171" s="4"/>
      <c r="Y171" s="4"/>
    </row>
    <row r="172" spans="2:25" ht="37.5" hidden="1">
      <c r="B172" s="58"/>
      <c r="C172" s="61"/>
      <c r="D172" s="53" t="s">
        <v>41</v>
      </c>
      <c r="E172" s="69"/>
      <c r="F172" s="14">
        <v>0.33333333333333331</v>
      </c>
      <c r="G172" s="67" t="s">
        <v>85</v>
      </c>
      <c r="H172" s="68"/>
      <c r="I172" s="37">
        <v>44</v>
      </c>
      <c r="J172" s="15">
        <f t="shared" si="39"/>
        <v>0</v>
      </c>
      <c r="K172" s="40"/>
      <c r="L172" s="40"/>
      <c r="M172" s="40"/>
      <c r="N172" s="40"/>
      <c r="O172" s="40"/>
      <c r="P172" s="40"/>
      <c r="Q172" s="40"/>
      <c r="R172" s="40"/>
      <c r="S172" s="16">
        <f t="shared" si="40"/>
        <v>0</v>
      </c>
      <c r="T172" s="16">
        <v>100000</v>
      </c>
      <c r="U172" s="16">
        <f t="shared" si="42"/>
        <v>0</v>
      </c>
      <c r="V172" s="4"/>
      <c r="W172" s="4"/>
      <c r="X172" s="4"/>
      <c r="Y172" s="4"/>
    </row>
    <row r="173" spans="2:25" ht="40.5" hidden="1" customHeight="1">
      <c r="B173" s="58">
        <v>46095</v>
      </c>
      <c r="C173" s="59" t="s">
        <v>14</v>
      </c>
      <c r="D173" s="51" t="s">
        <v>40</v>
      </c>
      <c r="E173" s="62" t="s">
        <v>101</v>
      </c>
      <c r="F173" s="5">
        <v>0.41666666666666669</v>
      </c>
      <c r="G173" s="65" t="s">
        <v>78</v>
      </c>
      <c r="H173" s="66"/>
      <c r="I173" s="34">
        <v>60</v>
      </c>
      <c r="J173" s="6">
        <f t="shared" si="39"/>
        <v>0.43333333333333335</v>
      </c>
      <c r="K173" s="38"/>
      <c r="L173" s="38"/>
      <c r="M173" s="38">
        <v>6</v>
      </c>
      <c r="N173" s="38"/>
      <c r="O173" s="38"/>
      <c r="P173" s="38"/>
      <c r="Q173" s="38">
        <v>20</v>
      </c>
      <c r="R173" s="38"/>
      <c r="S173" s="7">
        <f>SUM(K173:R173)</f>
        <v>26</v>
      </c>
      <c r="T173" s="7">
        <v>100000</v>
      </c>
      <c r="U173" s="7">
        <f>T173*S173</f>
        <v>2600000</v>
      </c>
      <c r="V173" s="4"/>
      <c r="W173" s="4"/>
      <c r="X173" s="4"/>
      <c r="Y173" s="4"/>
    </row>
    <row r="174" spans="2:25" ht="56.25" hidden="1">
      <c r="B174" s="58"/>
      <c r="C174" s="60"/>
      <c r="D174" s="52" t="s">
        <v>40</v>
      </c>
      <c r="E174" s="63"/>
      <c r="F174" s="8">
        <v>0.5</v>
      </c>
      <c r="G174" s="67" t="s">
        <v>78</v>
      </c>
      <c r="H174" s="68"/>
      <c r="I174" s="35">
        <v>152</v>
      </c>
      <c r="J174" s="9">
        <f t="shared" si="39"/>
        <v>0</v>
      </c>
      <c r="K174" s="39"/>
      <c r="L174" s="39"/>
      <c r="M174" s="39"/>
      <c r="N174" s="39"/>
      <c r="O174" s="39"/>
      <c r="P174" s="39"/>
      <c r="Q174" s="39"/>
      <c r="R174" s="39"/>
      <c r="S174" s="10">
        <f t="shared" ref="S174:S184" si="43">SUM(K174:R174)</f>
        <v>0</v>
      </c>
      <c r="T174" s="10">
        <v>100000</v>
      </c>
      <c r="U174" s="10">
        <f t="shared" ref="U174:U175" si="44">T174*S174</f>
        <v>0</v>
      </c>
      <c r="V174" s="4"/>
      <c r="W174" s="4"/>
      <c r="X174" s="4"/>
      <c r="Y174" s="4"/>
    </row>
    <row r="175" spans="2:25" ht="56.25" hidden="1">
      <c r="B175" s="58"/>
      <c r="C175" s="60"/>
      <c r="D175" s="52" t="s">
        <v>40</v>
      </c>
      <c r="E175" s="63"/>
      <c r="F175" s="8">
        <v>0.58333333333333337</v>
      </c>
      <c r="G175" s="67" t="s">
        <v>78</v>
      </c>
      <c r="H175" s="68"/>
      <c r="I175" s="35">
        <v>152</v>
      </c>
      <c r="J175" s="9">
        <f t="shared" si="39"/>
        <v>0</v>
      </c>
      <c r="K175" s="39"/>
      <c r="L175" s="39"/>
      <c r="M175" s="39"/>
      <c r="N175" s="39"/>
      <c r="O175" s="39"/>
      <c r="P175" s="39"/>
      <c r="Q175" s="39"/>
      <c r="R175" s="39"/>
      <c r="S175" s="10">
        <f t="shared" si="43"/>
        <v>0</v>
      </c>
      <c r="T175" s="10">
        <v>100000</v>
      </c>
      <c r="U175" s="10">
        <f t="shared" si="44"/>
        <v>0</v>
      </c>
      <c r="V175" s="4"/>
      <c r="W175" s="4"/>
      <c r="X175" s="4"/>
      <c r="Y175" s="4"/>
    </row>
    <row r="176" spans="2:25" ht="56.25" hidden="1">
      <c r="B176" s="58"/>
      <c r="C176" s="60"/>
      <c r="D176" s="52" t="s">
        <v>40</v>
      </c>
      <c r="E176" s="63"/>
      <c r="F176" s="8">
        <v>0.66666666666666663</v>
      </c>
      <c r="G176" s="67" t="s">
        <v>78</v>
      </c>
      <c r="H176" s="68"/>
      <c r="I176" s="35">
        <v>152</v>
      </c>
      <c r="J176" s="9">
        <f t="shared" si="39"/>
        <v>0</v>
      </c>
      <c r="K176" s="39"/>
      <c r="L176" s="39"/>
      <c r="M176" s="39"/>
      <c r="N176" s="39"/>
      <c r="O176" s="39"/>
      <c r="P176" s="39"/>
      <c r="Q176" s="39"/>
      <c r="R176" s="39"/>
      <c r="S176" s="10">
        <f t="shared" si="43"/>
        <v>0</v>
      </c>
      <c r="T176" s="10">
        <v>100000</v>
      </c>
      <c r="U176" s="10">
        <f>T176*S176</f>
        <v>0</v>
      </c>
      <c r="V176" s="4"/>
      <c r="W176" s="4"/>
      <c r="X176" s="4"/>
      <c r="Y176" s="4"/>
    </row>
    <row r="177" spans="2:25" ht="56.25" hidden="1">
      <c r="B177" s="58"/>
      <c r="C177" s="60"/>
      <c r="D177" s="52" t="s">
        <v>40</v>
      </c>
      <c r="E177" s="63"/>
      <c r="F177" s="8">
        <v>0.75</v>
      </c>
      <c r="G177" s="67" t="s">
        <v>78</v>
      </c>
      <c r="H177" s="68"/>
      <c r="I177" s="35">
        <v>152</v>
      </c>
      <c r="J177" s="9">
        <f t="shared" si="39"/>
        <v>0</v>
      </c>
      <c r="K177" s="39"/>
      <c r="L177" s="39"/>
      <c r="M177" s="39"/>
      <c r="N177" s="39"/>
      <c r="O177" s="39"/>
      <c r="P177" s="39"/>
      <c r="Q177" s="39"/>
      <c r="R177" s="39"/>
      <c r="S177" s="10">
        <f t="shared" si="43"/>
        <v>0</v>
      </c>
      <c r="T177" s="10">
        <v>100000</v>
      </c>
      <c r="U177" s="10">
        <f t="shared" ref="U177:U184" si="45">T177*S177</f>
        <v>0</v>
      </c>
      <c r="V177" s="4"/>
      <c r="W177" s="4"/>
      <c r="X177" s="11"/>
      <c r="Y177" s="4"/>
    </row>
    <row r="178" spans="2:25" ht="56.25" hidden="1">
      <c r="B178" s="58"/>
      <c r="C178" s="60"/>
      <c r="D178" s="53" t="s">
        <v>40</v>
      </c>
      <c r="E178" s="64"/>
      <c r="F178" s="12">
        <v>0.83333333333333337</v>
      </c>
      <c r="G178" s="67" t="s">
        <v>78</v>
      </c>
      <c r="H178" s="68"/>
      <c r="I178" s="36">
        <v>152</v>
      </c>
      <c r="J178" s="9">
        <f t="shared" si="39"/>
        <v>0</v>
      </c>
      <c r="K178" s="41"/>
      <c r="L178" s="41"/>
      <c r="M178" s="41"/>
      <c r="N178" s="41"/>
      <c r="O178" s="41"/>
      <c r="P178" s="41"/>
      <c r="Q178" s="41"/>
      <c r="R178" s="41"/>
      <c r="S178" s="13">
        <f t="shared" si="43"/>
        <v>0</v>
      </c>
      <c r="T178" s="13">
        <v>100000</v>
      </c>
      <c r="U178" s="13">
        <f t="shared" si="45"/>
        <v>0</v>
      </c>
      <c r="V178" s="4"/>
      <c r="Y178" s="4"/>
    </row>
    <row r="179" spans="2:25" ht="56.25" hidden="1">
      <c r="B179" s="58"/>
      <c r="C179" s="60"/>
      <c r="D179" s="51" t="s">
        <v>40</v>
      </c>
      <c r="E179" s="62" t="s">
        <v>102</v>
      </c>
      <c r="F179" s="5">
        <v>0.91666666666666663</v>
      </c>
      <c r="G179" s="65" t="s">
        <v>88</v>
      </c>
      <c r="H179" s="66"/>
      <c r="I179" s="34">
        <v>130</v>
      </c>
      <c r="J179" s="6">
        <f t="shared" si="39"/>
        <v>0.15384615384615385</v>
      </c>
      <c r="K179" s="38"/>
      <c r="L179" s="38"/>
      <c r="M179" s="38"/>
      <c r="N179" s="38"/>
      <c r="O179" s="38"/>
      <c r="P179" s="38"/>
      <c r="Q179" s="38">
        <v>20</v>
      </c>
      <c r="R179" s="38"/>
      <c r="S179" s="7">
        <f t="shared" si="43"/>
        <v>20</v>
      </c>
      <c r="T179" s="7">
        <v>100000</v>
      </c>
      <c r="U179" s="7">
        <f t="shared" si="45"/>
        <v>2000000</v>
      </c>
      <c r="V179" s="4"/>
      <c r="Y179" s="4"/>
    </row>
    <row r="180" spans="2:25" ht="56.25" hidden="1">
      <c r="B180" s="58"/>
      <c r="C180" s="60"/>
      <c r="D180" s="52" t="s">
        <v>40</v>
      </c>
      <c r="E180" s="63"/>
      <c r="F180" s="8">
        <v>1</v>
      </c>
      <c r="G180" s="67" t="s">
        <v>88</v>
      </c>
      <c r="H180" s="68"/>
      <c r="I180" s="35">
        <v>130</v>
      </c>
      <c r="J180" s="9">
        <f t="shared" si="39"/>
        <v>0</v>
      </c>
      <c r="K180" s="39"/>
      <c r="L180" s="39"/>
      <c r="M180" s="39"/>
      <c r="N180" s="39"/>
      <c r="O180" s="39"/>
      <c r="P180" s="39"/>
      <c r="Q180" s="39"/>
      <c r="R180" s="39"/>
      <c r="S180" s="10">
        <f t="shared" si="43"/>
        <v>0</v>
      </c>
      <c r="T180" s="10">
        <v>100000</v>
      </c>
      <c r="U180" s="10">
        <f t="shared" si="45"/>
        <v>0</v>
      </c>
      <c r="V180" s="4"/>
      <c r="Y180" s="4"/>
    </row>
    <row r="181" spans="2:25" ht="56.25" hidden="1">
      <c r="B181" s="58"/>
      <c r="C181" s="60"/>
      <c r="D181" s="52" t="s">
        <v>40</v>
      </c>
      <c r="E181" s="63"/>
      <c r="F181" s="8">
        <v>8.3333333333333329E-2</v>
      </c>
      <c r="G181" s="67" t="s">
        <v>88</v>
      </c>
      <c r="H181" s="68"/>
      <c r="I181" s="35">
        <v>130</v>
      </c>
      <c r="J181" s="9">
        <f t="shared" si="39"/>
        <v>0</v>
      </c>
      <c r="K181" s="39"/>
      <c r="L181" s="39"/>
      <c r="M181" s="39"/>
      <c r="N181" s="39"/>
      <c r="O181" s="39"/>
      <c r="P181" s="39"/>
      <c r="Q181" s="39"/>
      <c r="R181" s="39"/>
      <c r="S181" s="10">
        <f t="shared" si="43"/>
        <v>0</v>
      </c>
      <c r="T181" s="10">
        <v>100000</v>
      </c>
      <c r="U181" s="10">
        <f t="shared" si="45"/>
        <v>0</v>
      </c>
      <c r="V181" s="4"/>
      <c r="Y181" s="4"/>
    </row>
    <row r="182" spans="2:25" ht="56.25" hidden="1">
      <c r="B182" s="58"/>
      <c r="C182" s="60"/>
      <c r="D182" s="52" t="s">
        <v>40</v>
      </c>
      <c r="E182" s="63"/>
      <c r="F182" s="8">
        <v>0.16666666666666666</v>
      </c>
      <c r="G182" s="67" t="s">
        <v>88</v>
      </c>
      <c r="H182" s="68"/>
      <c r="I182" s="35">
        <v>98</v>
      </c>
      <c r="J182" s="9">
        <f t="shared" si="39"/>
        <v>0</v>
      </c>
      <c r="K182" s="39"/>
      <c r="L182" s="39"/>
      <c r="M182" s="39"/>
      <c r="N182" s="39"/>
      <c r="O182" s="39"/>
      <c r="P182" s="39"/>
      <c r="Q182" s="39"/>
      <c r="R182" s="39"/>
      <c r="S182" s="10">
        <f t="shared" si="43"/>
        <v>0</v>
      </c>
      <c r="T182" s="10">
        <v>100000</v>
      </c>
      <c r="U182" s="10">
        <f t="shared" si="45"/>
        <v>0</v>
      </c>
      <c r="V182" s="4"/>
      <c r="W182" s="4"/>
      <c r="X182" s="4"/>
      <c r="Y182" s="4"/>
    </row>
    <row r="183" spans="2:25" ht="56.25" hidden="1">
      <c r="B183" s="58"/>
      <c r="C183" s="60"/>
      <c r="D183" s="52" t="s">
        <v>40</v>
      </c>
      <c r="E183" s="63"/>
      <c r="F183" s="8">
        <v>0.25</v>
      </c>
      <c r="G183" s="67" t="s">
        <v>88</v>
      </c>
      <c r="H183" s="68"/>
      <c r="I183" s="35">
        <v>0</v>
      </c>
      <c r="J183" s="9" t="str">
        <f t="shared" si="39"/>
        <v/>
      </c>
      <c r="K183" s="39"/>
      <c r="L183" s="39"/>
      <c r="M183" s="39"/>
      <c r="N183" s="39"/>
      <c r="O183" s="39"/>
      <c r="P183" s="39"/>
      <c r="Q183" s="39"/>
      <c r="R183" s="39"/>
      <c r="S183" s="10">
        <f t="shared" si="43"/>
        <v>0</v>
      </c>
      <c r="T183" s="10">
        <v>100000</v>
      </c>
      <c r="U183" s="10">
        <f t="shared" si="45"/>
        <v>0</v>
      </c>
      <c r="V183" s="4"/>
      <c r="Y183" s="4"/>
    </row>
    <row r="184" spans="2:25" ht="56.25" hidden="1">
      <c r="B184" s="58"/>
      <c r="C184" s="61"/>
      <c r="D184" s="53" t="s">
        <v>40</v>
      </c>
      <c r="E184" s="69"/>
      <c r="F184" s="14">
        <v>0.33333333333333331</v>
      </c>
      <c r="G184" s="67" t="s">
        <v>88</v>
      </c>
      <c r="H184" s="68"/>
      <c r="I184" s="37">
        <v>0</v>
      </c>
      <c r="J184" s="15" t="str">
        <f t="shared" si="39"/>
        <v/>
      </c>
      <c r="K184" s="40"/>
      <c r="L184" s="40"/>
      <c r="M184" s="40"/>
      <c r="N184" s="40"/>
      <c r="O184" s="40"/>
      <c r="P184" s="40"/>
      <c r="Q184" s="40"/>
      <c r="R184" s="40"/>
      <c r="S184" s="16">
        <f t="shared" si="43"/>
        <v>0</v>
      </c>
      <c r="T184" s="16">
        <v>100000</v>
      </c>
      <c r="U184" s="16">
        <f t="shared" si="45"/>
        <v>0</v>
      </c>
      <c r="V184" s="4"/>
      <c r="W184" s="4"/>
      <c r="X184" s="4"/>
      <c r="Y184" s="4"/>
    </row>
    <row r="185" spans="2:25" ht="16.5" hidden="1" customHeight="1">
      <c r="B185" s="58">
        <v>46096</v>
      </c>
      <c r="C185" s="59" t="s">
        <v>14</v>
      </c>
      <c r="D185" s="51"/>
      <c r="E185" s="62" t="s">
        <v>101</v>
      </c>
      <c r="F185" s="5">
        <v>0.41666666666666669</v>
      </c>
      <c r="G185" s="65"/>
      <c r="H185" s="66"/>
      <c r="I185" s="34"/>
      <c r="J185" s="6" t="str">
        <f t="shared" ref="J185:J220" si="46">IFERROR(S185/I185,"")</f>
        <v/>
      </c>
      <c r="K185" s="38"/>
      <c r="L185" s="38"/>
      <c r="M185" s="38"/>
      <c r="N185" s="38"/>
      <c r="O185" s="38"/>
      <c r="P185" s="38"/>
      <c r="Q185" s="38"/>
      <c r="R185" s="38"/>
      <c r="S185" s="7">
        <f>SUM(K185:R185)</f>
        <v>0</v>
      </c>
      <c r="T185" s="7">
        <v>100000</v>
      </c>
      <c r="U185" s="7">
        <f>T185*S185</f>
        <v>0</v>
      </c>
      <c r="V185" s="4"/>
      <c r="W185" s="4"/>
      <c r="X185" s="4"/>
      <c r="Y185" s="4"/>
    </row>
    <row r="186" spans="2:25" ht="18.75" hidden="1">
      <c r="B186" s="58"/>
      <c r="C186" s="60"/>
      <c r="D186" s="52"/>
      <c r="E186" s="63"/>
      <c r="F186" s="8">
        <v>0.5</v>
      </c>
      <c r="G186" s="67"/>
      <c r="H186" s="68"/>
      <c r="I186" s="35"/>
      <c r="J186" s="9" t="str">
        <f t="shared" si="46"/>
        <v/>
      </c>
      <c r="K186" s="39"/>
      <c r="L186" s="39"/>
      <c r="M186" s="39"/>
      <c r="N186" s="39"/>
      <c r="O186" s="39"/>
      <c r="P186" s="39"/>
      <c r="Q186" s="39"/>
      <c r="R186" s="39"/>
      <c r="S186" s="10">
        <f t="shared" ref="S186:S196" si="47">SUM(K186:R186)</f>
        <v>0</v>
      </c>
      <c r="T186" s="10">
        <v>100000</v>
      </c>
      <c r="U186" s="10">
        <f t="shared" ref="U186:U187" si="48">T186*S186</f>
        <v>0</v>
      </c>
      <c r="V186" s="4"/>
      <c r="W186" s="4"/>
      <c r="X186" s="4"/>
      <c r="Y186" s="4"/>
    </row>
    <row r="187" spans="2:25" ht="18.75" hidden="1">
      <c r="B187" s="58"/>
      <c r="C187" s="60"/>
      <c r="D187" s="52"/>
      <c r="E187" s="63"/>
      <c r="F187" s="8">
        <v>0.58333333333333337</v>
      </c>
      <c r="G187" s="67"/>
      <c r="H187" s="68"/>
      <c r="I187" s="35"/>
      <c r="J187" s="9" t="str">
        <f t="shared" si="46"/>
        <v/>
      </c>
      <c r="K187" s="39"/>
      <c r="L187" s="39"/>
      <c r="M187" s="39"/>
      <c r="N187" s="39"/>
      <c r="O187" s="39"/>
      <c r="P187" s="39"/>
      <c r="Q187" s="39"/>
      <c r="R187" s="39"/>
      <c r="S187" s="10">
        <f t="shared" si="47"/>
        <v>0</v>
      </c>
      <c r="T187" s="10">
        <v>100000</v>
      </c>
      <c r="U187" s="10">
        <f t="shared" si="48"/>
        <v>0</v>
      </c>
      <c r="V187" s="4"/>
      <c r="W187" s="4"/>
      <c r="X187" s="4"/>
      <c r="Y187" s="4"/>
    </row>
    <row r="188" spans="2:25" ht="18.75" hidden="1">
      <c r="B188" s="58"/>
      <c r="C188" s="60"/>
      <c r="D188" s="52"/>
      <c r="E188" s="63"/>
      <c r="F188" s="8">
        <v>0.66666666666666663</v>
      </c>
      <c r="G188" s="67"/>
      <c r="H188" s="68"/>
      <c r="I188" s="35"/>
      <c r="J188" s="9" t="str">
        <f t="shared" si="46"/>
        <v/>
      </c>
      <c r="K188" s="39"/>
      <c r="L188" s="39"/>
      <c r="M188" s="39"/>
      <c r="N188" s="39"/>
      <c r="O188" s="39"/>
      <c r="P188" s="39"/>
      <c r="Q188" s="39"/>
      <c r="R188" s="39"/>
      <c r="S188" s="10">
        <f t="shared" si="47"/>
        <v>0</v>
      </c>
      <c r="T188" s="10">
        <v>100000</v>
      </c>
      <c r="U188" s="10">
        <f>T188*S188</f>
        <v>0</v>
      </c>
      <c r="V188" s="4"/>
      <c r="W188" s="4"/>
      <c r="X188" s="4"/>
      <c r="Y188" s="4"/>
    </row>
    <row r="189" spans="2:25" ht="18.75" hidden="1">
      <c r="B189" s="58"/>
      <c r="C189" s="60"/>
      <c r="D189" s="52"/>
      <c r="E189" s="63"/>
      <c r="F189" s="8">
        <v>0.75</v>
      </c>
      <c r="G189" s="67"/>
      <c r="H189" s="68"/>
      <c r="I189" s="35"/>
      <c r="J189" s="9" t="str">
        <f t="shared" si="46"/>
        <v/>
      </c>
      <c r="K189" s="39"/>
      <c r="L189" s="39"/>
      <c r="M189" s="39"/>
      <c r="N189" s="39"/>
      <c r="O189" s="39"/>
      <c r="P189" s="39"/>
      <c r="Q189" s="39"/>
      <c r="R189" s="39"/>
      <c r="S189" s="10">
        <f t="shared" si="47"/>
        <v>0</v>
      </c>
      <c r="T189" s="10">
        <v>100000</v>
      </c>
      <c r="U189" s="10">
        <f t="shared" ref="U189:U196" si="49">T189*S189</f>
        <v>0</v>
      </c>
      <c r="V189" s="4"/>
      <c r="W189" s="4"/>
      <c r="X189" s="11"/>
      <c r="Y189" s="4"/>
    </row>
    <row r="190" spans="2:25" ht="18.75" hidden="1">
      <c r="B190" s="58"/>
      <c r="C190" s="60"/>
      <c r="D190" s="53"/>
      <c r="E190" s="64"/>
      <c r="F190" s="12">
        <v>0.83333333333333337</v>
      </c>
      <c r="G190" s="67"/>
      <c r="H190" s="68"/>
      <c r="I190" s="36"/>
      <c r="J190" s="9" t="str">
        <f t="shared" si="46"/>
        <v/>
      </c>
      <c r="K190" s="41"/>
      <c r="L190" s="41"/>
      <c r="M190" s="41"/>
      <c r="N190" s="41"/>
      <c r="O190" s="41"/>
      <c r="P190" s="41"/>
      <c r="Q190" s="41"/>
      <c r="R190" s="41"/>
      <c r="S190" s="13">
        <f t="shared" si="47"/>
        <v>0</v>
      </c>
      <c r="T190" s="13">
        <v>100000</v>
      </c>
      <c r="U190" s="13">
        <f t="shared" si="49"/>
        <v>0</v>
      </c>
      <c r="V190" s="4"/>
      <c r="Y190" s="4"/>
    </row>
    <row r="191" spans="2:25" ht="18.75" hidden="1">
      <c r="B191" s="58"/>
      <c r="C191" s="60"/>
      <c r="D191" s="51"/>
      <c r="E191" s="62" t="s">
        <v>102</v>
      </c>
      <c r="F191" s="5">
        <v>0.91666666666666663</v>
      </c>
      <c r="G191" s="65"/>
      <c r="H191" s="66"/>
      <c r="I191" s="34"/>
      <c r="J191" s="6" t="str">
        <f t="shared" si="46"/>
        <v/>
      </c>
      <c r="K191" s="38"/>
      <c r="L191" s="38"/>
      <c r="M191" s="38"/>
      <c r="N191" s="38"/>
      <c r="O191" s="38"/>
      <c r="P191" s="38"/>
      <c r="Q191" s="38"/>
      <c r="R191" s="38"/>
      <c r="S191" s="7">
        <f t="shared" si="47"/>
        <v>0</v>
      </c>
      <c r="T191" s="7">
        <v>100000</v>
      </c>
      <c r="U191" s="7">
        <f t="shared" si="49"/>
        <v>0</v>
      </c>
      <c r="V191" s="4"/>
      <c r="Y191" s="4"/>
    </row>
    <row r="192" spans="2:25" ht="18.75" hidden="1">
      <c r="B192" s="58"/>
      <c r="C192" s="60"/>
      <c r="D192" s="52"/>
      <c r="E192" s="63"/>
      <c r="F192" s="8">
        <v>1</v>
      </c>
      <c r="G192" s="67"/>
      <c r="H192" s="68"/>
      <c r="I192" s="35"/>
      <c r="J192" s="9" t="str">
        <f t="shared" si="46"/>
        <v/>
      </c>
      <c r="K192" s="39"/>
      <c r="L192" s="39"/>
      <c r="M192" s="39"/>
      <c r="N192" s="39"/>
      <c r="O192" s="39"/>
      <c r="P192" s="39"/>
      <c r="Q192" s="39"/>
      <c r="R192" s="39"/>
      <c r="S192" s="10">
        <f t="shared" si="47"/>
        <v>0</v>
      </c>
      <c r="T192" s="10">
        <v>100000</v>
      </c>
      <c r="U192" s="10">
        <f t="shared" si="49"/>
        <v>0</v>
      </c>
      <c r="V192" s="4"/>
      <c r="Y192" s="4"/>
    </row>
    <row r="193" spans="2:25" ht="18.75" hidden="1">
      <c r="B193" s="58"/>
      <c r="C193" s="60"/>
      <c r="D193" s="52"/>
      <c r="E193" s="63"/>
      <c r="F193" s="8">
        <v>8.3333333333333329E-2</v>
      </c>
      <c r="G193" s="67"/>
      <c r="H193" s="68"/>
      <c r="I193" s="35"/>
      <c r="J193" s="9" t="str">
        <f t="shared" si="46"/>
        <v/>
      </c>
      <c r="K193" s="39"/>
      <c r="L193" s="39"/>
      <c r="M193" s="39"/>
      <c r="N193" s="39"/>
      <c r="O193" s="39"/>
      <c r="P193" s="39"/>
      <c r="Q193" s="39"/>
      <c r="R193" s="39"/>
      <c r="S193" s="10">
        <f t="shared" si="47"/>
        <v>0</v>
      </c>
      <c r="T193" s="10">
        <v>100000</v>
      </c>
      <c r="U193" s="10">
        <f t="shared" si="49"/>
        <v>0</v>
      </c>
      <c r="V193" s="4"/>
      <c r="Y193" s="4"/>
    </row>
    <row r="194" spans="2:25" ht="18.75" hidden="1">
      <c r="B194" s="58"/>
      <c r="C194" s="60"/>
      <c r="D194" s="52"/>
      <c r="E194" s="63"/>
      <c r="F194" s="8">
        <v>0.16666666666666666</v>
      </c>
      <c r="G194" s="67"/>
      <c r="H194" s="68"/>
      <c r="I194" s="35"/>
      <c r="J194" s="9" t="str">
        <f t="shared" si="46"/>
        <v/>
      </c>
      <c r="K194" s="39"/>
      <c r="L194" s="39"/>
      <c r="M194" s="39"/>
      <c r="N194" s="39"/>
      <c r="O194" s="39"/>
      <c r="P194" s="39"/>
      <c r="Q194" s="39"/>
      <c r="R194" s="39"/>
      <c r="S194" s="10">
        <f t="shared" si="47"/>
        <v>0</v>
      </c>
      <c r="T194" s="10">
        <v>100000</v>
      </c>
      <c r="U194" s="10">
        <f t="shared" si="49"/>
        <v>0</v>
      </c>
      <c r="V194" s="4"/>
      <c r="W194" s="4"/>
      <c r="X194" s="4"/>
      <c r="Y194" s="4"/>
    </row>
    <row r="195" spans="2:25" ht="18.75" hidden="1">
      <c r="B195" s="58"/>
      <c r="C195" s="60"/>
      <c r="D195" s="52"/>
      <c r="E195" s="63"/>
      <c r="F195" s="8">
        <v>0.25</v>
      </c>
      <c r="G195" s="67"/>
      <c r="H195" s="68"/>
      <c r="I195" s="35"/>
      <c r="J195" s="9" t="str">
        <f t="shared" si="46"/>
        <v/>
      </c>
      <c r="K195" s="39"/>
      <c r="L195" s="39"/>
      <c r="M195" s="39"/>
      <c r="N195" s="39"/>
      <c r="O195" s="39"/>
      <c r="P195" s="39"/>
      <c r="Q195" s="39"/>
      <c r="R195" s="39"/>
      <c r="S195" s="10">
        <f t="shared" si="47"/>
        <v>0</v>
      </c>
      <c r="T195" s="10">
        <v>100000</v>
      </c>
      <c r="U195" s="10">
        <f t="shared" si="49"/>
        <v>0</v>
      </c>
      <c r="V195" s="4"/>
      <c r="Y195" s="4"/>
    </row>
    <row r="196" spans="2:25" ht="18.75" hidden="1">
      <c r="B196" s="58"/>
      <c r="C196" s="61"/>
      <c r="D196" s="53"/>
      <c r="E196" s="69"/>
      <c r="F196" s="14">
        <v>0.33333333333333331</v>
      </c>
      <c r="G196" s="67"/>
      <c r="H196" s="68"/>
      <c r="I196" s="37"/>
      <c r="J196" s="15" t="str">
        <f t="shared" si="46"/>
        <v/>
      </c>
      <c r="K196" s="40"/>
      <c r="L196" s="40"/>
      <c r="M196" s="40"/>
      <c r="N196" s="40"/>
      <c r="O196" s="40"/>
      <c r="P196" s="40"/>
      <c r="Q196" s="40"/>
      <c r="R196" s="40"/>
      <c r="S196" s="16">
        <f t="shared" si="47"/>
        <v>0</v>
      </c>
      <c r="T196" s="16">
        <v>100000</v>
      </c>
      <c r="U196" s="16">
        <f t="shared" si="49"/>
        <v>0</v>
      </c>
      <c r="V196" s="4"/>
      <c r="W196" s="4"/>
      <c r="X196" s="4"/>
      <c r="Y196" s="4"/>
    </row>
    <row r="197" spans="2:25" ht="37.5" customHeight="1">
      <c r="B197" s="58">
        <v>46097</v>
      </c>
      <c r="C197" s="59" t="s">
        <v>14</v>
      </c>
      <c r="D197" s="51" t="s">
        <v>40</v>
      </c>
      <c r="E197" s="62" t="s">
        <v>101</v>
      </c>
      <c r="F197" s="5">
        <v>0.41666666666666669</v>
      </c>
      <c r="G197" s="65" t="s">
        <v>74</v>
      </c>
      <c r="H197" s="66"/>
      <c r="I197" s="34"/>
      <c r="J197" s="6" t="str">
        <f t="shared" si="46"/>
        <v/>
      </c>
      <c r="K197" s="38"/>
      <c r="L197" s="38"/>
      <c r="M197" s="38"/>
      <c r="N197" s="38"/>
      <c r="O197" s="38"/>
      <c r="P197" s="38"/>
      <c r="Q197" s="38">
        <v>20</v>
      </c>
      <c r="R197" s="38"/>
      <c r="S197" s="7">
        <f>SUM(K197:R197)</f>
        <v>20</v>
      </c>
      <c r="T197" s="7">
        <v>100000</v>
      </c>
      <c r="U197" s="7">
        <f>T197*S197</f>
        <v>2000000</v>
      </c>
      <c r="V197" s="4"/>
      <c r="W197" s="4"/>
      <c r="X197" s="4"/>
      <c r="Y197" s="4"/>
    </row>
    <row r="198" spans="2:25" ht="56.25">
      <c r="B198" s="58"/>
      <c r="C198" s="60"/>
      <c r="D198" s="52" t="s">
        <v>40</v>
      </c>
      <c r="E198" s="63"/>
      <c r="F198" s="8">
        <v>0.5</v>
      </c>
      <c r="G198" s="67" t="s">
        <v>74</v>
      </c>
      <c r="H198" s="68"/>
      <c r="I198" s="35"/>
      <c r="J198" s="9" t="str">
        <f t="shared" si="46"/>
        <v/>
      </c>
      <c r="K198" s="39"/>
      <c r="L198" s="39"/>
      <c r="M198" s="39"/>
      <c r="N198" s="39"/>
      <c r="O198" s="39"/>
      <c r="P198" s="39"/>
      <c r="Q198" s="39"/>
      <c r="R198" s="39"/>
      <c r="S198" s="10">
        <f t="shared" ref="S198:S208" si="50">SUM(K198:R198)</f>
        <v>0</v>
      </c>
      <c r="T198" s="10">
        <v>100000</v>
      </c>
      <c r="U198" s="10">
        <f t="shared" ref="U198:U199" si="51">T198*S198</f>
        <v>0</v>
      </c>
      <c r="V198" s="4"/>
      <c r="W198" s="4"/>
      <c r="X198" s="4"/>
      <c r="Y198" s="4"/>
    </row>
    <row r="199" spans="2:25" ht="56.25">
      <c r="B199" s="58"/>
      <c r="C199" s="60"/>
      <c r="D199" s="52" t="s">
        <v>40</v>
      </c>
      <c r="E199" s="63"/>
      <c r="F199" s="8">
        <v>0.58333333333333337</v>
      </c>
      <c r="G199" s="67" t="s">
        <v>74</v>
      </c>
      <c r="H199" s="68"/>
      <c r="I199" s="35">
        <v>66</v>
      </c>
      <c r="J199" s="9">
        <f t="shared" si="46"/>
        <v>6.0606060606060608E-2</v>
      </c>
      <c r="K199" s="39"/>
      <c r="L199" s="39"/>
      <c r="M199" s="39">
        <v>4</v>
      </c>
      <c r="N199" s="39"/>
      <c r="O199" s="39"/>
      <c r="P199" s="39"/>
      <c r="Q199" s="39"/>
      <c r="R199" s="39"/>
      <c r="S199" s="10">
        <f t="shared" si="50"/>
        <v>4</v>
      </c>
      <c r="T199" s="10">
        <v>100000</v>
      </c>
      <c r="U199" s="10">
        <f t="shared" si="51"/>
        <v>400000</v>
      </c>
      <c r="V199" s="4"/>
      <c r="W199" s="4"/>
      <c r="X199" s="4"/>
      <c r="Y199" s="4"/>
    </row>
    <row r="200" spans="2:25" ht="56.25">
      <c r="B200" s="58"/>
      <c r="C200" s="60"/>
      <c r="D200" s="52" t="s">
        <v>40</v>
      </c>
      <c r="E200" s="63"/>
      <c r="F200" s="8">
        <v>0.66666666666666663</v>
      </c>
      <c r="G200" s="67" t="s">
        <v>74</v>
      </c>
      <c r="H200" s="68"/>
      <c r="I200" s="35">
        <v>148</v>
      </c>
      <c r="J200" s="9">
        <f t="shared" si="46"/>
        <v>0</v>
      </c>
      <c r="K200" s="39"/>
      <c r="L200" s="39"/>
      <c r="M200" s="39"/>
      <c r="N200" s="39"/>
      <c r="O200" s="39"/>
      <c r="P200" s="39"/>
      <c r="Q200" s="39"/>
      <c r="R200" s="39"/>
      <c r="S200" s="10">
        <f t="shared" si="50"/>
        <v>0</v>
      </c>
      <c r="T200" s="10">
        <v>100000</v>
      </c>
      <c r="U200" s="10">
        <f>T200*S200</f>
        <v>0</v>
      </c>
      <c r="V200" s="4"/>
      <c r="W200" s="4"/>
      <c r="X200" s="4"/>
      <c r="Y200" s="4"/>
    </row>
    <row r="201" spans="2:25" ht="56.25">
      <c r="B201" s="58"/>
      <c r="C201" s="60"/>
      <c r="D201" s="52" t="s">
        <v>40</v>
      </c>
      <c r="E201" s="63"/>
      <c r="F201" s="8">
        <v>0.75</v>
      </c>
      <c r="G201" s="67" t="s">
        <v>74</v>
      </c>
      <c r="H201" s="68"/>
      <c r="I201" s="35">
        <v>66</v>
      </c>
      <c r="J201" s="9">
        <f t="shared" si="46"/>
        <v>0</v>
      </c>
      <c r="K201" s="39"/>
      <c r="L201" s="39"/>
      <c r="M201" s="39"/>
      <c r="N201" s="39"/>
      <c r="O201" s="39"/>
      <c r="P201" s="39"/>
      <c r="Q201" s="39"/>
      <c r="R201" s="39"/>
      <c r="S201" s="10">
        <f t="shared" si="50"/>
        <v>0</v>
      </c>
      <c r="T201" s="10">
        <v>100000</v>
      </c>
      <c r="U201" s="10">
        <f t="shared" ref="U201:U208" si="52">T201*S201</f>
        <v>0</v>
      </c>
      <c r="V201" s="4"/>
      <c r="W201" s="4"/>
      <c r="X201" s="11"/>
      <c r="Y201" s="4"/>
    </row>
    <row r="202" spans="2:25" ht="56.25">
      <c r="B202" s="58"/>
      <c r="C202" s="60"/>
      <c r="D202" s="53" t="s">
        <v>40</v>
      </c>
      <c r="E202" s="64"/>
      <c r="F202" s="12">
        <v>0.83333333333333337</v>
      </c>
      <c r="G202" s="67" t="s">
        <v>74</v>
      </c>
      <c r="H202" s="68"/>
      <c r="I202" s="37"/>
      <c r="J202" s="9" t="str">
        <f t="shared" si="46"/>
        <v/>
      </c>
      <c r="K202" s="40"/>
      <c r="L202" s="40"/>
      <c r="M202" s="40"/>
      <c r="N202" s="40"/>
      <c r="O202" s="40"/>
      <c r="P202" s="40"/>
      <c r="Q202" s="40"/>
      <c r="R202" s="40"/>
      <c r="S202" s="13">
        <f t="shared" si="50"/>
        <v>0</v>
      </c>
      <c r="T202" s="13">
        <v>100000</v>
      </c>
      <c r="U202" s="13">
        <f t="shared" si="52"/>
        <v>0</v>
      </c>
      <c r="V202" s="4"/>
      <c r="Y202" s="4"/>
    </row>
    <row r="203" spans="2:25" ht="56.25">
      <c r="B203" s="58"/>
      <c r="C203" s="60"/>
      <c r="D203" s="51" t="s">
        <v>40</v>
      </c>
      <c r="E203" s="62" t="s">
        <v>102</v>
      </c>
      <c r="F203" s="5">
        <v>0.91666666666666663</v>
      </c>
      <c r="G203" s="65" t="s">
        <v>85</v>
      </c>
      <c r="H203" s="66"/>
      <c r="I203" s="34">
        <v>130</v>
      </c>
      <c r="J203" s="6">
        <f t="shared" si="46"/>
        <v>0.16923076923076924</v>
      </c>
      <c r="K203" s="38"/>
      <c r="L203" s="38"/>
      <c r="M203" s="38">
        <v>2</v>
      </c>
      <c r="N203" s="38"/>
      <c r="O203" s="38"/>
      <c r="P203" s="38"/>
      <c r="Q203" s="38">
        <v>20</v>
      </c>
      <c r="R203" s="38"/>
      <c r="S203" s="7">
        <f t="shared" si="50"/>
        <v>22</v>
      </c>
      <c r="T203" s="7">
        <v>100000</v>
      </c>
      <c r="U203" s="7">
        <f t="shared" si="52"/>
        <v>2200000</v>
      </c>
      <c r="V203" s="4"/>
      <c r="Y203" s="4"/>
    </row>
    <row r="204" spans="2:25" ht="56.25">
      <c r="B204" s="58"/>
      <c r="C204" s="60"/>
      <c r="D204" s="52" t="s">
        <v>40</v>
      </c>
      <c r="E204" s="63"/>
      <c r="F204" s="8">
        <v>1</v>
      </c>
      <c r="G204" s="67" t="s">
        <v>85</v>
      </c>
      <c r="H204" s="68"/>
      <c r="I204" s="35">
        <v>130</v>
      </c>
      <c r="J204" s="9">
        <f t="shared" si="46"/>
        <v>1.5384615384615385E-2</v>
      </c>
      <c r="K204" s="39"/>
      <c r="L204" s="39"/>
      <c r="M204" s="39">
        <v>2</v>
      </c>
      <c r="N204" s="39"/>
      <c r="O204" s="39"/>
      <c r="P204" s="39"/>
      <c r="Q204" s="39"/>
      <c r="R204" s="39"/>
      <c r="S204" s="10">
        <f t="shared" si="50"/>
        <v>2</v>
      </c>
      <c r="T204" s="10">
        <v>100000</v>
      </c>
      <c r="U204" s="10">
        <f t="shared" si="52"/>
        <v>200000</v>
      </c>
      <c r="V204" s="4"/>
      <c r="Y204" s="4"/>
    </row>
    <row r="205" spans="2:25" ht="56.25">
      <c r="B205" s="58"/>
      <c r="C205" s="60"/>
      <c r="D205" s="52" t="s">
        <v>40</v>
      </c>
      <c r="E205" s="63"/>
      <c r="F205" s="8">
        <v>8.3333333333333329E-2</v>
      </c>
      <c r="G205" s="67" t="s">
        <v>85</v>
      </c>
      <c r="H205" s="68"/>
      <c r="I205" s="35">
        <v>130</v>
      </c>
      <c r="J205" s="9">
        <f t="shared" si="46"/>
        <v>1.5384615384615385E-2</v>
      </c>
      <c r="K205" s="39"/>
      <c r="L205" s="39"/>
      <c r="M205" s="39">
        <v>2</v>
      </c>
      <c r="N205" s="39"/>
      <c r="O205" s="39"/>
      <c r="P205" s="39"/>
      <c r="Q205" s="39"/>
      <c r="R205" s="39"/>
      <c r="S205" s="10">
        <f t="shared" si="50"/>
        <v>2</v>
      </c>
      <c r="T205" s="10">
        <v>100000</v>
      </c>
      <c r="U205" s="10">
        <f t="shared" si="52"/>
        <v>200000</v>
      </c>
      <c r="V205" s="4"/>
      <c r="Y205" s="4"/>
    </row>
    <row r="206" spans="2:25" ht="56.25">
      <c r="B206" s="58"/>
      <c r="C206" s="60"/>
      <c r="D206" s="52" t="s">
        <v>40</v>
      </c>
      <c r="E206" s="63"/>
      <c r="F206" s="8">
        <v>0.16666666666666666</v>
      </c>
      <c r="G206" s="67" t="s">
        <v>85</v>
      </c>
      <c r="H206" s="68"/>
      <c r="I206" s="35">
        <v>130</v>
      </c>
      <c r="J206" s="9">
        <f t="shared" si="46"/>
        <v>1.5384615384615385E-2</v>
      </c>
      <c r="K206" s="39"/>
      <c r="L206" s="39"/>
      <c r="M206" s="39">
        <v>2</v>
      </c>
      <c r="N206" s="39"/>
      <c r="O206" s="39"/>
      <c r="P206" s="39"/>
      <c r="Q206" s="39"/>
      <c r="R206" s="39"/>
      <c r="S206" s="10">
        <f t="shared" si="50"/>
        <v>2</v>
      </c>
      <c r="T206" s="10">
        <v>100000</v>
      </c>
      <c r="U206" s="10">
        <f t="shared" si="52"/>
        <v>200000</v>
      </c>
      <c r="V206" s="4"/>
      <c r="W206" s="4"/>
      <c r="X206" s="4"/>
      <c r="Y206" s="4"/>
    </row>
    <row r="207" spans="2:25" ht="56.25">
      <c r="B207" s="58"/>
      <c r="C207" s="60"/>
      <c r="D207" s="52" t="s">
        <v>40</v>
      </c>
      <c r="E207" s="63"/>
      <c r="F207" s="8">
        <v>0.25</v>
      </c>
      <c r="G207" s="67" t="s">
        <v>85</v>
      </c>
      <c r="H207" s="68"/>
      <c r="I207" s="35">
        <v>130</v>
      </c>
      <c r="J207" s="9">
        <f t="shared" si="46"/>
        <v>1.5384615384615385E-2</v>
      </c>
      <c r="K207" s="39"/>
      <c r="L207" s="39"/>
      <c r="M207" s="39">
        <v>2</v>
      </c>
      <c r="N207" s="39"/>
      <c r="O207" s="39"/>
      <c r="P207" s="39"/>
      <c r="Q207" s="39"/>
      <c r="R207" s="39"/>
      <c r="S207" s="10">
        <f t="shared" si="50"/>
        <v>2</v>
      </c>
      <c r="T207" s="10">
        <v>100000</v>
      </c>
      <c r="U207" s="10">
        <f t="shared" si="52"/>
        <v>200000</v>
      </c>
      <c r="V207" s="4"/>
      <c r="Y207" s="4"/>
    </row>
    <row r="208" spans="2:25" ht="56.25">
      <c r="B208" s="58"/>
      <c r="C208" s="61"/>
      <c r="D208" s="53" t="s">
        <v>40</v>
      </c>
      <c r="E208" s="69"/>
      <c r="F208" s="14">
        <v>0.33333333333333331</v>
      </c>
      <c r="G208" s="67" t="s">
        <v>85</v>
      </c>
      <c r="H208" s="68"/>
      <c r="I208" s="37">
        <v>30</v>
      </c>
      <c r="J208" s="15">
        <f t="shared" si="46"/>
        <v>0.8</v>
      </c>
      <c r="K208" s="40"/>
      <c r="L208" s="40"/>
      <c r="M208" s="40"/>
      <c r="N208" s="40"/>
      <c r="O208" s="40"/>
      <c r="P208" s="40"/>
      <c r="Q208" s="40"/>
      <c r="R208" s="40">
        <v>24</v>
      </c>
      <c r="S208" s="16">
        <f t="shared" si="50"/>
        <v>24</v>
      </c>
      <c r="T208" s="16">
        <v>100000</v>
      </c>
      <c r="U208" s="16">
        <f t="shared" si="52"/>
        <v>2400000</v>
      </c>
      <c r="V208" s="4"/>
      <c r="W208" s="4"/>
      <c r="X208" s="4"/>
      <c r="Y208" s="4"/>
    </row>
    <row r="209" spans="2:25" ht="16.5" customHeight="1">
      <c r="B209" s="58">
        <v>46098</v>
      </c>
      <c r="C209" s="59" t="s">
        <v>14</v>
      </c>
      <c r="D209" s="51" t="s">
        <v>100</v>
      </c>
      <c r="E209" s="62" t="s">
        <v>101</v>
      </c>
      <c r="F209" s="5">
        <v>0.41666666666666669</v>
      </c>
      <c r="G209" s="65" t="s">
        <v>104</v>
      </c>
      <c r="H209" s="66"/>
      <c r="I209" s="34">
        <v>50</v>
      </c>
      <c r="J209" s="6">
        <f t="shared" si="46"/>
        <v>0.04</v>
      </c>
      <c r="K209" s="38"/>
      <c r="L209" s="38"/>
      <c r="M209" s="38">
        <v>2</v>
      </c>
      <c r="N209" s="38"/>
      <c r="O209" s="38"/>
      <c r="P209" s="38"/>
      <c r="Q209" s="38"/>
      <c r="R209" s="38"/>
      <c r="S209" s="7">
        <f>SUM(K209:R209)</f>
        <v>2</v>
      </c>
      <c r="T209" s="7">
        <v>100000</v>
      </c>
      <c r="U209" s="7">
        <f>T209*S209</f>
        <v>200000</v>
      </c>
      <c r="V209" s="4"/>
      <c r="W209" s="4"/>
      <c r="X209" s="4"/>
      <c r="Y209" s="4"/>
    </row>
    <row r="210" spans="2:25" ht="18.75">
      <c r="B210" s="58"/>
      <c r="C210" s="60"/>
      <c r="D210" s="52" t="s">
        <v>100</v>
      </c>
      <c r="E210" s="63"/>
      <c r="F210" s="8">
        <v>0.5</v>
      </c>
      <c r="G210" s="67" t="s">
        <v>104</v>
      </c>
      <c r="H210" s="68"/>
      <c r="I210" s="35">
        <v>52</v>
      </c>
      <c r="J210" s="9">
        <f t="shared" si="46"/>
        <v>3.8461538461538464E-2</v>
      </c>
      <c r="K210" s="39"/>
      <c r="L210" s="39"/>
      <c r="M210" s="39">
        <v>2</v>
      </c>
      <c r="N210" s="39"/>
      <c r="O210" s="39"/>
      <c r="P210" s="39"/>
      <c r="Q210" s="39"/>
      <c r="R210" s="39"/>
      <c r="S210" s="10">
        <f t="shared" ref="S210:S220" si="53">SUM(K210:R210)</f>
        <v>2</v>
      </c>
      <c r="T210" s="10">
        <v>100000</v>
      </c>
      <c r="U210" s="10">
        <f t="shared" ref="U210:U211" si="54">T210*S210</f>
        <v>200000</v>
      </c>
      <c r="V210" s="4"/>
      <c r="W210" s="4"/>
      <c r="X210" s="4"/>
      <c r="Y210" s="4"/>
    </row>
    <row r="211" spans="2:25" ht="18.75">
      <c r="B211" s="58"/>
      <c r="C211" s="60"/>
      <c r="D211" s="52" t="s">
        <v>100</v>
      </c>
      <c r="E211" s="63"/>
      <c r="F211" s="8">
        <v>0.58333333333333337</v>
      </c>
      <c r="G211" s="67" t="s">
        <v>104</v>
      </c>
      <c r="H211" s="68"/>
      <c r="I211" s="35">
        <v>54</v>
      </c>
      <c r="J211" s="9">
        <f t="shared" si="46"/>
        <v>1.8518518518518517E-2</v>
      </c>
      <c r="K211" s="39"/>
      <c r="L211" s="39"/>
      <c r="M211" s="39"/>
      <c r="N211" s="39"/>
      <c r="O211" s="39"/>
      <c r="P211" s="39"/>
      <c r="Q211" s="39"/>
      <c r="R211" s="39">
        <v>1</v>
      </c>
      <c r="S211" s="10">
        <f t="shared" si="53"/>
        <v>1</v>
      </c>
      <c r="T211" s="10">
        <v>100000</v>
      </c>
      <c r="U211" s="10">
        <f t="shared" si="54"/>
        <v>100000</v>
      </c>
      <c r="V211" s="4"/>
      <c r="W211" s="4"/>
      <c r="X211" s="4"/>
      <c r="Y211" s="4"/>
    </row>
    <row r="212" spans="2:25" ht="18.75">
      <c r="B212" s="58"/>
      <c r="C212" s="60"/>
      <c r="D212" s="52" t="s">
        <v>100</v>
      </c>
      <c r="E212" s="63"/>
      <c r="F212" s="8">
        <v>0.66666666666666663</v>
      </c>
      <c r="G212" s="67" t="s">
        <v>104</v>
      </c>
      <c r="H212" s="68"/>
      <c r="I212" s="35">
        <v>55</v>
      </c>
      <c r="J212" s="9">
        <f t="shared" si="46"/>
        <v>0</v>
      </c>
      <c r="K212" s="39"/>
      <c r="L212" s="39"/>
      <c r="M212" s="39"/>
      <c r="N212" s="39"/>
      <c r="O212" s="39"/>
      <c r="P212" s="39"/>
      <c r="Q212" s="39"/>
      <c r="R212" s="39"/>
      <c r="S212" s="10">
        <f t="shared" si="53"/>
        <v>0</v>
      </c>
      <c r="T212" s="10">
        <v>100000</v>
      </c>
      <c r="U212" s="10">
        <f>T212*S212</f>
        <v>0</v>
      </c>
      <c r="V212" s="4"/>
      <c r="W212" s="4"/>
      <c r="X212" s="4"/>
      <c r="Y212" s="4"/>
    </row>
    <row r="213" spans="2:25" ht="18.75">
      <c r="B213" s="58"/>
      <c r="C213" s="60"/>
      <c r="D213" s="52" t="s">
        <v>100</v>
      </c>
      <c r="E213" s="63"/>
      <c r="F213" s="8">
        <v>0.75</v>
      </c>
      <c r="G213" s="67" t="s">
        <v>104</v>
      </c>
      <c r="H213" s="68"/>
      <c r="I213" s="35">
        <v>55</v>
      </c>
      <c r="J213" s="9">
        <f t="shared" si="46"/>
        <v>0</v>
      </c>
      <c r="K213" s="39"/>
      <c r="L213" s="39"/>
      <c r="M213" s="39"/>
      <c r="N213" s="39"/>
      <c r="O213" s="39"/>
      <c r="P213" s="39"/>
      <c r="Q213" s="39"/>
      <c r="R213" s="39"/>
      <c r="S213" s="10">
        <f t="shared" si="53"/>
        <v>0</v>
      </c>
      <c r="T213" s="10">
        <v>100000</v>
      </c>
      <c r="U213" s="10">
        <f t="shared" ref="U213:U220" si="55">T213*S213</f>
        <v>0</v>
      </c>
      <c r="V213" s="4"/>
      <c r="W213" s="4"/>
      <c r="X213" s="11"/>
      <c r="Y213" s="4"/>
    </row>
    <row r="214" spans="2:25" ht="18.75">
      <c r="B214" s="58"/>
      <c r="C214" s="60"/>
      <c r="D214" s="53" t="s">
        <v>100</v>
      </c>
      <c r="E214" s="64"/>
      <c r="F214" s="12">
        <v>0.83333333333333337</v>
      </c>
      <c r="G214" s="67" t="s">
        <v>104</v>
      </c>
      <c r="H214" s="68"/>
      <c r="I214" s="36">
        <v>54</v>
      </c>
      <c r="J214" s="9">
        <f t="shared" si="46"/>
        <v>0</v>
      </c>
      <c r="K214" s="41"/>
      <c r="L214" s="41"/>
      <c r="M214" s="41"/>
      <c r="N214" s="41"/>
      <c r="O214" s="41"/>
      <c r="P214" s="41"/>
      <c r="Q214" s="41"/>
      <c r="R214" s="41"/>
      <c r="S214" s="13">
        <f t="shared" si="53"/>
        <v>0</v>
      </c>
      <c r="T214" s="13">
        <v>100000</v>
      </c>
      <c r="U214" s="13">
        <f t="shared" si="55"/>
        <v>0</v>
      </c>
      <c r="V214" s="4"/>
      <c r="Y214" s="4"/>
    </row>
    <row r="215" spans="2:25" ht="18.75">
      <c r="B215" s="58"/>
      <c r="C215" s="60"/>
      <c r="D215" s="51" t="s">
        <v>100</v>
      </c>
      <c r="E215" s="62" t="s">
        <v>102</v>
      </c>
      <c r="F215" s="5">
        <v>0.91666666666666663</v>
      </c>
      <c r="G215" s="65" t="s">
        <v>88</v>
      </c>
      <c r="H215" s="66"/>
      <c r="I215" s="34">
        <v>30</v>
      </c>
      <c r="J215" s="6">
        <f t="shared" si="46"/>
        <v>0.36666666666666664</v>
      </c>
      <c r="K215" s="38">
        <v>1</v>
      </c>
      <c r="L215" s="38"/>
      <c r="M215" s="38"/>
      <c r="N215" s="38"/>
      <c r="O215" s="38"/>
      <c r="P215" s="38"/>
      <c r="Q215" s="38">
        <v>10</v>
      </c>
      <c r="R215" s="38"/>
      <c r="S215" s="7">
        <f t="shared" si="53"/>
        <v>11</v>
      </c>
      <c r="T215" s="7">
        <v>100000</v>
      </c>
      <c r="U215" s="7">
        <f t="shared" si="55"/>
        <v>1100000</v>
      </c>
      <c r="V215" s="4"/>
      <c r="Y215" s="4"/>
    </row>
    <row r="216" spans="2:25" ht="18.75">
      <c r="B216" s="58"/>
      <c r="C216" s="60"/>
      <c r="D216" s="52" t="s">
        <v>100</v>
      </c>
      <c r="E216" s="63"/>
      <c r="F216" s="8">
        <v>1</v>
      </c>
      <c r="G216" s="67" t="s">
        <v>88</v>
      </c>
      <c r="H216" s="68"/>
      <c r="I216" s="35">
        <v>50</v>
      </c>
      <c r="J216" s="9">
        <f t="shared" si="46"/>
        <v>0.02</v>
      </c>
      <c r="K216" s="39">
        <v>1</v>
      </c>
      <c r="L216" s="39"/>
      <c r="M216" s="39"/>
      <c r="N216" s="39"/>
      <c r="O216" s="39"/>
      <c r="P216" s="39"/>
      <c r="Q216" s="39"/>
      <c r="R216" s="39"/>
      <c r="S216" s="10">
        <f t="shared" si="53"/>
        <v>1</v>
      </c>
      <c r="T216" s="10">
        <v>100000</v>
      </c>
      <c r="U216" s="10">
        <f t="shared" si="55"/>
        <v>100000</v>
      </c>
      <c r="V216" s="4"/>
      <c r="Y216" s="4"/>
    </row>
    <row r="217" spans="2:25" ht="18.75">
      <c r="B217" s="58"/>
      <c r="C217" s="60"/>
      <c r="D217" s="52" t="s">
        <v>100</v>
      </c>
      <c r="E217" s="63"/>
      <c r="F217" s="8">
        <v>8.3333333333333329E-2</v>
      </c>
      <c r="G217" s="67" t="s">
        <v>88</v>
      </c>
      <c r="H217" s="68"/>
      <c r="I217" s="35">
        <v>50</v>
      </c>
      <c r="J217" s="9">
        <f t="shared" si="46"/>
        <v>0.02</v>
      </c>
      <c r="K217" s="39"/>
      <c r="L217" s="39"/>
      <c r="M217" s="39">
        <v>1</v>
      </c>
      <c r="N217" s="39"/>
      <c r="O217" s="39"/>
      <c r="P217" s="39"/>
      <c r="Q217" s="39"/>
      <c r="R217" s="39"/>
      <c r="S217" s="10">
        <f t="shared" si="53"/>
        <v>1</v>
      </c>
      <c r="T217" s="10">
        <v>100000</v>
      </c>
      <c r="U217" s="10">
        <f t="shared" si="55"/>
        <v>100000</v>
      </c>
      <c r="V217" s="4"/>
      <c r="Y217" s="4"/>
    </row>
    <row r="218" spans="2:25" ht="18.75">
      <c r="B218" s="58"/>
      <c r="C218" s="60"/>
      <c r="D218" s="52" t="s">
        <v>100</v>
      </c>
      <c r="E218" s="63"/>
      <c r="F218" s="8">
        <v>0.16666666666666666</v>
      </c>
      <c r="G218" s="67" t="s">
        <v>88</v>
      </c>
      <c r="H218" s="68"/>
      <c r="I218" s="35">
        <v>50</v>
      </c>
      <c r="J218" s="9">
        <f t="shared" si="46"/>
        <v>0</v>
      </c>
      <c r="K218" s="39"/>
      <c r="L218" s="39"/>
      <c r="M218" s="39"/>
      <c r="N218" s="39"/>
      <c r="O218" s="39"/>
      <c r="P218" s="39"/>
      <c r="Q218" s="39"/>
      <c r="R218" s="39"/>
      <c r="S218" s="10">
        <f t="shared" si="53"/>
        <v>0</v>
      </c>
      <c r="T218" s="10">
        <v>100000</v>
      </c>
      <c r="U218" s="10">
        <f t="shared" si="55"/>
        <v>0</v>
      </c>
      <c r="V218" s="4"/>
      <c r="W218" s="4"/>
      <c r="X218" s="4"/>
      <c r="Y218" s="4"/>
    </row>
    <row r="219" spans="2:25" ht="18.75">
      <c r="B219" s="58"/>
      <c r="C219" s="60"/>
      <c r="D219" s="52" t="s">
        <v>100</v>
      </c>
      <c r="E219" s="63"/>
      <c r="F219" s="8">
        <v>0.25</v>
      </c>
      <c r="G219" s="67" t="s">
        <v>88</v>
      </c>
      <c r="H219" s="68"/>
      <c r="I219" s="35">
        <v>50</v>
      </c>
      <c r="J219" s="9">
        <f t="shared" si="46"/>
        <v>0</v>
      </c>
      <c r="K219" s="39"/>
      <c r="L219" s="39"/>
      <c r="M219" s="39"/>
      <c r="N219" s="39"/>
      <c r="O219" s="39"/>
      <c r="P219" s="39"/>
      <c r="Q219" s="39"/>
      <c r="R219" s="39"/>
      <c r="S219" s="10">
        <f t="shared" si="53"/>
        <v>0</v>
      </c>
      <c r="T219" s="10">
        <v>100000</v>
      </c>
      <c r="U219" s="10">
        <f t="shared" si="55"/>
        <v>0</v>
      </c>
      <c r="V219" s="4"/>
      <c r="Y219" s="4"/>
    </row>
    <row r="220" spans="2:25" ht="18.75">
      <c r="B220" s="58"/>
      <c r="C220" s="61"/>
      <c r="D220" s="53" t="s">
        <v>100</v>
      </c>
      <c r="E220" s="69"/>
      <c r="F220" s="14">
        <v>0.33333333333333331</v>
      </c>
      <c r="G220" s="67" t="s">
        <v>88</v>
      </c>
      <c r="H220" s="68"/>
      <c r="I220" s="37">
        <v>50</v>
      </c>
      <c r="J220" s="15">
        <f t="shared" si="46"/>
        <v>0</v>
      </c>
      <c r="K220" s="40"/>
      <c r="L220" s="40"/>
      <c r="M220" s="40"/>
      <c r="N220" s="40"/>
      <c r="O220" s="40"/>
      <c r="P220" s="40"/>
      <c r="Q220" s="40"/>
      <c r="R220" s="40"/>
      <c r="S220" s="16">
        <f t="shared" si="53"/>
        <v>0</v>
      </c>
      <c r="T220" s="16">
        <v>100000</v>
      </c>
      <c r="U220" s="16">
        <f t="shared" si="55"/>
        <v>0</v>
      </c>
      <c r="V220" s="4"/>
      <c r="W220" s="4"/>
      <c r="X220" s="4"/>
      <c r="Y220" s="4"/>
    </row>
    <row r="221" spans="2:25" ht="16.5" customHeight="1">
      <c r="B221" s="58">
        <v>46099</v>
      </c>
      <c r="C221" s="59" t="s">
        <v>14</v>
      </c>
      <c r="D221" s="51" t="s">
        <v>100</v>
      </c>
      <c r="E221" s="62" t="s">
        <v>101</v>
      </c>
      <c r="F221" s="5">
        <v>0.41666666666666669</v>
      </c>
      <c r="G221" s="65" t="s">
        <v>103</v>
      </c>
      <c r="H221" s="66"/>
      <c r="I221" s="34">
        <v>50</v>
      </c>
      <c r="J221" s="6">
        <f t="shared" ref="J221:J244" si="56">IFERROR(S221/I221,"")</f>
        <v>0.04</v>
      </c>
      <c r="K221" s="38"/>
      <c r="L221" s="38"/>
      <c r="M221" s="38"/>
      <c r="N221" s="38"/>
      <c r="O221" s="38"/>
      <c r="P221" s="38"/>
      <c r="Q221" s="38"/>
      <c r="R221" s="38">
        <v>2</v>
      </c>
      <c r="S221" s="7">
        <f>SUM(K221:R221)</f>
        <v>2</v>
      </c>
      <c r="T221" s="7">
        <v>100000</v>
      </c>
      <c r="U221" s="7">
        <f>T221*S221</f>
        <v>200000</v>
      </c>
      <c r="V221" s="4"/>
      <c r="W221" s="4"/>
      <c r="X221" s="4"/>
      <c r="Y221" s="4"/>
    </row>
    <row r="222" spans="2:25" ht="18.75">
      <c r="B222" s="58"/>
      <c r="C222" s="60"/>
      <c r="D222" s="52" t="s">
        <v>100</v>
      </c>
      <c r="E222" s="63"/>
      <c r="F222" s="8">
        <v>0.5</v>
      </c>
      <c r="G222" s="67" t="s">
        <v>103</v>
      </c>
      <c r="H222" s="68"/>
      <c r="I222" s="35">
        <v>50</v>
      </c>
      <c r="J222" s="9">
        <f t="shared" si="56"/>
        <v>0.04</v>
      </c>
      <c r="K222" s="39"/>
      <c r="L222" s="39"/>
      <c r="M222" s="39"/>
      <c r="N222" s="39"/>
      <c r="O222" s="39"/>
      <c r="P222" s="39"/>
      <c r="Q222" s="39"/>
      <c r="R222" s="39">
        <v>2</v>
      </c>
      <c r="S222" s="10">
        <f t="shared" ref="S222:S232" si="57">SUM(K222:R222)</f>
        <v>2</v>
      </c>
      <c r="T222" s="10">
        <v>100000</v>
      </c>
      <c r="U222" s="10">
        <f t="shared" ref="U222:U223" si="58">T222*S222</f>
        <v>200000</v>
      </c>
      <c r="V222" s="4"/>
      <c r="W222" s="4"/>
      <c r="X222" s="4"/>
      <c r="Y222" s="4"/>
    </row>
    <row r="223" spans="2:25" ht="18.75">
      <c r="B223" s="58"/>
      <c r="C223" s="60"/>
      <c r="D223" s="52" t="s">
        <v>100</v>
      </c>
      <c r="E223" s="63"/>
      <c r="F223" s="8">
        <v>0.58333333333333337</v>
      </c>
      <c r="G223" s="67" t="s">
        <v>103</v>
      </c>
      <c r="H223" s="68"/>
      <c r="I223" s="35">
        <v>51</v>
      </c>
      <c r="J223" s="9">
        <f t="shared" si="56"/>
        <v>0</v>
      </c>
      <c r="K223" s="39"/>
      <c r="L223" s="39"/>
      <c r="M223" s="39"/>
      <c r="N223" s="39"/>
      <c r="O223" s="39"/>
      <c r="P223" s="39"/>
      <c r="Q223" s="39"/>
      <c r="R223" s="39"/>
      <c r="S223" s="10">
        <f t="shared" si="57"/>
        <v>0</v>
      </c>
      <c r="T223" s="10">
        <v>100000</v>
      </c>
      <c r="U223" s="10">
        <f t="shared" si="58"/>
        <v>0</v>
      </c>
      <c r="V223" s="4"/>
      <c r="W223" s="4"/>
      <c r="X223" s="4"/>
      <c r="Y223" s="4"/>
    </row>
    <row r="224" spans="2:25" ht="18.75">
      <c r="B224" s="58"/>
      <c r="C224" s="60"/>
      <c r="D224" s="52" t="s">
        <v>100</v>
      </c>
      <c r="E224" s="63"/>
      <c r="F224" s="8">
        <v>0.66666666666666663</v>
      </c>
      <c r="G224" s="67" t="s">
        <v>103</v>
      </c>
      <c r="H224" s="68"/>
      <c r="I224" s="35">
        <v>50</v>
      </c>
      <c r="J224" s="9">
        <f t="shared" si="56"/>
        <v>0.04</v>
      </c>
      <c r="K224" s="39"/>
      <c r="L224" s="39"/>
      <c r="M224" s="39"/>
      <c r="N224" s="39"/>
      <c r="O224" s="39"/>
      <c r="P224" s="39"/>
      <c r="Q224" s="39"/>
      <c r="R224" s="39">
        <v>2</v>
      </c>
      <c r="S224" s="10">
        <f t="shared" si="57"/>
        <v>2</v>
      </c>
      <c r="T224" s="10">
        <v>100000</v>
      </c>
      <c r="U224" s="10">
        <f>T224*S224</f>
        <v>200000</v>
      </c>
      <c r="V224" s="4"/>
      <c r="W224" s="4"/>
      <c r="X224" s="4"/>
      <c r="Y224" s="4"/>
    </row>
    <row r="225" spans="2:25" ht="18.75">
      <c r="B225" s="58"/>
      <c r="C225" s="60"/>
      <c r="D225" s="52" t="s">
        <v>100</v>
      </c>
      <c r="E225" s="63"/>
      <c r="F225" s="8">
        <v>0.75</v>
      </c>
      <c r="G225" s="67" t="s">
        <v>103</v>
      </c>
      <c r="H225" s="68"/>
      <c r="I225" s="35">
        <v>19</v>
      </c>
      <c r="J225" s="9">
        <f t="shared" si="56"/>
        <v>0</v>
      </c>
      <c r="K225" s="39"/>
      <c r="L225" s="39"/>
      <c r="M225" s="39"/>
      <c r="N225" s="39"/>
      <c r="O225" s="39"/>
      <c r="P225" s="39"/>
      <c r="Q225" s="39"/>
      <c r="R225" s="39"/>
      <c r="S225" s="10">
        <f t="shared" si="57"/>
        <v>0</v>
      </c>
      <c r="T225" s="10">
        <v>100000</v>
      </c>
      <c r="U225" s="10">
        <f t="shared" ref="U225:U232" si="59">T225*S225</f>
        <v>0</v>
      </c>
      <c r="V225" s="4"/>
      <c r="W225" s="4"/>
      <c r="X225" s="11"/>
      <c r="Y225" s="4"/>
    </row>
    <row r="226" spans="2:25" ht="18.75">
      <c r="B226" s="58"/>
      <c r="C226" s="60"/>
      <c r="D226" s="53" t="s">
        <v>100</v>
      </c>
      <c r="E226" s="64"/>
      <c r="F226" s="12">
        <v>0.83333333333333337</v>
      </c>
      <c r="G226" s="67" t="s">
        <v>103</v>
      </c>
      <c r="H226" s="68"/>
      <c r="I226" s="36"/>
      <c r="J226" s="9" t="str">
        <f t="shared" si="56"/>
        <v/>
      </c>
      <c r="K226" s="41"/>
      <c r="L226" s="41"/>
      <c r="M226" s="41"/>
      <c r="N226" s="41"/>
      <c r="O226" s="41"/>
      <c r="P226" s="41"/>
      <c r="Q226" s="41"/>
      <c r="R226" s="41"/>
      <c r="S226" s="13">
        <f t="shared" si="57"/>
        <v>0</v>
      </c>
      <c r="T226" s="13">
        <v>100000</v>
      </c>
      <c r="U226" s="13">
        <f t="shared" si="59"/>
        <v>0</v>
      </c>
      <c r="V226" s="4"/>
      <c r="Y226" s="4"/>
    </row>
    <row r="227" spans="2:25" ht="18.75">
      <c r="B227" s="58"/>
      <c r="C227" s="60"/>
      <c r="D227" s="51" t="s">
        <v>100</v>
      </c>
      <c r="E227" s="62" t="s">
        <v>102</v>
      </c>
      <c r="F227" s="5">
        <v>0.91666666666666663</v>
      </c>
      <c r="G227" s="65" t="s">
        <v>88</v>
      </c>
      <c r="H227" s="66"/>
      <c r="I227" s="34">
        <v>50</v>
      </c>
      <c r="J227" s="6">
        <f t="shared" si="56"/>
        <v>0.04</v>
      </c>
      <c r="K227" s="38">
        <v>2</v>
      </c>
      <c r="L227" s="38"/>
      <c r="M227" s="38"/>
      <c r="N227" s="38"/>
      <c r="O227" s="38"/>
      <c r="P227" s="38"/>
      <c r="Q227" s="38"/>
      <c r="R227" s="38"/>
      <c r="S227" s="7">
        <f t="shared" si="57"/>
        <v>2</v>
      </c>
      <c r="T227" s="7">
        <v>100000</v>
      </c>
      <c r="U227" s="7">
        <f t="shared" si="59"/>
        <v>200000</v>
      </c>
      <c r="V227" s="4"/>
      <c r="Y227" s="4"/>
    </row>
    <row r="228" spans="2:25" ht="18.75">
      <c r="B228" s="58"/>
      <c r="C228" s="60"/>
      <c r="D228" s="52" t="s">
        <v>100</v>
      </c>
      <c r="E228" s="63"/>
      <c r="F228" s="8">
        <v>1</v>
      </c>
      <c r="G228" s="67" t="s">
        <v>88</v>
      </c>
      <c r="H228" s="68"/>
      <c r="I228" s="35">
        <v>50</v>
      </c>
      <c r="J228" s="9">
        <f t="shared" si="56"/>
        <v>0.04</v>
      </c>
      <c r="K228" s="39">
        <v>1</v>
      </c>
      <c r="L228" s="39"/>
      <c r="M228" s="39">
        <v>1</v>
      </c>
      <c r="N228" s="39"/>
      <c r="O228" s="39"/>
      <c r="P228" s="39"/>
      <c r="Q228" s="39"/>
      <c r="R228" s="39"/>
      <c r="S228" s="10">
        <f t="shared" si="57"/>
        <v>2</v>
      </c>
      <c r="T228" s="10">
        <v>100000</v>
      </c>
      <c r="U228" s="10">
        <f t="shared" si="59"/>
        <v>200000</v>
      </c>
      <c r="V228" s="4"/>
      <c r="Y228" s="4"/>
    </row>
    <row r="229" spans="2:25" ht="18.75">
      <c r="B229" s="58"/>
      <c r="C229" s="60"/>
      <c r="D229" s="52" t="s">
        <v>100</v>
      </c>
      <c r="E229" s="63"/>
      <c r="F229" s="8">
        <v>8.3333333333333329E-2</v>
      </c>
      <c r="G229" s="67" t="s">
        <v>88</v>
      </c>
      <c r="H229" s="68"/>
      <c r="I229" s="35">
        <v>50</v>
      </c>
      <c r="J229" s="9">
        <f t="shared" si="56"/>
        <v>0.04</v>
      </c>
      <c r="K229" s="39">
        <v>2</v>
      </c>
      <c r="L229" s="39"/>
      <c r="M229" s="39"/>
      <c r="N229" s="39"/>
      <c r="O229" s="39"/>
      <c r="P229" s="39"/>
      <c r="Q229" s="39"/>
      <c r="R229" s="39"/>
      <c r="S229" s="10">
        <f t="shared" si="57"/>
        <v>2</v>
      </c>
      <c r="T229" s="10">
        <v>100000</v>
      </c>
      <c r="U229" s="10">
        <f t="shared" si="59"/>
        <v>200000</v>
      </c>
      <c r="V229" s="4"/>
      <c r="Y229" s="4"/>
    </row>
    <row r="230" spans="2:25" ht="18.75">
      <c r="B230" s="58"/>
      <c r="C230" s="60"/>
      <c r="D230" s="52" t="s">
        <v>100</v>
      </c>
      <c r="E230" s="63"/>
      <c r="F230" s="8">
        <v>0.16666666666666666</v>
      </c>
      <c r="G230" s="67" t="s">
        <v>88</v>
      </c>
      <c r="H230" s="68"/>
      <c r="I230" s="35">
        <v>50</v>
      </c>
      <c r="J230" s="9">
        <f t="shared" si="56"/>
        <v>0.04</v>
      </c>
      <c r="K230" s="39"/>
      <c r="L230" s="39"/>
      <c r="M230" s="39">
        <v>2</v>
      </c>
      <c r="N230" s="39"/>
      <c r="O230" s="39"/>
      <c r="P230" s="39"/>
      <c r="Q230" s="39"/>
      <c r="R230" s="39"/>
      <c r="S230" s="10">
        <f t="shared" si="57"/>
        <v>2</v>
      </c>
      <c r="T230" s="10">
        <v>100000</v>
      </c>
      <c r="U230" s="10">
        <f t="shared" si="59"/>
        <v>200000</v>
      </c>
      <c r="V230" s="4"/>
      <c r="W230" s="4"/>
      <c r="X230" s="4"/>
      <c r="Y230" s="4"/>
    </row>
    <row r="231" spans="2:25" ht="18.75">
      <c r="B231" s="58"/>
      <c r="C231" s="60"/>
      <c r="D231" s="52" t="s">
        <v>100</v>
      </c>
      <c r="E231" s="63"/>
      <c r="F231" s="8">
        <v>0.25</v>
      </c>
      <c r="G231" s="67" t="s">
        <v>88</v>
      </c>
      <c r="H231" s="68"/>
      <c r="I231" s="35">
        <v>50</v>
      </c>
      <c r="J231" s="9">
        <f t="shared" si="56"/>
        <v>0</v>
      </c>
      <c r="K231" s="39"/>
      <c r="L231" s="39"/>
      <c r="M231" s="39"/>
      <c r="N231" s="39"/>
      <c r="O231" s="39"/>
      <c r="P231" s="39"/>
      <c r="Q231" s="39"/>
      <c r="R231" s="39"/>
      <c r="S231" s="10">
        <f t="shared" si="57"/>
        <v>0</v>
      </c>
      <c r="T231" s="10">
        <v>100000</v>
      </c>
      <c r="U231" s="10">
        <f t="shared" si="59"/>
        <v>0</v>
      </c>
      <c r="V231" s="4"/>
      <c r="Y231" s="4"/>
    </row>
    <row r="232" spans="2:25" ht="18.75">
      <c r="B232" s="58"/>
      <c r="C232" s="61"/>
      <c r="D232" s="53" t="s">
        <v>100</v>
      </c>
      <c r="E232" s="69"/>
      <c r="F232" s="14">
        <v>0.33333333333333331</v>
      </c>
      <c r="G232" s="67" t="s">
        <v>88</v>
      </c>
      <c r="H232" s="68"/>
      <c r="I232" s="37">
        <v>50</v>
      </c>
      <c r="J232" s="15">
        <f t="shared" si="56"/>
        <v>0</v>
      </c>
      <c r="K232" s="40"/>
      <c r="L232" s="40"/>
      <c r="M232" s="40"/>
      <c r="N232" s="40"/>
      <c r="O232" s="40"/>
      <c r="P232" s="40"/>
      <c r="Q232" s="40"/>
      <c r="R232" s="40"/>
      <c r="S232" s="16">
        <f t="shared" si="57"/>
        <v>0</v>
      </c>
      <c r="T232" s="16">
        <v>100000</v>
      </c>
      <c r="U232" s="16">
        <f t="shared" si="59"/>
        <v>0</v>
      </c>
      <c r="V232" s="4"/>
      <c r="W232" s="4"/>
      <c r="X232" s="4"/>
      <c r="Y232" s="4"/>
    </row>
    <row r="233" spans="2:25" ht="16.5" customHeight="1">
      <c r="B233" s="58">
        <v>46100</v>
      </c>
      <c r="C233" s="59" t="s">
        <v>14</v>
      </c>
      <c r="D233" s="51"/>
      <c r="E233" s="62" t="s">
        <v>101</v>
      </c>
      <c r="F233" s="5">
        <v>0.41666666666666669</v>
      </c>
      <c r="G233" s="65"/>
      <c r="H233" s="66"/>
      <c r="I233" s="34"/>
      <c r="J233" s="6" t="str">
        <f t="shared" si="56"/>
        <v/>
      </c>
      <c r="K233" s="38"/>
      <c r="L233" s="38"/>
      <c r="M233" s="38"/>
      <c r="N233" s="38"/>
      <c r="O233" s="38"/>
      <c r="P233" s="38"/>
      <c r="Q233" s="38"/>
      <c r="R233" s="38"/>
      <c r="S233" s="7">
        <f>SUM(K233:R233)</f>
        <v>0</v>
      </c>
      <c r="T233" s="7">
        <v>100000</v>
      </c>
      <c r="U233" s="7">
        <f>T233*S233</f>
        <v>0</v>
      </c>
      <c r="V233" s="4"/>
      <c r="W233" s="4"/>
      <c r="X233" s="4"/>
      <c r="Y233" s="4"/>
    </row>
    <row r="234" spans="2:25" ht="18.75">
      <c r="B234" s="58"/>
      <c r="C234" s="60"/>
      <c r="D234" s="52"/>
      <c r="E234" s="63"/>
      <c r="F234" s="8">
        <v>0.5</v>
      </c>
      <c r="G234" s="67"/>
      <c r="H234" s="68"/>
      <c r="I234" s="35"/>
      <c r="J234" s="9" t="str">
        <f t="shared" si="56"/>
        <v/>
      </c>
      <c r="K234" s="39"/>
      <c r="L234" s="39"/>
      <c r="M234" s="39"/>
      <c r="N234" s="39"/>
      <c r="O234" s="39"/>
      <c r="P234" s="39"/>
      <c r="Q234" s="39"/>
      <c r="R234" s="39"/>
      <c r="S234" s="10">
        <f t="shared" ref="S234:S244" si="60">SUM(K234:R234)</f>
        <v>0</v>
      </c>
      <c r="T234" s="10">
        <v>100000</v>
      </c>
      <c r="U234" s="10">
        <f t="shared" ref="U234:U235" si="61">T234*S234</f>
        <v>0</v>
      </c>
      <c r="V234" s="4"/>
      <c r="W234" s="4"/>
      <c r="X234" s="4"/>
      <c r="Y234" s="4"/>
    </row>
    <row r="235" spans="2:25" ht="18.75">
      <c r="B235" s="58"/>
      <c r="C235" s="60"/>
      <c r="D235" s="52"/>
      <c r="E235" s="63"/>
      <c r="F235" s="8">
        <v>0.58333333333333337</v>
      </c>
      <c r="G235" s="67"/>
      <c r="H235" s="68"/>
      <c r="I235" s="35"/>
      <c r="J235" s="9" t="str">
        <f t="shared" si="56"/>
        <v/>
      </c>
      <c r="K235" s="39"/>
      <c r="L235" s="39"/>
      <c r="M235" s="39"/>
      <c r="N235" s="39"/>
      <c r="O235" s="39"/>
      <c r="P235" s="39"/>
      <c r="Q235" s="39"/>
      <c r="R235" s="39"/>
      <c r="S235" s="10">
        <f t="shared" si="60"/>
        <v>0</v>
      </c>
      <c r="T235" s="10">
        <v>100000</v>
      </c>
      <c r="U235" s="10">
        <f t="shared" si="61"/>
        <v>0</v>
      </c>
      <c r="V235" s="4"/>
      <c r="W235" s="4"/>
      <c r="X235" s="4"/>
      <c r="Y235" s="4"/>
    </row>
    <row r="236" spans="2:25" ht="18.75">
      <c r="B236" s="58"/>
      <c r="C236" s="60"/>
      <c r="D236" s="52"/>
      <c r="E236" s="63"/>
      <c r="F236" s="8">
        <v>0.66666666666666663</v>
      </c>
      <c r="G236" s="67"/>
      <c r="H236" s="68"/>
      <c r="I236" s="35"/>
      <c r="J236" s="9" t="str">
        <f t="shared" si="56"/>
        <v/>
      </c>
      <c r="K236" s="39"/>
      <c r="L236" s="39"/>
      <c r="M236" s="39"/>
      <c r="N236" s="39"/>
      <c r="O236" s="39"/>
      <c r="P236" s="39"/>
      <c r="Q236" s="39"/>
      <c r="R236" s="39"/>
      <c r="S236" s="10">
        <f t="shared" si="60"/>
        <v>0</v>
      </c>
      <c r="T236" s="10">
        <v>100000</v>
      </c>
      <c r="U236" s="10">
        <f>T236*S236</f>
        <v>0</v>
      </c>
      <c r="V236" s="4"/>
      <c r="W236" s="4"/>
      <c r="X236" s="4"/>
      <c r="Y236" s="4"/>
    </row>
    <row r="237" spans="2:25" ht="18.75">
      <c r="B237" s="58"/>
      <c r="C237" s="60"/>
      <c r="D237" s="52"/>
      <c r="E237" s="63"/>
      <c r="F237" s="8">
        <v>0.75</v>
      </c>
      <c r="G237" s="67"/>
      <c r="H237" s="68"/>
      <c r="I237" s="35"/>
      <c r="J237" s="9" t="str">
        <f t="shared" si="56"/>
        <v/>
      </c>
      <c r="K237" s="39"/>
      <c r="L237" s="39"/>
      <c r="M237" s="39"/>
      <c r="N237" s="39"/>
      <c r="O237" s="39"/>
      <c r="P237" s="39"/>
      <c r="Q237" s="39"/>
      <c r="R237" s="39"/>
      <c r="S237" s="10">
        <f t="shared" si="60"/>
        <v>0</v>
      </c>
      <c r="T237" s="10">
        <v>100000</v>
      </c>
      <c r="U237" s="10">
        <f t="shared" ref="U237:U244" si="62">T237*S237</f>
        <v>0</v>
      </c>
      <c r="V237" s="4"/>
      <c r="W237" s="4"/>
      <c r="X237" s="11"/>
      <c r="Y237" s="4"/>
    </row>
    <row r="238" spans="2:25" ht="18.75">
      <c r="B238" s="58"/>
      <c r="C238" s="60"/>
      <c r="D238" s="53"/>
      <c r="E238" s="64"/>
      <c r="F238" s="12">
        <v>0.83333333333333337</v>
      </c>
      <c r="G238" s="67"/>
      <c r="H238" s="68"/>
      <c r="I238" s="36"/>
      <c r="J238" s="9" t="str">
        <f t="shared" si="56"/>
        <v/>
      </c>
      <c r="K238" s="41"/>
      <c r="L238" s="41"/>
      <c r="M238" s="41"/>
      <c r="N238" s="41"/>
      <c r="O238" s="41"/>
      <c r="P238" s="41"/>
      <c r="Q238" s="41"/>
      <c r="R238" s="41"/>
      <c r="S238" s="13">
        <f t="shared" si="60"/>
        <v>0</v>
      </c>
      <c r="T238" s="13">
        <v>100000</v>
      </c>
      <c r="U238" s="13">
        <f t="shared" si="62"/>
        <v>0</v>
      </c>
      <c r="V238" s="4"/>
      <c r="Y238" s="4"/>
    </row>
    <row r="239" spans="2:25" ht="18.75">
      <c r="B239" s="58"/>
      <c r="C239" s="60"/>
      <c r="D239" s="51"/>
      <c r="E239" s="62" t="s">
        <v>102</v>
      </c>
      <c r="F239" s="5">
        <v>0.91666666666666663</v>
      </c>
      <c r="G239" s="65"/>
      <c r="H239" s="66"/>
      <c r="I239" s="34"/>
      <c r="J239" s="6" t="str">
        <f t="shared" si="56"/>
        <v/>
      </c>
      <c r="K239" s="38"/>
      <c r="L239" s="38"/>
      <c r="M239" s="38"/>
      <c r="N239" s="38"/>
      <c r="O239" s="38"/>
      <c r="P239" s="38"/>
      <c r="Q239" s="38"/>
      <c r="R239" s="38"/>
      <c r="S239" s="7">
        <f t="shared" si="60"/>
        <v>0</v>
      </c>
      <c r="T239" s="7">
        <v>100000</v>
      </c>
      <c r="U239" s="7">
        <f t="shared" si="62"/>
        <v>0</v>
      </c>
      <c r="V239" s="4"/>
      <c r="Y239" s="4"/>
    </row>
    <row r="240" spans="2:25" ht="18.75">
      <c r="B240" s="58"/>
      <c r="C240" s="60"/>
      <c r="D240" s="52"/>
      <c r="E240" s="63"/>
      <c r="F240" s="8">
        <v>1</v>
      </c>
      <c r="G240" s="67"/>
      <c r="H240" s="68"/>
      <c r="I240" s="35"/>
      <c r="J240" s="9" t="str">
        <f t="shared" si="56"/>
        <v/>
      </c>
      <c r="K240" s="39"/>
      <c r="L240" s="39"/>
      <c r="M240" s="39"/>
      <c r="N240" s="39"/>
      <c r="O240" s="39"/>
      <c r="P240" s="39"/>
      <c r="Q240" s="39"/>
      <c r="R240" s="39"/>
      <c r="S240" s="10">
        <f t="shared" si="60"/>
        <v>0</v>
      </c>
      <c r="T240" s="10">
        <v>100000</v>
      </c>
      <c r="U240" s="10">
        <f t="shared" si="62"/>
        <v>0</v>
      </c>
      <c r="V240" s="4"/>
      <c r="Y240" s="4"/>
    </row>
    <row r="241" spans="2:25" ht="18.75">
      <c r="B241" s="58"/>
      <c r="C241" s="60"/>
      <c r="D241" s="52"/>
      <c r="E241" s="63"/>
      <c r="F241" s="8">
        <v>8.3333333333333329E-2</v>
      </c>
      <c r="G241" s="67"/>
      <c r="H241" s="68"/>
      <c r="I241" s="35"/>
      <c r="J241" s="9" t="str">
        <f t="shared" si="56"/>
        <v/>
      </c>
      <c r="K241" s="39"/>
      <c r="L241" s="39"/>
      <c r="M241" s="39"/>
      <c r="N241" s="39"/>
      <c r="O241" s="39"/>
      <c r="P241" s="39"/>
      <c r="Q241" s="39"/>
      <c r="R241" s="39"/>
      <c r="S241" s="10">
        <f t="shared" si="60"/>
        <v>0</v>
      </c>
      <c r="T241" s="10">
        <v>100000</v>
      </c>
      <c r="U241" s="10">
        <f t="shared" si="62"/>
        <v>0</v>
      </c>
      <c r="V241" s="4"/>
      <c r="Y241" s="4"/>
    </row>
    <row r="242" spans="2:25" ht="18.75">
      <c r="B242" s="58"/>
      <c r="C242" s="60"/>
      <c r="D242" s="52"/>
      <c r="E242" s="63"/>
      <c r="F242" s="8">
        <v>0.16666666666666666</v>
      </c>
      <c r="G242" s="67"/>
      <c r="H242" s="68"/>
      <c r="I242" s="35"/>
      <c r="J242" s="9" t="str">
        <f t="shared" si="56"/>
        <v/>
      </c>
      <c r="K242" s="39"/>
      <c r="L242" s="39"/>
      <c r="M242" s="39"/>
      <c r="N242" s="39"/>
      <c r="O242" s="39"/>
      <c r="P242" s="39"/>
      <c r="Q242" s="39"/>
      <c r="R242" s="39"/>
      <c r="S242" s="10">
        <f t="shared" si="60"/>
        <v>0</v>
      </c>
      <c r="T242" s="10">
        <v>100000</v>
      </c>
      <c r="U242" s="10">
        <f t="shared" si="62"/>
        <v>0</v>
      </c>
      <c r="V242" s="4"/>
      <c r="W242" s="4"/>
      <c r="X242" s="4"/>
      <c r="Y242" s="4"/>
    </row>
    <row r="243" spans="2:25" ht="18.75">
      <c r="B243" s="58"/>
      <c r="C243" s="60"/>
      <c r="D243" s="52"/>
      <c r="E243" s="63"/>
      <c r="F243" s="8">
        <v>0.25</v>
      </c>
      <c r="G243" s="67"/>
      <c r="H243" s="68"/>
      <c r="I243" s="35"/>
      <c r="J243" s="9" t="str">
        <f t="shared" si="56"/>
        <v/>
      </c>
      <c r="K243" s="39"/>
      <c r="L243" s="39"/>
      <c r="M243" s="39"/>
      <c r="N243" s="39"/>
      <c r="O243" s="39"/>
      <c r="P243" s="39"/>
      <c r="Q243" s="39"/>
      <c r="R243" s="39"/>
      <c r="S243" s="10">
        <f t="shared" si="60"/>
        <v>0</v>
      </c>
      <c r="T243" s="10">
        <v>100000</v>
      </c>
      <c r="U243" s="10">
        <f t="shared" si="62"/>
        <v>0</v>
      </c>
      <c r="V243" s="4"/>
      <c r="Y243" s="4"/>
    </row>
    <row r="244" spans="2:25" ht="18.75">
      <c r="B244" s="58"/>
      <c r="C244" s="61"/>
      <c r="D244" s="53"/>
      <c r="E244" s="69"/>
      <c r="F244" s="14">
        <v>0.33333333333333331</v>
      </c>
      <c r="G244" s="67"/>
      <c r="H244" s="68"/>
      <c r="I244" s="37"/>
      <c r="J244" s="15" t="str">
        <f t="shared" si="56"/>
        <v/>
      </c>
      <c r="K244" s="40"/>
      <c r="L244" s="40"/>
      <c r="M244" s="40"/>
      <c r="N244" s="40"/>
      <c r="O244" s="40"/>
      <c r="P244" s="40"/>
      <c r="Q244" s="40"/>
      <c r="R244" s="40"/>
      <c r="S244" s="16">
        <f t="shared" si="60"/>
        <v>0</v>
      </c>
      <c r="T244" s="16">
        <v>100000</v>
      </c>
      <c r="U244" s="16">
        <f t="shared" si="62"/>
        <v>0</v>
      </c>
      <c r="V244" s="4"/>
      <c r="W244" s="4"/>
      <c r="X244" s="4"/>
      <c r="Y244" s="4"/>
    </row>
    <row r="245" spans="2:25" ht="34.5" customHeight="1">
      <c r="B245" s="58">
        <v>46101</v>
      </c>
      <c r="C245" s="59" t="s">
        <v>14</v>
      </c>
      <c r="D245" s="51" t="s">
        <v>41</v>
      </c>
      <c r="E245" s="62" t="s">
        <v>101</v>
      </c>
      <c r="F245" s="5">
        <v>0.41666666666666669</v>
      </c>
      <c r="G245" s="65" t="s">
        <v>109</v>
      </c>
      <c r="H245" s="66"/>
      <c r="I245" s="34">
        <v>90</v>
      </c>
      <c r="J245" s="6">
        <f t="shared" ref="J245:J280" si="63">IFERROR(S245/I245,"")</f>
        <v>4.4444444444444446E-2</v>
      </c>
      <c r="K245" s="38"/>
      <c r="L245" s="38"/>
      <c r="M245" s="38"/>
      <c r="N245" s="38"/>
      <c r="O245" s="38"/>
      <c r="P245" s="38"/>
      <c r="Q245" s="38">
        <v>4</v>
      </c>
      <c r="R245" s="38"/>
      <c r="S245" s="7">
        <f>SUM(K245:R245)</f>
        <v>4</v>
      </c>
      <c r="T245" s="7">
        <v>100000</v>
      </c>
      <c r="U245" s="7">
        <f>T245*S245</f>
        <v>400000</v>
      </c>
      <c r="V245" s="4"/>
      <c r="W245" s="4"/>
      <c r="X245" s="4"/>
      <c r="Y245" s="4"/>
    </row>
    <row r="246" spans="2:25" ht="37.5">
      <c r="B246" s="58"/>
      <c r="C246" s="60"/>
      <c r="D246" s="52" t="s">
        <v>41</v>
      </c>
      <c r="E246" s="63"/>
      <c r="F246" s="8">
        <v>0.5</v>
      </c>
      <c r="G246" s="67" t="s">
        <v>109</v>
      </c>
      <c r="H246" s="68"/>
      <c r="I246" s="35">
        <v>60</v>
      </c>
      <c r="J246" s="9">
        <f t="shared" si="63"/>
        <v>6.6666666666666666E-2</v>
      </c>
      <c r="K246" s="39"/>
      <c r="L246" s="39"/>
      <c r="M246" s="39"/>
      <c r="N246" s="39"/>
      <c r="O246" s="39"/>
      <c r="P246" s="39"/>
      <c r="Q246" s="39">
        <v>4</v>
      </c>
      <c r="R246" s="39"/>
      <c r="S246" s="10">
        <f t="shared" ref="S246:S256" si="64">SUM(K246:R246)</f>
        <v>4</v>
      </c>
      <c r="T246" s="10">
        <v>100000</v>
      </c>
      <c r="U246" s="10">
        <f t="shared" ref="U246:U247" si="65">T246*S246</f>
        <v>400000</v>
      </c>
      <c r="V246" s="4"/>
      <c r="W246" s="4"/>
      <c r="X246" s="4"/>
      <c r="Y246" s="4"/>
    </row>
    <row r="247" spans="2:25" ht="37.5">
      <c r="B247" s="58"/>
      <c r="C247" s="60"/>
      <c r="D247" s="52" t="s">
        <v>41</v>
      </c>
      <c r="E247" s="63"/>
      <c r="F247" s="8">
        <v>0.58333333333333337</v>
      </c>
      <c r="G247" s="67" t="s">
        <v>109</v>
      </c>
      <c r="H247" s="68"/>
      <c r="I247" s="35">
        <v>150</v>
      </c>
      <c r="J247" s="9">
        <f t="shared" si="63"/>
        <v>0</v>
      </c>
      <c r="K247" s="39"/>
      <c r="L247" s="39"/>
      <c r="M247" s="39"/>
      <c r="N247" s="39"/>
      <c r="O247" s="39"/>
      <c r="P247" s="39"/>
      <c r="Q247" s="39"/>
      <c r="R247" s="39"/>
      <c r="S247" s="10">
        <f t="shared" si="64"/>
        <v>0</v>
      </c>
      <c r="T247" s="10">
        <v>100000</v>
      </c>
      <c r="U247" s="10">
        <f t="shared" si="65"/>
        <v>0</v>
      </c>
      <c r="V247" s="4"/>
      <c r="W247" s="4"/>
      <c r="X247" s="4"/>
      <c r="Y247" s="4"/>
    </row>
    <row r="248" spans="2:25" ht="37.5">
      <c r="B248" s="58"/>
      <c r="C248" s="60"/>
      <c r="D248" s="52" t="s">
        <v>41</v>
      </c>
      <c r="E248" s="63"/>
      <c r="F248" s="8">
        <v>0.66666666666666663</v>
      </c>
      <c r="G248" s="67" t="s">
        <v>109</v>
      </c>
      <c r="H248" s="68"/>
      <c r="I248" s="35">
        <v>130</v>
      </c>
      <c r="J248" s="9">
        <f t="shared" si="63"/>
        <v>3.0769230769230771E-2</v>
      </c>
      <c r="K248" s="39"/>
      <c r="L248" s="39"/>
      <c r="M248" s="39"/>
      <c r="N248" s="39"/>
      <c r="O248" s="39"/>
      <c r="P248" s="39"/>
      <c r="Q248" s="39">
        <v>4</v>
      </c>
      <c r="R248" s="39"/>
      <c r="S248" s="10">
        <f t="shared" si="64"/>
        <v>4</v>
      </c>
      <c r="T248" s="10">
        <v>100000</v>
      </c>
      <c r="U248" s="10">
        <f>T248*S248</f>
        <v>400000</v>
      </c>
      <c r="V248" s="4"/>
      <c r="W248" s="4"/>
      <c r="X248" s="4"/>
      <c r="Y248" s="4"/>
    </row>
    <row r="249" spans="2:25" ht="37.5">
      <c r="B249" s="58"/>
      <c r="C249" s="60"/>
      <c r="D249" s="52" t="s">
        <v>41</v>
      </c>
      <c r="E249" s="63"/>
      <c r="F249" s="8">
        <v>0.75</v>
      </c>
      <c r="G249" s="67" t="s">
        <v>109</v>
      </c>
      <c r="H249" s="68"/>
      <c r="I249" s="35">
        <v>150</v>
      </c>
      <c r="J249" s="9">
        <f t="shared" si="63"/>
        <v>0</v>
      </c>
      <c r="K249" s="39"/>
      <c r="L249" s="39"/>
      <c r="M249" s="39"/>
      <c r="N249" s="39"/>
      <c r="O249" s="39"/>
      <c r="P249" s="39"/>
      <c r="Q249" s="39"/>
      <c r="R249" s="39"/>
      <c r="S249" s="10">
        <f t="shared" si="64"/>
        <v>0</v>
      </c>
      <c r="T249" s="10">
        <v>100000</v>
      </c>
      <c r="U249" s="10">
        <f t="shared" ref="U249:U256" si="66">T249*S249</f>
        <v>0</v>
      </c>
      <c r="V249" s="4"/>
      <c r="W249" s="4"/>
      <c r="X249" s="11"/>
      <c r="Y249" s="4"/>
    </row>
    <row r="250" spans="2:25" ht="37.5">
      <c r="B250" s="58"/>
      <c r="C250" s="60"/>
      <c r="D250" s="53" t="s">
        <v>41</v>
      </c>
      <c r="E250" s="64"/>
      <c r="F250" s="12">
        <v>0.83333333333333337</v>
      </c>
      <c r="G250" s="67" t="s">
        <v>109</v>
      </c>
      <c r="H250" s="68"/>
      <c r="I250" s="36">
        <v>140</v>
      </c>
      <c r="J250" s="9">
        <f t="shared" si="63"/>
        <v>0</v>
      </c>
      <c r="K250" s="41"/>
      <c r="L250" s="41"/>
      <c r="M250" s="41"/>
      <c r="N250" s="41"/>
      <c r="O250" s="41"/>
      <c r="P250" s="41"/>
      <c r="Q250" s="41"/>
      <c r="R250" s="41"/>
      <c r="S250" s="13">
        <f t="shared" si="64"/>
        <v>0</v>
      </c>
      <c r="T250" s="13">
        <v>100000</v>
      </c>
      <c r="U250" s="13">
        <f t="shared" si="66"/>
        <v>0</v>
      </c>
      <c r="V250" s="4"/>
      <c r="Y250" s="4"/>
    </row>
    <row r="251" spans="2:25" ht="37.5">
      <c r="B251" s="58"/>
      <c r="C251" s="60"/>
      <c r="D251" s="51" t="s">
        <v>41</v>
      </c>
      <c r="E251" s="62" t="s">
        <v>102</v>
      </c>
      <c r="F251" s="5">
        <v>0.91666666666666663</v>
      </c>
      <c r="G251" s="65" t="s">
        <v>87</v>
      </c>
      <c r="H251" s="66"/>
      <c r="I251" s="34"/>
      <c r="J251" s="6" t="str">
        <f t="shared" si="63"/>
        <v/>
      </c>
      <c r="K251" s="38"/>
      <c r="L251" s="38"/>
      <c r="M251" s="38"/>
      <c r="N251" s="38"/>
      <c r="O251" s="38"/>
      <c r="P251" s="38"/>
      <c r="Q251" s="38"/>
      <c r="R251" s="38"/>
      <c r="S251" s="7">
        <f t="shared" si="64"/>
        <v>0</v>
      </c>
      <c r="T251" s="7">
        <v>100000</v>
      </c>
      <c r="U251" s="7">
        <f t="shared" si="66"/>
        <v>0</v>
      </c>
      <c r="V251" s="4"/>
      <c r="Y251" s="4"/>
    </row>
    <row r="252" spans="2:25" ht="37.5">
      <c r="B252" s="58"/>
      <c r="C252" s="60"/>
      <c r="D252" s="52" t="s">
        <v>41</v>
      </c>
      <c r="E252" s="63"/>
      <c r="F252" s="8">
        <v>1</v>
      </c>
      <c r="G252" s="67" t="s">
        <v>87</v>
      </c>
      <c r="H252" s="68"/>
      <c r="I252" s="35"/>
      <c r="J252" s="9" t="str">
        <f t="shared" si="63"/>
        <v/>
      </c>
      <c r="K252" s="39"/>
      <c r="L252" s="39"/>
      <c r="M252" s="39"/>
      <c r="N252" s="39"/>
      <c r="O252" s="39"/>
      <c r="P252" s="39"/>
      <c r="Q252" s="39"/>
      <c r="R252" s="39"/>
      <c r="S252" s="10">
        <f t="shared" si="64"/>
        <v>0</v>
      </c>
      <c r="T252" s="10">
        <v>100000</v>
      </c>
      <c r="U252" s="10">
        <f t="shared" si="66"/>
        <v>0</v>
      </c>
      <c r="V252" s="4"/>
      <c r="Y252" s="4"/>
    </row>
    <row r="253" spans="2:25" ht="37.5">
      <c r="B253" s="58"/>
      <c r="C253" s="60"/>
      <c r="D253" s="52" t="s">
        <v>41</v>
      </c>
      <c r="E253" s="63"/>
      <c r="F253" s="8">
        <v>8.3333333333333329E-2</v>
      </c>
      <c r="G253" s="67" t="s">
        <v>87</v>
      </c>
      <c r="H253" s="68"/>
      <c r="I253" s="35"/>
      <c r="J253" s="9" t="str">
        <f t="shared" si="63"/>
        <v/>
      </c>
      <c r="K253" s="39"/>
      <c r="L253" s="39"/>
      <c r="M253" s="39"/>
      <c r="N253" s="39"/>
      <c r="O253" s="39"/>
      <c r="P253" s="39"/>
      <c r="Q253" s="39"/>
      <c r="R253" s="39"/>
      <c r="S253" s="10">
        <f t="shared" si="64"/>
        <v>0</v>
      </c>
      <c r="T253" s="10">
        <v>100000</v>
      </c>
      <c r="U253" s="10">
        <f t="shared" si="66"/>
        <v>0</v>
      </c>
      <c r="V253" s="4"/>
      <c r="Y253" s="4"/>
    </row>
    <row r="254" spans="2:25" ht="37.5">
      <c r="B254" s="58"/>
      <c r="C254" s="60"/>
      <c r="D254" s="52" t="s">
        <v>41</v>
      </c>
      <c r="E254" s="63"/>
      <c r="F254" s="8">
        <v>0.16666666666666666</v>
      </c>
      <c r="G254" s="67" t="s">
        <v>87</v>
      </c>
      <c r="H254" s="68"/>
      <c r="I254" s="35">
        <v>100</v>
      </c>
      <c r="J254" s="9">
        <f t="shared" si="63"/>
        <v>0.15</v>
      </c>
      <c r="K254" s="39"/>
      <c r="L254" s="39"/>
      <c r="M254" s="39"/>
      <c r="N254" s="39"/>
      <c r="O254" s="39"/>
      <c r="P254" s="39"/>
      <c r="Q254" s="39">
        <v>15</v>
      </c>
      <c r="R254" s="39"/>
      <c r="S254" s="10">
        <f t="shared" si="64"/>
        <v>15</v>
      </c>
      <c r="T254" s="10">
        <v>100000</v>
      </c>
      <c r="U254" s="10">
        <f t="shared" si="66"/>
        <v>1500000</v>
      </c>
      <c r="V254" s="4"/>
      <c r="W254" s="4"/>
      <c r="X254" s="4"/>
      <c r="Y254" s="4"/>
    </row>
    <row r="255" spans="2:25" ht="37.5">
      <c r="B255" s="58"/>
      <c r="C255" s="60"/>
      <c r="D255" s="52" t="s">
        <v>41</v>
      </c>
      <c r="E255" s="63"/>
      <c r="F255" s="8">
        <v>0.25</v>
      </c>
      <c r="G255" s="67" t="s">
        <v>87</v>
      </c>
      <c r="H255" s="68"/>
      <c r="I255" s="35">
        <v>130</v>
      </c>
      <c r="J255" s="9">
        <f t="shared" si="63"/>
        <v>1.5384615384615385E-2</v>
      </c>
      <c r="K255" s="39"/>
      <c r="L255" s="39"/>
      <c r="M255" s="39"/>
      <c r="N255" s="39"/>
      <c r="O255" s="39"/>
      <c r="P255" s="39"/>
      <c r="Q255" s="39"/>
      <c r="R255" s="39">
        <v>2</v>
      </c>
      <c r="S255" s="10">
        <f t="shared" si="64"/>
        <v>2</v>
      </c>
      <c r="T255" s="10">
        <v>100000</v>
      </c>
      <c r="U255" s="10">
        <f t="shared" si="66"/>
        <v>200000</v>
      </c>
      <c r="V255" s="4"/>
      <c r="Y255" s="4"/>
    </row>
    <row r="256" spans="2:25" ht="37.5">
      <c r="B256" s="58"/>
      <c r="C256" s="61"/>
      <c r="D256" s="53" t="s">
        <v>41</v>
      </c>
      <c r="E256" s="69"/>
      <c r="F256" s="14">
        <v>0.33333333333333331</v>
      </c>
      <c r="G256" s="67" t="s">
        <v>87</v>
      </c>
      <c r="H256" s="68"/>
      <c r="I256" s="37">
        <v>130</v>
      </c>
      <c r="J256" s="15">
        <f t="shared" si="63"/>
        <v>0</v>
      </c>
      <c r="K256" s="40"/>
      <c r="L256" s="40"/>
      <c r="M256" s="40"/>
      <c r="N256" s="40"/>
      <c r="O256" s="40"/>
      <c r="P256" s="40"/>
      <c r="Q256" s="40"/>
      <c r="R256" s="40"/>
      <c r="S256" s="16">
        <f t="shared" si="64"/>
        <v>0</v>
      </c>
      <c r="T256" s="16">
        <v>100000</v>
      </c>
      <c r="U256" s="16">
        <f t="shared" si="66"/>
        <v>0</v>
      </c>
      <c r="V256" s="4"/>
      <c r="W256" s="4"/>
      <c r="X256" s="4"/>
      <c r="Y256" s="4"/>
    </row>
    <row r="257" spans="2:25" ht="33.75" customHeight="1">
      <c r="B257" s="58">
        <v>46102</v>
      </c>
      <c r="C257" s="59" t="s">
        <v>14</v>
      </c>
      <c r="D257" s="51" t="s">
        <v>41</v>
      </c>
      <c r="E257" s="62" t="s">
        <v>101</v>
      </c>
      <c r="F257" s="5">
        <v>0.41666666666666669</v>
      </c>
      <c r="G257" s="65" t="s">
        <v>80</v>
      </c>
      <c r="H257" s="66"/>
      <c r="I257" s="34">
        <v>160</v>
      </c>
      <c r="J257" s="6">
        <f t="shared" si="63"/>
        <v>0</v>
      </c>
      <c r="K257" s="38"/>
      <c r="L257" s="38"/>
      <c r="M257" s="38"/>
      <c r="N257" s="38"/>
      <c r="O257" s="38"/>
      <c r="P257" s="38"/>
      <c r="Q257" s="38"/>
      <c r="R257" s="38"/>
      <c r="S257" s="7">
        <f>SUM(K257:R257)</f>
        <v>0</v>
      </c>
      <c r="T257" s="7">
        <v>100000</v>
      </c>
      <c r="U257" s="7">
        <f>T257*S257</f>
        <v>0</v>
      </c>
      <c r="V257" s="4"/>
      <c r="W257" s="4"/>
      <c r="X257" s="4"/>
      <c r="Y257" s="4"/>
    </row>
    <row r="258" spans="2:25" ht="37.5">
      <c r="B258" s="58"/>
      <c r="C258" s="60"/>
      <c r="D258" s="52" t="s">
        <v>41</v>
      </c>
      <c r="E258" s="63"/>
      <c r="F258" s="8">
        <v>0.5</v>
      </c>
      <c r="G258" s="67" t="s">
        <v>80</v>
      </c>
      <c r="H258" s="68"/>
      <c r="I258" s="35">
        <v>160</v>
      </c>
      <c r="J258" s="9">
        <f t="shared" si="63"/>
        <v>0</v>
      </c>
      <c r="K258" s="39"/>
      <c r="L258" s="39"/>
      <c r="M258" s="39"/>
      <c r="N258" s="39"/>
      <c r="O258" s="39"/>
      <c r="P258" s="39"/>
      <c r="Q258" s="39"/>
      <c r="R258" s="39"/>
      <c r="S258" s="10">
        <f t="shared" ref="S258:S268" si="67">SUM(K258:R258)</f>
        <v>0</v>
      </c>
      <c r="T258" s="10">
        <v>100000</v>
      </c>
      <c r="U258" s="10">
        <f t="shared" ref="U258:U259" si="68">T258*S258</f>
        <v>0</v>
      </c>
      <c r="V258" s="4"/>
      <c r="W258" s="4"/>
      <c r="X258" s="4"/>
      <c r="Y258" s="4"/>
    </row>
    <row r="259" spans="2:25" ht="37.5">
      <c r="B259" s="58"/>
      <c r="C259" s="60"/>
      <c r="D259" s="52" t="s">
        <v>41</v>
      </c>
      <c r="E259" s="63"/>
      <c r="F259" s="8">
        <v>0.58333333333333337</v>
      </c>
      <c r="G259" s="67" t="s">
        <v>80</v>
      </c>
      <c r="H259" s="68"/>
      <c r="I259" s="35">
        <v>160</v>
      </c>
      <c r="J259" s="9">
        <f t="shared" si="63"/>
        <v>0</v>
      </c>
      <c r="K259" s="39"/>
      <c r="L259" s="39"/>
      <c r="M259" s="39"/>
      <c r="N259" s="39"/>
      <c r="O259" s="39"/>
      <c r="P259" s="39"/>
      <c r="Q259" s="39"/>
      <c r="R259" s="39"/>
      <c r="S259" s="10">
        <f t="shared" si="67"/>
        <v>0</v>
      </c>
      <c r="T259" s="10">
        <v>100000</v>
      </c>
      <c r="U259" s="10">
        <f t="shared" si="68"/>
        <v>0</v>
      </c>
      <c r="V259" s="4"/>
      <c r="W259" s="4"/>
      <c r="X259" s="4"/>
      <c r="Y259" s="4"/>
    </row>
    <row r="260" spans="2:25" ht="37.5">
      <c r="B260" s="58"/>
      <c r="C260" s="60"/>
      <c r="D260" s="52" t="s">
        <v>41</v>
      </c>
      <c r="E260" s="63"/>
      <c r="F260" s="8">
        <v>0.66666666666666663</v>
      </c>
      <c r="G260" s="67" t="s">
        <v>80</v>
      </c>
      <c r="H260" s="68"/>
      <c r="I260" s="35">
        <v>160</v>
      </c>
      <c r="J260" s="9">
        <f t="shared" si="63"/>
        <v>0</v>
      </c>
      <c r="K260" s="39"/>
      <c r="L260" s="39"/>
      <c r="M260" s="39"/>
      <c r="N260" s="39"/>
      <c r="O260" s="39"/>
      <c r="P260" s="39"/>
      <c r="Q260" s="39"/>
      <c r="R260" s="39"/>
      <c r="S260" s="10">
        <f t="shared" si="67"/>
        <v>0</v>
      </c>
      <c r="T260" s="10">
        <v>100000</v>
      </c>
      <c r="U260" s="10">
        <f>T260*S260</f>
        <v>0</v>
      </c>
      <c r="V260" s="4"/>
      <c r="W260" s="4"/>
      <c r="X260" s="4"/>
      <c r="Y260" s="4"/>
    </row>
    <row r="261" spans="2:25" ht="37.5">
      <c r="B261" s="58"/>
      <c r="C261" s="60"/>
      <c r="D261" s="52" t="s">
        <v>41</v>
      </c>
      <c r="E261" s="63"/>
      <c r="F261" s="8">
        <v>0.75</v>
      </c>
      <c r="G261" s="67" t="s">
        <v>80</v>
      </c>
      <c r="H261" s="68"/>
      <c r="I261" s="35">
        <v>160</v>
      </c>
      <c r="J261" s="9">
        <f t="shared" si="63"/>
        <v>0</v>
      </c>
      <c r="K261" s="39"/>
      <c r="L261" s="39"/>
      <c r="M261" s="39"/>
      <c r="N261" s="39"/>
      <c r="O261" s="39"/>
      <c r="P261" s="39"/>
      <c r="Q261" s="39"/>
      <c r="R261" s="39"/>
      <c r="S261" s="10">
        <f t="shared" si="67"/>
        <v>0</v>
      </c>
      <c r="T261" s="10">
        <v>100000</v>
      </c>
      <c r="U261" s="10">
        <f t="shared" ref="U261:U268" si="69">T261*S261</f>
        <v>0</v>
      </c>
      <c r="V261" s="4"/>
      <c r="W261" s="4"/>
      <c r="X261" s="11"/>
      <c r="Y261" s="4"/>
    </row>
    <row r="262" spans="2:25" ht="37.5">
      <c r="B262" s="58"/>
      <c r="C262" s="60"/>
      <c r="D262" s="53" t="s">
        <v>41</v>
      </c>
      <c r="E262" s="64"/>
      <c r="F262" s="12">
        <v>0.83333333333333337</v>
      </c>
      <c r="G262" s="67" t="s">
        <v>80</v>
      </c>
      <c r="H262" s="68"/>
      <c r="I262" s="36">
        <v>120</v>
      </c>
      <c r="J262" s="9">
        <f t="shared" si="63"/>
        <v>0</v>
      </c>
      <c r="K262" s="41"/>
      <c r="L262" s="41"/>
      <c r="M262" s="41"/>
      <c r="N262" s="41"/>
      <c r="O262" s="41"/>
      <c r="P262" s="41"/>
      <c r="Q262" s="41"/>
      <c r="R262" s="41"/>
      <c r="S262" s="13">
        <f t="shared" si="67"/>
        <v>0</v>
      </c>
      <c r="T262" s="13">
        <v>100000</v>
      </c>
      <c r="U262" s="13">
        <f t="shared" si="69"/>
        <v>0</v>
      </c>
      <c r="V262" s="4"/>
      <c r="Y262" s="4"/>
    </row>
    <row r="263" spans="2:25" ht="37.5">
      <c r="B263" s="58"/>
      <c r="C263" s="60"/>
      <c r="D263" s="51" t="s">
        <v>41</v>
      </c>
      <c r="E263" s="62" t="s">
        <v>102</v>
      </c>
      <c r="F263" s="5">
        <v>0.91666666666666663</v>
      </c>
      <c r="G263" s="65" t="s">
        <v>87</v>
      </c>
      <c r="H263" s="66"/>
      <c r="I263" s="34">
        <v>160</v>
      </c>
      <c r="J263" s="6">
        <f t="shared" si="63"/>
        <v>6.2500000000000003E-3</v>
      </c>
      <c r="K263" s="38"/>
      <c r="L263" s="38"/>
      <c r="M263" s="38"/>
      <c r="N263" s="38"/>
      <c r="O263" s="38"/>
      <c r="P263" s="38"/>
      <c r="Q263" s="38"/>
      <c r="R263" s="38">
        <v>1</v>
      </c>
      <c r="S263" s="7">
        <f t="shared" si="67"/>
        <v>1</v>
      </c>
      <c r="T263" s="7">
        <v>100000</v>
      </c>
      <c r="U263" s="7">
        <f t="shared" si="69"/>
        <v>100000</v>
      </c>
      <c r="V263" s="4"/>
      <c r="Y263" s="4"/>
    </row>
    <row r="264" spans="2:25" ht="37.5">
      <c r="B264" s="58"/>
      <c r="C264" s="60"/>
      <c r="D264" s="52" t="s">
        <v>41</v>
      </c>
      <c r="E264" s="63"/>
      <c r="F264" s="8">
        <v>1</v>
      </c>
      <c r="G264" s="67" t="s">
        <v>87</v>
      </c>
      <c r="H264" s="68"/>
      <c r="I264" s="35">
        <v>160</v>
      </c>
      <c r="J264" s="9">
        <f t="shared" si="63"/>
        <v>6.2500000000000003E-3</v>
      </c>
      <c r="K264" s="39"/>
      <c r="L264" s="39"/>
      <c r="M264" s="39"/>
      <c r="N264" s="39"/>
      <c r="O264" s="39"/>
      <c r="P264" s="39"/>
      <c r="Q264" s="39"/>
      <c r="R264" s="39">
        <v>1</v>
      </c>
      <c r="S264" s="10">
        <f t="shared" si="67"/>
        <v>1</v>
      </c>
      <c r="T264" s="10">
        <v>100000</v>
      </c>
      <c r="U264" s="10">
        <f t="shared" si="69"/>
        <v>100000</v>
      </c>
      <c r="V264" s="4"/>
      <c r="Y264" s="4"/>
    </row>
    <row r="265" spans="2:25" ht="37.5">
      <c r="B265" s="58"/>
      <c r="C265" s="60"/>
      <c r="D265" s="52" t="s">
        <v>41</v>
      </c>
      <c r="E265" s="63"/>
      <c r="F265" s="8">
        <v>8.3333333333333329E-2</v>
      </c>
      <c r="G265" s="67" t="s">
        <v>87</v>
      </c>
      <c r="H265" s="68"/>
      <c r="I265" s="35">
        <v>160</v>
      </c>
      <c r="J265" s="9">
        <f t="shared" si="63"/>
        <v>6.2500000000000003E-3</v>
      </c>
      <c r="K265" s="39"/>
      <c r="L265" s="39"/>
      <c r="M265" s="39"/>
      <c r="N265" s="39"/>
      <c r="O265" s="39"/>
      <c r="P265" s="39"/>
      <c r="Q265" s="39"/>
      <c r="R265" s="39">
        <v>1</v>
      </c>
      <c r="S265" s="10">
        <f t="shared" si="67"/>
        <v>1</v>
      </c>
      <c r="T265" s="10">
        <v>100000</v>
      </c>
      <c r="U265" s="10">
        <f t="shared" si="69"/>
        <v>100000</v>
      </c>
      <c r="V265" s="4"/>
      <c r="Y265" s="4"/>
    </row>
    <row r="266" spans="2:25" ht="37.5">
      <c r="B266" s="58"/>
      <c r="C266" s="60"/>
      <c r="D266" s="52" t="s">
        <v>41</v>
      </c>
      <c r="E266" s="63"/>
      <c r="F266" s="8">
        <v>0.16666666666666666</v>
      </c>
      <c r="G266" s="67" t="s">
        <v>87</v>
      </c>
      <c r="H266" s="68"/>
      <c r="I266" s="35">
        <v>160</v>
      </c>
      <c r="J266" s="9">
        <f t="shared" si="63"/>
        <v>6.2500000000000003E-3</v>
      </c>
      <c r="K266" s="39"/>
      <c r="L266" s="39"/>
      <c r="M266" s="39"/>
      <c r="N266" s="39"/>
      <c r="O266" s="39"/>
      <c r="P266" s="39"/>
      <c r="Q266" s="39"/>
      <c r="R266" s="39">
        <v>1</v>
      </c>
      <c r="S266" s="10">
        <f t="shared" si="67"/>
        <v>1</v>
      </c>
      <c r="T266" s="10">
        <v>100000</v>
      </c>
      <c r="U266" s="10">
        <f t="shared" si="69"/>
        <v>100000</v>
      </c>
      <c r="V266" s="4"/>
      <c r="W266" s="4"/>
      <c r="X266" s="4"/>
      <c r="Y266" s="4"/>
    </row>
    <row r="267" spans="2:25" ht="37.5">
      <c r="B267" s="58"/>
      <c r="C267" s="60"/>
      <c r="D267" s="52" t="s">
        <v>41</v>
      </c>
      <c r="E267" s="63"/>
      <c r="F267" s="8">
        <v>0.25</v>
      </c>
      <c r="G267" s="67" t="s">
        <v>87</v>
      </c>
      <c r="H267" s="68"/>
      <c r="I267" s="35">
        <v>160</v>
      </c>
      <c r="J267" s="9">
        <f t="shared" si="63"/>
        <v>6.2500000000000003E-3</v>
      </c>
      <c r="K267" s="39"/>
      <c r="L267" s="39"/>
      <c r="M267" s="39"/>
      <c r="N267" s="39"/>
      <c r="O267" s="39"/>
      <c r="P267" s="39"/>
      <c r="Q267" s="39"/>
      <c r="R267" s="39">
        <v>1</v>
      </c>
      <c r="S267" s="10">
        <f t="shared" si="67"/>
        <v>1</v>
      </c>
      <c r="T267" s="10">
        <v>100000</v>
      </c>
      <c r="U267" s="10">
        <f t="shared" si="69"/>
        <v>100000</v>
      </c>
      <c r="V267" s="4"/>
      <c r="Y267" s="4"/>
    </row>
    <row r="268" spans="2:25" ht="37.5">
      <c r="B268" s="58"/>
      <c r="C268" s="61"/>
      <c r="D268" s="53" t="s">
        <v>41</v>
      </c>
      <c r="E268" s="69"/>
      <c r="F268" s="14">
        <v>0.33333333333333331</v>
      </c>
      <c r="G268" s="67" t="s">
        <v>87</v>
      </c>
      <c r="H268" s="68"/>
      <c r="I268" s="37">
        <v>160</v>
      </c>
      <c r="J268" s="15">
        <f t="shared" si="63"/>
        <v>1.2500000000000001E-2</v>
      </c>
      <c r="K268" s="40"/>
      <c r="L268" s="40"/>
      <c r="M268" s="40"/>
      <c r="N268" s="40"/>
      <c r="O268" s="40"/>
      <c r="P268" s="40"/>
      <c r="Q268" s="40"/>
      <c r="R268" s="40">
        <v>2</v>
      </c>
      <c r="S268" s="16">
        <f t="shared" si="67"/>
        <v>2</v>
      </c>
      <c r="T268" s="16">
        <v>100000</v>
      </c>
      <c r="U268" s="16">
        <f t="shared" si="69"/>
        <v>200000</v>
      </c>
      <c r="V268" s="4"/>
      <c r="W268" s="4"/>
      <c r="X268" s="4"/>
      <c r="Y268" s="4"/>
    </row>
    <row r="269" spans="2:25" ht="16.5" customHeight="1">
      <c r="B269" s="58">
        <v>46103</v>
      </c>
      <c r="C269" s="59" t="s">
        <v>14</v>
      </c>
      <c r="D269" s="51"/>
      <c r="E269" s="62" t="s">
        <v>101</v>
      </c>
      <c r="F269" s="5">
        <v>0.41666666666666669</v>
      </c>
      <c r="G269" s="65"/>
      <c r="H269" s="66"/>
      <c r="I269" s="34"/>
      <c r="J269" s="6" t="str">
        <f t="shared" si="63"/>
        <v/>
      </c>
      <c r="K269" s="38"/>
      <c r="L269" s="38"/>
      <c r="M269" s="38"/>
      <c r="N269" s="38"/>
      <c r="O269" s="38"/>
      <c r="P269" s="38"/>
      <c r="Q269" s="38"/>
      <c r="R269" s="38"/>
      <c r="S269" s="7">
        <f>SUM(K269:R269)</f>
        <v>0</v>
      </c>
      <c r="T269" s="7">
        <v>100000</v>
      </c>
      <c r="U269" s="7">
        <f>T269*S269</f>
        <v>0</v>
      </c>
      <c r="V269" s="4"/>
      <c r="W269" s="4"/>
      <c r="X269" s="4"/>
      <c r="Y269" s="4"/>
    </row>
    <row r="270" spans="2:25" ht="18.75">
      <c r="B270" s="58"/>
      <c r="C270" s="60"/>
      <c r="D270" s="52"/>
      <c r="E270" s="63"/>
      <c r="F270" s="8">
        <v>0.5</v>
      </c>
      <c r="G270" s="67"/>
      <c r="H270" s="68"/>
      <c r="I270" s="35"/>
      <c r="J270" s="9" t="str">
        <f t="shared" si="63"/>
        <v/>
      </c>
      <c r="K270" s="39"/>
      <c r="L270" s="39"/>
      <c r="M270" s="39"/>
      <c r="N270" s="39"/>
      <c r="O270" s="39"/>
      <c r="P270" s="39"/>
      <c r="Q270" s="39"/>
      <c r="R270" s="39"/>
      <c r="S270" s="10">
        <f t="shared" ref="S270:S280" si="70">SUM(K270:R270)</f>
        <v>0</v>
      </c>
      <c r="T270" s="10">
        <v>100000</v>
      </c>
      <c r="U270" s="10">
        <f t="shared" ref="U270:U271" si="71">T270*S270</f>
        <v>0</v>
      </c>
      <c r="V270" s="4"/>
      <c r="W270" s="4"/>
      <c r="X270" s="4"/>
      <c r="Y270" s="4"/>
    </row>
    <row r="271" spans="2:25" ht="18.75">
      <c r="B271" s="58"/>
      <c r="C271" s="60"/>
      <c r="D271" s="52"/>
      <c r="E271" s="63"/>
      <c r="F271" s="8">
        <v>0.58333333333333337</v>
      </c>
      <c r="G271" s="67"/>
      <c r="H271" s="68"/>
      <c r="I271" s="35"/>
      <c r="J271" s="9" t="str">
        <f t="shared" si="63"/>
        <v/>
      </c>
      <c r="K271" s="39"/>
      <c r="L271" s="39"/>
      <c r="M271" s="39"/>
      <c r="N271" s="39"/>
      <c r="O271" s="39"/>
      <c r="P271" s="39"/>
      <c r="Q271" s="39"/>
      <c r="R271" s="39"/>
      <c r="S271" s="10">
        <f t="shared" si="70"/>
        <v>0</v>
      </c>
      <c r="T271" s="10">
        <v>100000</v>
      </c>
      <c r="U271" s="10">
        <f t="shared" si="71"/>
        <v>0</v>
      </c>
      <c r="V271" s="4"/>
      <c r="W271" s="4"/>
      <c r="X271" s="4"/>
      <c r="Y271" s="4"/>
    </row>
    <row r="272" spans="2:25" ht="18.75">
      <c r="B272" s="58"/>
      <c r="C272" s="60"/>
      <c r="D272" s="52"/>
      <c r="E272" s="63"/>
      <c r="F272" s="8">
        <v>0.66666666666666663</v>
      </c>
      <c r="G272" s="67"/>
      <c r="H272" s="68"/>
      <c r="I272" s="35"/>
      <c r="J272" s="9" t="str">
        <f t="shared" si="63"/>
        <v/>
      </c>
      <c r="K272" s="39"/>
      <c r="L272" s="39"/>
      <c r="M272" s="39"/>
      <c r="N272" s="39"/>
      <c r="O272" s="39"/>
      <c r="P272" s="39"/>
      <c r="Q272" s="39"/>
      <c r="R272" s="39"/>
      <c r="S272" s="10">
        <f t="shared" si="70"/>
        <v>0</v>
      </c>
      <c r="T272" s="10">
        <v>100000</v>
      </c>
      <c r="U272" s="10">
        <f>T272*S272</f>
        <v>0</v>
      </c>
      <c r="V272" s="4"/>
      <c r="W272" s="4"/>
      <c r="X272" s="4"/>
      <c r="Y272" s="4"/>
    </row>
    <row r="273" spans="2:25" ht="18.75">
      <c r="B273" s="58"/>
      <c r="C273" s="60"/>
      <c r="D273" s="52"/>
      <c r="E273" s="63"/>
      <c r="F273" s="8">
        <v>0.75</v>
      </c>
      <c r="G273" s="67"/>
      <c r="H273" s="68"/>
      <c r="I273" s="35"/>
      <c r="J273" s="9" t="str">
        <f t="shared" si="63"/>
        <v/>
      </c>
      <c r="K273" s="39"/>
      <c r="L273" s="39"/>
      <c r="M273" s="39"/>
      <c r="N273" s="39"/>
      <c r="O273" s="39"/>
      <c r="P273" s="39"/>
      <c r="Q273" s="39"/>
      <c r="R273" s="39"/>
      <c r="S273" s="10">
        <f t="shared" si="70"/>
        <v>0</v>
      </c>
      <c r="T273" s="10">
        <v>100000</v>
      </c>
      <c r="U273" s="10">
        <f t="shared" ref="U273:U280" si="72">T273*S273</f>
        <v>0</v>
      </c>
      <c r="V273" s="4"/>
      <c r="W273" s="4"/>
      <c r="X273" s="11"/>
      <c r="Y273" s="4"/>
    </row>
    <row r="274" spans="2:25" ht="18.75">
      <c r="B274" s="58"/>
      <c r="C274" s="60"/>
      <c r="D274" s="53"/>
      <c r="E274" s="64"/>
      <c r="F274" s="12">
        <v>0.83333333333333337</v>
      </c>
      <c r="G274" s="67"/>
      <c r="H274" s="68"/>
      <c r="I274" s="36"/>
      <c r="J274" s="9" t="str">
        <f t="shared" si="63"/>
        <v/>
      </c>
      <c r="K274" s="41"/>
      <c r="L274" s="41"/>
      <c r="M274" s="41"/>
      <c r="N274" s="41"/>
      <c r="O274" s="41"/>
      <c r="P274" s="41"/>
      <c r="Q274" s="41"/>
      <c r="R274" s="41"/>
      <c r="S274" s="13">
        <f t="shared" si="70"/>
        <v>0</v>
      </c>
      <c r="T274" s="13">
        <v>100000</v>
      </c>
      <c r="U274" s="13">
        <f t="shared" si="72"/>
        <v>0</v>
      </c>
      <c r="V274" s="4"/>
      <c r="Y274" s="4"/>
    </row>
    <row r="275" spans="2:25" ht="18.75">
      <c r="B275" s="58"/>
      <c r="C275" s="60"/>
      <c r="D275" s="51"/>
      <c r="E275" s="62" t="s">
        <v>102</v>
      </c>
      <c r="F275" s="5">
        <v>0.91666666666666663</v>
      </c>
      <c r="G275" s="65"/>
      <c r="H275" s="66"/>
      <c r="I275" s="34"/>
      <c r="J275" s="6" t="str">
        <f t="shared" si="63"/>
        <v/>
      </c>
      <c r="K275" s="38"/>
      <c r="L275" s="38"/>
      <c r="M275" s="38"/>
      <c r="N275" s="38"/>
      <c r="O275" s="38"/>
      <c r="P275" s="38"/>
      <c r="Q275" s="38"/>
      <c r="R275" s="38"/>
      <c r="S275" s="7">
        <f t="shared" si="70"/>
        <v>0</v>
      </c>
      <c r="T275" s="7">
        <v>100000</v>
      </c>
      <c r="U275" s="7">
        <f t="shared" si="72"/>
        <v>0</v>
      </c>
      <c r="V275" s="4"/>
      <c r="Y275" s="4"/>
    </row>
    <row r="276" spans="2:25" ht="18.75">
      <c r="B276" s="58"/>
      <c r="C276" s="60"/>
      <c r="D276" s="52"/>
      <c r="E276" s="63"/>
      <c r="F276" s="8">
        <v>1</v>
      </c>
      <c r="G276" s="67"/>
      <c r="H276" s="68"/>
      <c r="I276" s="35"/>
      <c r="J276" s="9" t="str">
        <f t="shared" si="63"/>
        <v/>
      </c>
      <c r="K276" s="39"/>
      <c r="L276" s="39"/>
      <c r="M276" s="39"/>
      <c r="N276" s="39"/>
      <c r="O276" s="39"/>
      <c r="P276" s="39"/>
      <c r="Q276" s="39"/>
      <c r="R276" s="39"/>
      <c r="S276" s="10">
        <f t="shared" si="70"/>
        <v>0</v>
      </c>
      <c r="T276" s="10">
        <v>100000</v>
      </c>
      <c r="U276" s="10">
        <f t="shared" si="72"/>
        <v>0</v>
      </c>
      <c r="V276" s="4"/>
      <c r="Y276" s="4"/>
    </row>
    <row r="277" spans="2:25" ht="18.75">
      <c r="B277" s="58"/>
      <c r="C277" s="60"/>
      <c r="D277" s="52"/>
      <c r="E277" s="63"/>
      <c r="F277" s="8">
        <v>8.3333333333333329E-2</v>
      </c>
      <c r="G277" s="67"/>
      <c r="H277" s="68"/>
      <c r="I277" s="35"/>
      <c r="J277" s="9" t="str">
        <f t="shared" si="63"/>
        <v/>
      </c>
      <c r="K277" s="39"/>
      <c r="L277" s="39"/>
      <c r="M277" s="39"/>
      <c r="N277" s="39"/>
      <c r="O277" s="39"/>
      <c r="P277" s="39"/>
      <c r="Q277" s="39"/>
      <c r="R277" s="39"/>
      <c r="S277" s="10">
        <f t="shared" si="70"/>
        <v>0</v>
      </c>
      <c r="T277" s="10">
        <v>100000</v>
      </c>
      <c r="U277" s="10">
        <f t="shared" si="72"/>
        <v>0</v>
      </c>
      <c r="V277" s="4"/>
      <c r="Y277" s="4"/>
    </row>
    <row r="278" spans="2:25" ht="18.75">
      <c r="B278" s="58"/>
      <c r="C278" s="60"/>
      <c r="D278" s="52"/>
      <c r="E278" s="63"/>
      <c r="F278" s="8">
        <v>0.16666666666666666</v>
      </c>
      <c r="G278" s="67"/>
      <c r="H278" s="68"/>
      <c r="I278" s="35"/>
      <c r="J278" s="9" t="str">
        <f t="shared" si="63"/>
        <v/>
      </c>
      <c r="K278" s="39"/>
      <c r="L278" s="39"/>
      <c r="M278" s="39"/>
      <c r="N278" s="39"/>
      <c r="O278" s="39"/>
      <c r="P278" s="39"/>
      <c r="Q278" s="39"/>
      <c r="R278" s="39"/>
      <c r="S278" s="10">
        <f t="shared" si="70"/>
        <v>0</v>
      </c>
      <c r="T278" s="10">
        <v>100000</v>
      </c>
      <c r="U278" s="10">
        <f t="shared" si="72"/>
        <v>0</v>
      </c>
      <c r="V278" s="4"/>
      <c r="W278" s="4"/>
      <c r="X278" s="4"/>
      <c r="Y278" s="4"/>
    </row>
    <row r="279" spans="2:25" ht="18.75">
      <c r="B279" s="58"/>
      <c r="C279" s="60"/>
      <c r="D279" s="52"/>
      <c r="E279" s="63"/>
      <c r="F279" s="8">
        <v>0.25</v>
      </c>
      <c r="G279" s="67"/>
      <c r="H279" s="68"/>
      <c r="I279" s="35"/>
      <c r="J279" s="9" t="str">
        <f t="shared" si="63"/>
        <v/>
      </c>
      <c r="K279" s="39"/>
      <c r="L279" s="39"/>
      <c r="M279" s="39"/>
      <c r="N279" s="39"/>
      <c r="O279" s="39"/>
      <c r="P279" s="39"/>
      <c r="Q279" s="39"/>
      <c r="R279" s="39"/>
      <c r="S279" s="10">
        <f t="shared" si="70"/>
        <v>0</v>
      </c>
      <c r="T279" s="10">
        <v>100000</v>
      </c>
      <c r="U279" s="10">
        <f t="shared" si="72"/>
        <v>0</v>
      </c>
      <c r="V279" s="4"/>
      <c r="Y279" s="4"/>
    </row>
    <row r="280" spans="2:25" ht="18.75">
      <c r="B280" s="58"/>
      <c r="C280" s="61"/>
      <c r="D280" s="53"/>
      <c r="E280" s="69"/>
      <c r="F280" s="14">
        <v>0.33333333333333331</v>
      </c>
      <c r="G280" s="67"/>
      <c r="H280" s="68"/>
      <c r="I280" s="37"/>
      <c r="J280" s="15" t="str">
        <f t="shared" si="63"/>
        <v/>
      </c>
      <c r="K280" s="40"/>
      <c r="L280" s="40"/>
      <c r="M280" s="40"/>
      <c r="N280" s="40"/>
      <c r="O280" s="40"/>
      <c r="P280" s="40"/>
      <c r="Q280" s="40"/>
      <c r="R280" s="40"/>
      <c r="S280" s="16">
        <f t="shared" si="70"/>
        <v>0</v>
      </c>
      <c r="T280" s="16">
        <v>100000</v>
      </c>
      <c r="U280" s="16">
        <f t="shared" si="72"/>
        <v>0</v>
      </c>
      <c r="V280" s="4"/>
      <c r="W280" s="4"/>
      <c r="X280" s="4"/>
      <c r="Y280" s="4"/>
    </row>
  </sheetData>
  <mergeCells count="370">
    <mergeCell ref="B269:B280"/>
    <mergeCell ref="C269:C280"/>
    <mergeCell ref="E269:E274"/>
    <mergeCell ref="G269:H269"/>
    <mergeCell ref="G270:H270"/>
    <mergeCell ref="G271:H271"/>
    <mergeCell ref="G272:H272"/>
    <mergeCell ref="G273:H273"/>
    <mergeCell ref="G274:H274"/>
    <mergeCell ref="E275:E280"/>
    <mergeCell ref="G275:H275"/>
    <mergeCell ref="G276:H276"/>
    <mergeCell ref="G277:H277"/>
    <mergeCell ref="G278:H278"/>
    <mergeCell ref="G279:H279"/>
    <mergeCell ref="G280:H280"/>
    <mergeCell ref="B257:B268"/>
    <mergeCell ref="C257:C268"/>
    <mergeCell ref="E257:E262"/>
    <mergeCell ref="G257:H257"/>
    <mergeCell ref="G258:H258"/>
    <mergeCell ref="G259:H259"/>
    <mergeCell ref="G260:H260"/>
    <mergeCell ref="G261:H261"/>
    <mergeCell ref="G262:H262"/>
    <mergeCell ref="E263:E268"/>
    <mergeCell ref="G263:H263"/>
    <mergeCell ref="G264:H264"/>
    <mergeCell ref="G265:H265"/>
    <mergeCell ref="G266:H266"/>
    <mergeCell ref="G267:H267"/>
    <mergeCell ref="G268:H268"/>
    <mergeCell ref="B245:B256"/>
    <mergeCell ref="C245:C256"/>
    <mergeCell ref="E245:E250"/>
    <mergeCell ref="G245:H245"/>
    <mergeCell ref="G246:H246"/>
    <mergeCell ref="G247:H247"/>
    <mergeCell ref="G248:H248"/>
    <mergeCell ref="G249:H249"/>
    <mergeCell ref="G250:H250"/>
    <mergeCell ref="E251:E256"/>
    <mergeCell ref="G251:H251"/>
    <mergeCell ref="G252:H252"/>
    <mergeCell ref="G253:H253"/>
    <mergeCell ref="G254:H254"/>
    <mergeCell ref="G255:H255"/>
    <mergeCell ref="G256:H256"/>
    <mergeCell ref="B233:B244"/>
    <mergeCell ref="C233:C244"/>
    <mergeCell ref="E233:E238"/>
    <mergeCell ref="G233:H233"/>
    <mergeCell ref="G234:H234"/>
    <mergeCell ref="G235:H235"/>
    <mergeCell ref="G236:H236"/>
    <mergeCell ref="G237:H237"/>
    <mergeCell ref="G238:H238"/>
    <mergeCell ref="E239:E244"/>
    <mergeCell ref="G239:H239"/>
    <mergeCell ref="G240:H240"/>
    <mergeCell ref="G241:H241"/>
    <mergeCell ref="G242:H242"/>
    <mergeCell ref="G243:H243"/>
    <mergeCell ref="G244:H244"/>
    <mergeCell ref="B221:B232"/>
    <mergeCell ref="C221:C232"/>
    <mergeCell ref="E221:E226"/>
    <mergeCell ref="G221:H221"/>
    <mergeCell ref="G222:H222"/>
    <mergeCell ref="G223:H223"/>
    <mergeCell ref="G224:H224"/>
    <mergeCell ref="G225:H225"/>
    <mergeCell ref="G226:H226"/>
    <mergeCell ref="E227:E232"/>
    <mergeCell ref="G227:H227"/>
    <mergeCell ref="G228:H228"/>
    <mergeCell ref="G229:H229"/>
    <mergeCell ref="G230:H230"/>
    <mergeCell ref="G231:H231"/>
    <mergeCell ref="G232:H232"/>
    <mergeCell ref="B209:B220"/>
    <mergeCell ref="C209:C220"/>
    <mergeCell ref="E209:E214"/>
    <mergeCell ref="G209:H209"/>
    <mergeCell ref="G210:H210"/>
    <mergeCell ref="G211:H211"/>
    <mergeCell ref="G212:H212"/>
    <mergeCell ref="G213:H213"/>
    <mergeCell ref="G214:H214"/>
    <mergeCell ref="E215:E220"/>
    <mergeCell ref="G215:H215"/>
    <mergeCell ref="G216:H216"/>
    <mergeCell ref="G217:H217"/>
    <mergeCell ref="G218:H218"/>
    <mergeCell ref="G219:H219"/>
    <mergeCell ref="G220:H220"/>
    <mergeCell ref="B197:B208"/>
    <mergeCell ref="C197:C208"/>
    <mergeCell ref="E197:E202"/>
    <mergeCell ref="G197:H197"/>
    <mergeCell ref="G198:H198"/>
    <mergeCell ref="G199:H199"/>
    <mergeCell ref="G200:H200"/>
    <mergeCell ref="G201:H201"/>
    <mergeCell ref="G202:H202"/>
    <mergeCell ref="E203:E208"/>
    <mergeCell ref="G203:H203"/>
    <mergeCell ref="G204:H204"/>
    <mergeCell ref="G205:H205"/>
    <mergeCell ref="G206:H206"/>
    <mergeCell ref="G207:H207"/>
    <mergeCell ref="G208:H208"/>
    <mergeCell ref="B185:B196"/>
    <mergeCell ref="C185:C196"/>
    <mergeCell ref="E185:E190"/>
    <mergeCell ref="G185:H185"/>
    <mergeCell ref="G186:H186"/>
    <mergeCell ref="G187:H187"/>
    <mergeCell ref="G188:H188"/>
    <mergeCell ref="G189:H189"/>
    <mergeCell ref="G190:H190"/>
    <mergeCell ref="E191:E196"/>
    <mergeCell ref="G191:H191"/>
    <mergeCell ref="G192:H192"/>
    <mergeCell ref="G193:H193"/>
    <mergeCell ref="G194:H194"/>
    <mergeCell ref="G195:H195"/>
    <mergeCell ref="G196:H196"/>
    <mergeCell ref="B2:U2"/>
    <mergeCell ref="S14:U14"/>
    <mergeCell ref="B8:U8"/>
    <mergeCell ref="B4:U4"/>
    <mergeCell ref="E113:E118"/>
    <mergeCell ref="C113:C124"/>
    <mergeCell ref="C101:C112"/>
    <mergeCell ref="E119:E124"/>
    <mergeCell ref="E125:E130"/>
    <mergeCell ref="B65:B76"/>
    <mergeCell ref="B53:B64"/>
    <mergeCell ref="E53:E58"/>
    <mergeCell ref="E59:E64"/>
    <mergeCell ref="B125:B136"/>
    <mergeCell ref="B113:B124"/>
    <mergeCell ref="B101:B112"/>
    <mergeCell ref="B89:B100"/>
    <mergeCell ref="B77:B88"/>
    <mergeCell ref="C125:C136"/>
    <mergeCell ref="E65:E70"/>
    <mergeCell ref="E71:E76"/>
    <mergeCell ref="E77:E82"/>
    <mergeCell ref="C77:C88"/>
    <mergeCell ref="C65:C76"/>
    <mergeCell ref="E83:E88"/>
    <mergeCell ref="E89:E94"/>
    <mergeCell ref="E95:E100"/>
    <mergeCell ref="C89:C100"/>
    <mergeCell ref="E101:E106"/>
    <mergeCell ref="E107:E112"/>
    <mergeCell ref="E131:E136"/>
    <mergeCell ref="C53:C64"/>
    <mergeCell ref="F15:F16"/>
    <mergeCell ref="E41:E46"/>
    <mergeCell ref="C41:C52"/>
    <mergeCell ref="E47:E52"/>
    <mergeCell ref="K15:S15"/>
    <mergeCell ref="T15:U15"/>
    <mergeCell ref="I15:J15"/>
    <mergeCell ref="E17:E22"/>
    <mergeCell ref="D15:D16"/>
    <mergeCell ref="G29:H29"/>
    <mergeCell ref="B17:B28"/>
    <mergeCell ref="C17:C28"/>
    <mergeCell ref="E23:E28"/>
    <mergeCell ref="B15:B16"/>
    <mergeCell ref="C15:C16"/>
    <mergeCell ref="E15:E16"/>
    <mergeCell ref="B29:B40"/>
    <mergeCell ref="C29:C40"/>
    <mergeCell ref="E29:E34"/>
    <mergeCell ref="E35:E40"/>
    <mergeCell ref="G35:H35"/>
    <mergeCell ref="G36:H36"/>
    <mergeCell ref="G37:H37"/>
    <mergeCell ref="G38:H38"/>
    <mergeCell ref="G39:H39"/>
    <mergeCell ref="B41:B52"/>
    <mergeCell ref="G30:H30"/>
    <mergeCell ref="G31:H31"/>
    <mergeCell ref="G32:H32"/>
    <mergeCell ref="G33:H33"/>
    <mergeCell ref="G34:H34"/>
    <mergeCell ref="G15:H16"/>
    <mergeCell ref="G17:H17"/>
    <mergeCell ref="G18:H18"/>
    <mergeCell ref="G19:H19"/>
    <mergeCell ref="G20:H20"/>
    <mergeCell ref="G21:H21"/>
    <mergeCell ref="G22:H22"/>
    <mergeCell ref="G23:H23"/>
    <mergeCell ref="G24:H24"/>
    <mergeCell ref="G25:H25"/>
    <mergeCell ref="G26:H26"/>
    <mergeCell ref="G27:H27"/>
    <mergeCell ref="G28:H28"/>
    <mergeCell ref="G40:H40"/>
    <mergeCell ref="G41:H41"/>
    <mergeCell ref="G42:H42"/>
    <mergeCell ref="G43:H43"/>
    <mergeCell ref="G44:H44"/>
    <mergeCell ref="G50:H50"/>
    <mergeCell ref="G51:H51"/>
    <mergeCell ref="G52:H52"/>
    <mergeCell ref="G53:H53"/>
    <mergeCell ref="G54:H54"/>
    <mergeCell ref="G45:H45"/>
    <mergeCell ref="G46:H46"/>
    <mergeCell ref="G47:H47"/>
    <mergeCell ref="G48:H48"/>
    <mergeCell ref="G49:H49"/>
    <mergeCell ref="G60:H60"/>
    <mergeCell ref="G61:H61"/>
    <mergeCell ref="G62:H62"/>
    <mergeCell ref="G63:H63"/>
    <mergeCell ref="G64:H64"/>
    <mergeCell ref="G55:H55"/>
    <mergeCell ref="G56:H56"/>
    <mergeCell ref="G57:H57"/>
    <mergeCell ref="G58:H58"/>
    <mergeCell ref="G59:H59"/>
    <mergeCell ref="G70:H70"/>
    <mergeCell ref="G71:H71"/>
    <mergeCell ref="G72:H72"/>
    <mergeCell ref="G73:H73"/>
    <mergeCell ref="G74:H74"/>
    <mergeCell ref="G65:H65"/>
    <mergeCell ref="G66:H66"/>
    <mergeCell ref="G67:H67"/>
    <mergeCell ref="G68:H68"/>
    <mergeCell ref="G69:H69"/>
    <mergeCell ref="G80:H80"/>
    <mergeCell ref="G81:H81"/>
    <mergeCell ref="G82:H82"/>
    <mergeCell ref="G83:H83"/>
    <mergeCell ref="G84:H84"/>
    <mergeCell ref="G75:H75"/>
    <mergeCell ref="G76:H76"/>
    <mergeCell ref="G77:H77"/>
    <mergeCell ref="G78:H78"/>
    <mergeCell ref="G79:H79"/>
    <mergeCell ref="G90:H90"/>
    <mergeCell ref="G91:H91"/>
    <mergeCell ref="G92:H92"/>
    <mergeCell ref="G93:H93"/>
    <mergeCell ref="G94:H94"/>
    <mergeCell ref="G85:H85"/>
    <mergeCell ref="G86:H86"/>
    <mergeCell ref="G87:H87"/>
    <mergeCell ref="G88:H88"/>
    <mergeCell ref="G89:H89"/>
    <mergeCell ref="G100:H100"/>
    <mergeCell ref="G101:H101"/>
    <mergeCell ref="G102:H102"/>
    <mergeCell ref="G103:H103"/>
    <mergeCell ref="G104:H104"/>
    <mergeCell ref="G95:H95"/>
    <mergeCell ref="G96:H96"/>
    <mergeCell ref="G97:H97"/>
    <mergeCell ref="G98:H98"/>
    <mergeCell ref="G99:H99"/>
    <mergeCell ref="G117:H117"/>
    <mergeCell ref="G118:H118"/>
    <mergeCell ref="G119:H119"/>
    <mergeCell ref="G110:H110"/>
    <mergeCell ref="G111:H111"/>
    <mergeCell ref="G112:H112"/>
    <mergeCell ref="G113:H113"/>
    <mergeCell ref="G114:H114"/>
    <mergeCell ref="G105:H105"/>
    <mergeCell ref="G106:H106"/>
    <mergeCell ref="G107:H107"/>
    <mergeCell ref="G108:H108"/>
    <mergeCell ref="G109:H109"/>
    <mergeCell ref="G135:H135"/>
    <mergeCell ref="G136:H136"/>
    <mergeCell ref="M6:U6"/>
    <mergeCell ref="M7:U7"/>
    <mergeCell ref="D6:J6"/>
    <mergeCell ref="D7:K7"/>
    <mergeCell ref="B13:U13"/>
    <mergeCell ref="G130:H130"/>
    <mergeCell ref="G131:H131"/>
    <mergeCell ref="G132:H132"/>
    <mergeCell ref="G133:H133"/>
    <mergeCell ref="G134:H134"/>
    <mergeCell ref="G125:H125"/>
    <mergeCell ref="G126:H126"/>
    <mergeCell ref="G127:H127"/>
    <mergeCell ref="G128:H128"/>
    <mergeCell ref="G129:H129"/>
    <mergeCell ref="G120:H120"/>
    <mergeCell ref="G121:H121"/>
    <mergeCell ref="G122:H122"/>
    <mergeCell ref="G123:H123"/>
    <mergeCell ref="G124:H124"/>
    <mergeCell ref="G115:H115"/>
    <mergeCell ref="G116:H116"/>
    <mergeCell ref="G147:H147"/>
    <mergeCell ref="G148:H148"/>
    <mergeCell ref="B137:B148"/>
    <mergeCell ref="C137:C148"/>
    <mergeCell ref="E137:E142"/>
    <mergeCell ref="G137:H137"/>
    <mergeCell ref="G138:H138"/>
    <mergeCell ref="G139:H139"/>
    <mergeCell ref="G140:H140"/>
    <mergeCell ref="G141:H141"/>
    <mergeCell ref="G142:H142"/>
    <mergeCell ref="E143:E148"/>
    <mergeCell ref="G143:H143"/>
    <mergeCell ref="G144:H144"/>
    <mergeCell ref="G145:H145"/>
    <mergeCell ref="G146:H146"/>
    <mergeCell ref="B149:B160"/>
    <mergeCell ref="C149:C160"/>
    <mergeCell ref="E149:E154"/>
    <mergeCell ref="G149:H149"/>
    <mergeCell ref="G150:H150"/>
    <mergeCell ref="G151:H151"/>
    <mergeCell ref="G152:H152"/>
    <mergeCell ref="G153:H153"/>
    <mergeCell ref="G154:H154"/>
    <mergeCell ref="E155:E160"/>
    <mergeCell ref="G155:H155"/>
    <mergeCell ref="G156:H156"/>
    <mergeCell ref="G157:H157"/>
    <mergeCell ref="G158:H158"/>
    <mergeCell ref="G159:H159"/>
    <mergeCell ref="G160:H160"/>
    <mergeCell ref="B161:B172"/>
    <mergeCell ref="C161:C172"/>
    <mergeCell ref="E161:E166"/>
    <mergeCell ref="G161:H161"/>
    <mergeCell ref="G162:H162"/>
    <mergeCell ref="G163:H163"/>
    <mergeCell ref="G164:H164"/>
    <mergeCell ref="G165:H165"/>
    <mergeCell ref="G166:H166"/>
    <mergeCell ref="E167:E172"/>
    <mergeCell ref="G167:H167"/>
    <mergeCell ref="G168:H168"/>
    <mergeCell ref="G169:H169"/>
    <mergeCell ref="G170:H170"/>
    <mergeCell ref="G171:H171"/>
    <mergeCell ref="G172:H172"/>
    <mergeCell ref="B173:B184"/>
    <mergeCell ref="C173:C184"/>
    <mergeCell ref="E173:E178"/>
    <mergeCell ref="G173:H173"/>
    <mergeCell ref="G174:H174"/>
    <mergeCell ref="G175:H175"/>
    <mergeCell ref="G176:H176"/>
    <mergeCell ref="G177:H177"/>
    <mergeCell ref="G178:H178"/>
    <mergeCell ref="E179:E184"/>
    <mergeCell ref="G179:H179"/>
    <mergeCell ref="G180:H180"/>
    <mergeCell ref="G181:H181"/>
    <mergeCell ref="G182:H182"/>
    <mergeCell ref="G183:H183"/>
    <mergeCell ref="G184:H184"/>
  </mergeCells>
  <phoneticPr fontId="1" type="noConversion"/>
  <dataValidations count="6">
    <dataValidation type="list" allowBlank="1" showInputMessage="1" showErrorMessage="1" sqref="E17 E23 E29 E41 E53 E65 E77 E89 E101 E113 E125 E137 E35 E47 E59 E71 E83 E95 E107 E119 E131 E143 E149 E155 E161 E167 E173 E179 E185 E191 E197 E203 E209 E215 E221 E227 E233 E239 E245 E251 E257 E263 E269 E275" xr:uid="{7280530E-5B8D-4438-B3BD-789763083C72}">
      <formula1>$X$22:$X$23</formula1>
    </dataValidation>
    <dataValidation type="list" allowBlank="1" showInputMessage="1" showErrorMessage="1" sqref="C29 C125 C17 C101 C53 C77 C65 C89 C113 C41 C137 C149 C161 C173 C185 C197 C209 C221 C233 C245 C257 C269" xr:uid="{F1EE940D-722D-49C3-AED8-65AAA48A203D}">
      <formula1>$X$17:$X$21</formula1>
    </dataValidation>
    <dataValidation type="list" allowBlank="1" showInputMessage="1" showErrorMessage="1" sqref="C6" xr:uid="{6C6BE52D-388A-44ED-8B9B-93682A7F6DD3}">
      <formula1>$X$2:$X$7</formula1>
    </dataValidation>
    <dataValidation type="list" allowBlank="1" showInputMessage="1" showErrorMessage="1" sqref="G17:G34 G41:G46 G53:G58 G65:G70 G149:G154 G89:G94 G77:G82 G101:G106 G125:G130 G113:G118 G137:G142 G161:G166 G173:G178 G185:G190 G197:G202 G209:G214 G221:G226 G233:G238 G245:G250 G257:G262 G269:G274" xr:uid="{2F19E784-04BF-4E24-BE04-CB9AC5210FA1}">
      <formula1>$C$11:$S$11</formula1>
    </dataValidation>
    <dataValidation type="list" allowBlank="1" showInputMessage="1" showErrorMessage="1" sqref="D17:D280" xr:uid="{AB6E02A6-3DF0-4EDE-8381-A768F6272CD3}">
      <formula1>$Z$21:$Z$61</formula1>
    </dataValidation>
    <dataValidation type="list" allowBlank="1" showInputMessage="1" showErrorMessage="1" sqref="G35:H40 G47:H52 G59:H64 G71:H76 G155:H160 G95:H100 G83:H88 G119:H124 G131:H136 G107:H112 G143:H148 G167:H172 G179:H184 G215:H220 G191:H196 G203:H208 G239:H244 G227:H232 G251:H256 G275:H280 G263:H268" xr:uid="{C28E6288-565C-4B22-9955-C46161504448}">
      <formula1>$C$12:$S$12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25EB3-9678-42C3-8315-9CCE4CF12B97}">
  <dimension ref="B1:AU292"/>
  <sheetViews>
    <sheetView zoomScale="70" zoomScaleNormal="70" workbookViewId="0">
      <pane ySplit="16" topLeftCell="A17" activePane="bottomLeft" state="frozenSplit"/>
      <selection pane="bottomLeft" activeCell="D210" sqref="D210"/>
    </sheetView>
  </sheetViews>
  <sheetFormatPr defaultColWidth="8.7109375" defaultRowHeight="13.5"/>
  <cols>
    <col min="1" max="1" width="4.140625" style="1" customWidth="1"/>
    <col min="2" max="2" width="16.42578125" style="1" bestFit="1" customWidth="1"/>
    <col min="3" max="3" width="17.42578125" style="1" bestFit="1" customWidth="1"/>
    <col min="4" max="4" width="17.42578125" style="1" customWidth="1"/>
    <col min="5" max="5" width="14.5703125" style="2" customWidth="1"/>
    <col min="6" max="19" width="14.5703125" style="1" customWidth="1"/>
    <col min="20" max="20" width="14.7109375" style="1" hidden="1" customWidth="1"/>
    <col min="21" max="21" width="23.5703125" style="1" customWidth="1"/>
    <col min="22" max="22" width="67.42578125" style="1" customWidth="1"/>
    <col min="23" max="23" width="8.7109375" style="1"/>
    <col min="24" max="24" width="17.42578125" style="1" customWidth="1"/>
    <col min="25" max="25" width="8.7109375" style="1" customWidth="1"/>
    <col min="26" max="26" width="21.85546875" style="1" bestFit="1" customWidth="1"/>
    <col min="27" max="47" width="14.5703125" style="1" customWidth="1"/>
    <col min="48" max="16384" width="8.7109375" style="1"/>
  </cols>
  <sheetData>
    <row r="1" spans="2:47" ht="6" customHeight="1"/>
    <row r="2" spans="2:47" ht="35.25">
      <c r="B2" s="86" t="s">
        <v>31</v>
      </c>
      <c r="C2" s="86"/>
      <c r="D2" s="86"/>
      <c r="E2" s="86"/>
      <c r="F2" s="86"/>
      <c r="G2" s="86"/>
      <c r="H2" s="86"/>
      <c r="I2" s="86"/>
      <c r="J2" s="86"/>
      <c r="K2" s="86"/>
      <c r="L2" s="86"/>
      <c r="M2" s="86"/>
      <c r="N2" s="86"/>
      <c r="O2" s="86"/>
      <c r="P2" s="86"/>
      <c r="Q2" s="86"/>
      <c r="R2" s="86"/>
      <c r="S2" s="86"/>
      <c r="T2" s="86"/>
      <c r="U2" s="86"/>
      <c r="V2" s="24"/>
      <c r="W2" s="24"/>
      <c r="X2" s="1" t="s">
        <v>13</v>
      </c>
    </row>
    <row r="3" spans="2:47" ht="15.95" customHeight="1">
      <c r="B3" s="18"/>
      <c r="C3" s="18"/>
      <c r="D3" s="18"/>
      <c r="E3" s="18"/>
      <c r="F3" s="18"/>
      <c r="G3" s="18"/>
      <c r="H3" s="18"/>
      <c r="I3" s="18"/>
      <c r="J3" s="18"/>
      <c r="K3" s="18"/>
      <c r="L3" s="18"/>
      <c r="M3" s="18"/>
      <c r="N3" s="18"/>
      <c r="O3" s="18"/>
      <c r="P3" s="18"/>
      <c r="Q3" s="18"/>
      <c r="R3" s="18"/>
      <c r="S3" s="18"/>
      <c r="T3" s="18"/>
      <c r="U3" s="18"/>
      <c r="V3" s="24"/>
      <c r="W3" s="24"/>
      <c r="X3" s="1" t="s">
        <v>36</v>
      </c>
      <c r="Y3" s="24"/>
      <c r="Z3" s="24"/>
      <c r="AA3" s="24"/>
      <c r="AB3" s="24"/>
      <c r="AC3" s="24"/>
      <c r="AD3" s="24"/>
      <c r="AE3" s="24"/>
      <c r="AF3" s="24"/>
      <c r="AG3" s="24"/>
      <c r="AH3" s="24"/>
      <c r="AI3" s="24"/>
      <c r="AJ3" s="24"/>
      <c r="AK3" s="24"/>
      <c r="AL3" s="24"/>
      <c r="AM3" s="24"/>
      <c r="AN3" s="24"/>
      <c r="AO3" s="24"/>
      <c r="AP3" s="24"/>
      <c r="AQ3" s="24"/>
      <c r="AR3" s="24"/>
      <c r="AS3" s="24"/>
      <c r="AT3" s="24"/>
      <c r="AU3" s="24"/>
    </row>
    <row r="4" spans="2:47" ht="22.5">
      <c r="B4" s="84" t="s">
        <v>92</v>
      </c>
      <c r="C4" s="84"/>
      <c r="D4" s="84"/>
      <c r="E4" s="84"/>
      <c r="F4" s="84"/>
      <c r="G4" s="84"/>
      <c r="H4" s="84"/>
      <c r="I4" s="84"/>
      <c r="J4" s="84"/>
      <c r="K4" s="84"/>
      <c r="L4" s="84"/>
      <c r="M4" s="84"/>
      <c r="N4" s="84"/>
      <c r="O4" s="84"/>
      <c r="P4" s="84"/>
      <c r="Q4" s="84"/>
      <c r="R4" s="84"/>
      <c r="S4" s="84"/>
      <c r="T4" s="84"/>
      <c r="U4" s="84"/>
      <c r="V4" s="24"/>
      <c r="W4" s="24"/>
      <c r="X4" s="1" t="s">
        <v>34</v>
      </c>
      <c r="Y4" s="24"/>
      <c r="Z4" s="24"/>
      <c r="AA4" s="24"/>
      <c r="AB4" s="24"/>
      <c r="AC4" s="24"/>
      <c r="AD4" s="24"/>
      <c r="AE4" s="24"/>
      <c r="AF4" s="24"/>
      <c r="AG4" s="24"/>
      <c r="AH4" s="24"/>
      <c r="AI4" s="24"/>
      <c r="AJ4" s="24"/>
      <c r="AK4" s="24"/>
      <c r="AL4" s="24"/>
      <c r="AM4" s="24"/>
      <c r="AN4" s="24"/>
      <c r="AO4" s="24"/>
      <c r="AP4" s="24"/>
      <c r="AQ4" s="24"/>
      <c r="AR4" s="24"/>
      <c r="AS4" s="24"/>
      <c r="AT4" s="24"/>
      <c r="AU4" s="24"/>
    </row>
    <row r="5" spans="2:47" ht="11.45" customHeight="1">
      <c r="G5" s="3"/>
      <c r="H5" s="3"/>
      <c r="I5" s="3"/>
      <c r="J5" s="3"/>
      <c r="K5" s="3"/>
      <c r="L5" s="3"/>
      <c r="M5" s="3"/>
      <c r="N5" s="3"/>
      <c r="O5" s="3"/>
      <c r="P5" s="3"/>
      <c r="Q5" s="3"/>
      <c r="R5" s="3"/>
      <c r="S5" s="3"/>
      <c r="T5" s="3"/>
      <c r="U5" s="3"/>
      <c r="V5" s="24"/>
      <c r="W5" s="24"/>
      <c r="X5" s="1" t="s">
        <v>35</v>
      </c>
      <c r="Y5" s="24"/>
      <c r="Z5" s="24"/>
      <c r="AA5" s="24"/>
      <c r="AB5" s="24"/>
      <c r="AC5" s="24"/>
      <c r="AD5" s="24"/>
      <c r="AE5" s="24"/>
      <c r="AF5" s="24"/>
      <c r="AG5" s="24"/>
      <c r="AH5" s="24"/>
      <c r="AI5" s="24"/>
      <c r="AJ5" s="24"/>
      <c r="AK5" s="24"/>
      <c r="AL5" s="24"/>
      <c r="AM5" s="24"/>
      <c r="AN5" s="24"/>
      <c r="AO5" s="24"/>
      <c r="AP5" s="24"/>
      <c r="AQ5" s="24"/>
      <c r="AR5" s="24"/>
      <c r="AS5" s="24"/>
      <c r="AT5" s="24"/>
      <c r="AU5" s="24"/>
    </row>
    <row r="6" spans="2:47" ht="24" customHeight="1">
      <c r="B6" s="17" t="s">
        <v>10</v>
      </c>
      <c r="C6" s="42" t="s">
        <v>35</v>
      </c>
      <c r="D6" s="70" t="s">
        <v>91</v>
      </c>
      <c r="E6" s="71"/>
      <c r="F6" s="71"/>
      <c r="G6" s="71"/>
      <c r="H6" s="71"/>
      <c r="I6" s="71"/>
      <c r="J6" s="71"/>
      <c r="K6" s="47"/>
      <c r="L6" s="48" t="s">
        <v>96</v>
      </c>
      <c r="M6" s="72" t="s">
        <v>89</v>
      </c>
      <c r="N6" s="71"/>
      <c r="O6" s="71"/>
      <c r="P6" s="71"/>
      <c r="Q6" s="71"/>
      <c r="R6" s="71"/>
      <c r="S6" s="71"/>
      <c r="T6" s="71"/>
      <c r="U6" s="71"/>
      <c r="V6" s="24"/>
      <c r="W6" s="24"/>
      <c r="X6" s="1" t="s">
        <v>20</v>
      </c>
      <c r="Y6" s="24"/>
      <c r="Z6" s="24"/>
      <c r="AA6" s="24"/>
      <c r="AB6" s="24"/>
      <c r="AC6" s="24"/>
      <c r="AD6" s="24"/>
      <c r="AE6" s="24"/>
      <c r="AF6" s="24"/>
      <c r="AG6" s="24"/>
      <c r="AH6" s="24"/>
      <c r="AI6" s="24"/>
      <c r="AJ6" s="24"/>
      <c r="AK6" s="24"/>
      <c r="AL6" s="24"/>
      <c r="AM6" s="24"/>
      <c r="AN6" s="24"/>
      <c r="AO6" s="24"/>
      <c r="AP6" s="24"/>
      <c r="AQ6" s="24"/>
      <c r="AR6" s="24"/>
      <c r="AS6" s="24"/>
      <c r="AT6" s="24"/>
      <c r="AU6" s="24"/>
    </row>
    <row r="7" spans="2:47" ht="24.95" customHeight="1">
      <c r="C7" s="3"/>
      <c r="D7" s="73" t="s">
        <v>94</v>
      </c>
      <c r="E7" s="73"/>
      <c r="F7" s="73"/>
      <c r="G7" s="73"/>
      <c r="H7" s="73"/>
      <c r="I7" s="73"/>
      <c r="J7" s="73"/>
      <c r="K7" s="73"/>
      <c r="L7" s="3"/>
      <c r="M7" s="73" t="s">
        <v>90</v>
      </c>
      <c r="N7" s="73"/>
      <c r="O7" s="73"/>
      <c r="P7" s="73"/>
      <c r="Q7" s="73"/>
      <c r="R7" s="73"/>
      <c r="S7" s="73"/>
      <c r="T7" s="73"/>
      <c r="U7" s="73"/>
      <c r="V7" s="24"/>
      <c r="W7" s="24"/>
      <c r="Y7" s="24"/>
      <c r="Z7" s="24"/>
      <c r="AA7" s="24"/>
      <c r="AB7" s="24"/>
      <c r="AC7" s="24"/>
      <c r="AD7" s="24"/>
      <c r="AE7" s="24"/>
      <c r="AF7" s="24"/>
      <c r="AG7" s="24"/>
      <c r="AH7" s="24"/>
      <c r="AI7" s="24"/>
      <c r="AJ7" s="24"/>
      <c r="AK7" s="24"/>
      <c r="AL7" s="24"/>
      <c r="AM7" s="24"/>
      <c r="AN7" s="24"/>
      <c r="AO7" s="24"/>
      <c r="AP7" s="24"/>
      <c r="AQ7" s="24"/>
      <c r="AR7" s="24"/>
      <c r="AS7" s="24"/>
      <c r="AT7" s="24"/>
      <c r="AU7" s="24"/>
    </row>
    <row r="8" spans="2:47" ht="22.5">
      <c r="B8" s="85" t="s">
        <v>93</v>
      </c>
      <c r="C8" s="84"/>
      <c r="D8" s="84"/>
      <c r="E8" s="84"/>
      <c r="F8" s="84"/>
      <c r="G8" s="84"/>
      <c r="H8" s="84"/>
      <c r="I8" s="84"/>
      <c r="J8" s="84"/>
      <c r="K8" s="84"/>
      <c r="L8" s="84"/>
      <c r="M8" s="84"/>
      <c r="N8" s="84"/>
      <c r="O8" s="84"/>
      <c r="P8" s="84"/>
      <c r="Q8" s="84"/>
      <c r="R8" s="84"/>
      <c r="S8" s="84"/>
      <c r="T8" s="84"/>
      <c r="U8" s="84"/>
      <c r="V8" s="24"/>
      <c r="W8" s="24"/>
      <c r="Y8" s="24"/>
      <c r="Z8" s="24"/>
      <c r="AA8" s="24"/>
      <c r="AB8" s="24"/>
      <c r="AC8" s="24"/>
      <c r="AD8" s="24"/>
      <c r="AE8" s="24"/>
      <c r="AF8" s="24"/>
      <c r="AG8" s="24"/>
      <c r="AH8" s="24"/>
      <c r="AI8" s="24"/>
      <c r="AJ8" s="24"/>
      <c r="AK8" s="24"/>
      <c r="AL8" s="24"/>
      <c r="AM8" s="24"/>
      <c r="AN8" s="24"/>
      <c r="AO8" s="24"/>
      <c r="AP8" s="24"/>
      <c r="AQ8" s="24"/>
      <c r="AR8" s="24"/>
      <c r="AS8" s="24"/>
      <c r="AT8" s="24"/>
      <c r="AU8" s="24"/>
    </row>
    <row r="9" spans="2:47" ht="8.1" customHeight="1">
      <c r="E9" s="1"/>
      <c r="AH9" s="24"/>
      <c r="AI9" s="24"/>
      <c r="AJ9" s="24"/>
      <c r="AK9" s="24"/>
      <c r="AL9" s="24"/>
      <c r="AM9" s="24"/>
      <c r="AN9" s="24"/>
      <c r="AO9" s="24"/>
      <c r="AP9" s="24"/>
      <c r="AQ9" s="24"/>
      <c r="AR9" s="24"/>
      <c r="AS9" s="24"/>
      <c r="AT9" s="24"/>
      <c r="AU9" s="24"/>
    </row>
    <row r="10" spans="2:47" ht="18.75">
      <c r="B10" s="19" t="s">
        <v>30</v>
      </c>
      <c r="C10" s="19">
        <v>1</v>
      </c>
      <c r="D10" s="20">
        <v>2</v>
      </c>
      <c r="E10" s="20">
        <v>3</v>
      </c>
      <c r="F10" s="19">
        <v>4</v>
      </c>
      <c r="G10" s="20">
        <v>5</v>
      </c>
      <c r="H10" s="20">
        <v>6</v>
      </c>
      <c r="I10" s="19">
        <v>7</v>
      </c>
      <c r="J10" s="20">
        <v>8</v>
      </c>
      <c r="K10" s="20">
        <v>9</v>
      </c>
      <c r="L10" s="19">
        <v>10</v>
      </c>
      <c r="M10" s="20">
        <v>11</v>
      </c>
      <c r="N10" s="20">
        <v>12</v>
      </c>
      <c r="O10" s="19">
        <v>13</v>
      </c>
      <c r="P10" s="20">
        <v>14</v>
      </c>
      <c r="Q10" s="20">
        <v>15</v>
      </c>
      <c r="R10" s="20">
        <v>16</v>
      </c>
      <c r="S10" s="20">
        <v>17</v>
      </c>
      <c r="T10" s="19">
        <v>16</v>
      </c>
      <c r="U10" s="20" t="s">
        <v>32</v>
      </c>
      <c r="V10" s="24"/>
      <c r="W10" s="24"/>
    </row>
    <row r="11" spans="2:47" ht="18.75">
      <c r="B11" s="29" t="s">
        <v>28</v>
      </c>
      <c r="C11" s="31" t="s">
        <v>74</v>
      </c>
      <c r="D11" s="32" t="s">
        <v>83</v>
      </c>
      <c r="E11" s="32" t="s">
        <v>75</v>
      </c>
      <c r="F11" s="32" t="s">
        <v>76</v>
      </c>
      <c r="G11" s="31" t="s">
        <v>79</v>
      </c>
      <c r="H11" s="31" t="s">
        <v>80</v>
      </c>
      <c r="I11" s="31" t="s">
        <v>103</v>
      </c>
      <c r="J11" s="31" t="s">
        <v>104</v>
      </c>
      <c r="K11" s="31"/>
      <c r="L11" s="31"/>
      <c r="M11" s="31"/>
      <c r="N11" s="31"/>
      <c r="O11" s="31"/>
      <c r="P11" s="31"/>
      <c r="Q11" s="31"/>
      <c r="R11" s="31"/>
      <c r="S11" s="31"/>
      <c r="T11" s="31"/>
      <c r="U11" s="29"/>
      <c r="V11" s="24"/>
      <c r="W11" s="24"/>
    </row>
    <row r="12" spans="2:47" ht="18.75">
      <c r="B12" s="30" t="s">
        <v>29</v>
      </c>
      <c r="C12" s="33" t="s">
        <v>84</v>
      </c>
      <c r="D12" s="33" t="s">
        <v>81</v>
      </c>
      <c r="E12" s="33" t="s">
        <v>87</v>
      </c>
      <c r="F12" s="33" t="s">
        <v>86</v>
      </c>
      <c r="G12" s="33" t="s">
        <v>85</v>
      </c>
      <c r="H12" s="33" t="s">
        <v>88</v>
      </c>
      <c r="I12" s="33" t="s">
        <v>82</v>
      </c>
      <c r="J12" s="32" t="s">
        <v>77</v>
      </c>
      <c r="K12" s="32" t="s">
        <v>78</v>
      </c>
      <c r="L12" s="33" t="s">
        <v>105</v>
      </c>
      <c r="M12" s="33" t="s">
        <v>106</v>
      </c>
      <c r="N12" s="33" t="s">
        <v>107</v>
      </c>
      <c r="O12" s="33"/>
      <c r="P12" s="33"/>
      <c r="Q12" s="33"/>
      <c r="R12" s="33"/>
      <c r="S12" s="33"/>
      <c r="T12" s="33"/>
      <c r="U12" s="30"/>
    </row>
    <row r="13" spans="2:47" ht="54.6" customHeight="1">
      <c r="B13" s="74" t="s">
        <v>95</v>
      </c>
      <c r="C13" s="74"/>
      <c r="D13" s="74"/>
      <c r="E13" s="74"/>
      <c r="F13" s="74"/>
      <c r="G13" s="74"/>
      <c r="H13" s="74"/>
      <c r="I13" s="74"/>
      <c r="J13" s="74"/>
      <c r="K13" s="74"/>
      <c r="L13" s="74"/>
      <c r="M13" s="74"/>
      <c r="N13" s="74"/>
      <c r="O13" s="74"/>
      <c r="P13" s="74"/>
      <c r="Q13" s="74"/>
      <c r="R13" s="74"/>
      <c r="S13" s="74"/>
      <c r="T13" s="74"/>
      <c r="U13" s="74"/>
    </row>
    <row r="14" spans="2:47" ht="37.5">
      <c r="B14" s="26" t="s">
        <v>33</v>
      </c>
      <c r="C14" s="25"/>
      <c r="D14" s="49" t="s">
        <v>62</v>
      </c>
      <c r="E14" s="49" t="s">
        <v>63</v>
      </c>
      <c r="F14" s="49"/>
      <c r="G14" s="49" t="s">
        <v>64</v>
      </c>
      <c r="H14" s="49"/>
      <c r="I14" s="50" t="s">
        <v>65</v>
      </c>
      <c r="J14" s="50"/>
      <c r="K14" s="50" t="s">
        <v>66</v>
      </c>
      <c r="L14" s="50" t="s">
        <v>67</v>
      </c>
      <c r="M14" s="50" t="s">
        <v>68</v>
      </c>
      <c r="N14" s="50" t="s">
        <v>69</v>
      </c>
      <c r="O14" s="50" t="s">
        <v>70</v>
      </c>
      <c r="P14" s="50" t="s">
        <v>71</v>
      </c>
      <c r="Q14" s="50" t="s">
        <v>72</v>
      </c>
      <c r="R14" s="50" t="s">
        <v>73</v>
      </c>
      <c r="S14" s="87" t="s">
        <v>97</v>
      </c>
      <c r="T14" s="87"/>
      <c r="U14" s="87"/>
    </row>
    <row r="15" spans="2:47" ht="18.75">
      <c r="B15" s="79" t="s">
        <v>6</v>
      </c>
      <c r="C15" s="79" t="s">
        <v>8</v>
      </c>
      <c r="D15" s="79" t="s">
        <v>37</v>
      </c>
      <c r="E15" s="79" t="s">
        <v>0</v>
      </c>
      <c r="F15" s="79" t="s">
        <v>7</v>
      </c>
      <c r="G15" s="75" t="s">
        <v>1</v>
      </c>
      <c r="H15" s="76"/>
      <c r="I15" s="88" t="s">
        <v>27</v>
      </c>
      <c r="J15" s="89"/>
      <c r="K15" s="90" t="s">
        <v>2</v>
      </c>
      <c r="L15" s="91"/>
      <c r="M15" s="91"/>
      <c r="N15" s="91"/>
      <c r="O15" s="91"/>
      <c r="P15" s="91"/>
      <c r="Q15" s="91"/>
      <c r="R15" s="91"/>
      <c r="S15" s="92"/>
      <c r="T15" s="90"/>
      <c r="U15" s="92"/>
    </row>
    <row r="16" spans="2:47" ht="17.45" customHeight="1">
      <c r="B16" s="80"/>
      <c r="C16" s="80"/>
      <c r="D16" s="80"/>
      <c r="E16" s="80"/>
      <c r="F16" s="80"/>
      <c r="G16" s="77"/>
      <c r="H16" s="78"/>
      <c r="I16" s="21" t="s">
        <v>26</v>
      </c>
      <c r="J16" s="21" t="s">
        <v>27</v>
      </c>
      <c r="K16" s="22" t="s">
        <v>4</v>
      </c>
      <c r="L16" s="22" t="s">
        <v>5</v>
      </c>
      <c r="M16" s="22" t="s">
        <v>19</v>
      </c>
      <c r="N16" s="22" t="s">
        <v>69</v>
      </c>
      <c r="O16" s="22" t="s">
        <v>21</v>
      </c>
      <c r="P16" s="22" t="s">
        <v>22</v>
      </c>
      <c r="Q16" s="22" t="s">
        <v>23</v>
      </c>
      <c r="R16" s="22" t="s">
        <v>20</v>
      </c>
      <c r="S16" s="22" t="s">
        <v>24</v>
      </c>
      <c r="T16" s="22" t="s">
        <v>25</v>
      </c>
      <c r="U16" s="23" t="s">
        <v>3</v>
      </c>
      <c r="W16" s="4"/>
      <c r="X16" s="4"/>
      <c r="Y16" s="4"/>
    </row>
    <row r="17" spans="2:26" ht="16.5" hidden="1" customHeight="1">
      <c r="B17" s="81">
        <v>46082</v>
      </c>
      <c r="C17" s="59" t="s">
        <v>15</v>
      </c>
      <c r="D17" s="51"/>
      <c r="E17" s="62" t="s">
        <v>101</v>
      </c>
      <c r="F17" s="5">
        <v>0.41666666666666669</v>
      </c>
      <c r="G17" s="65"/>
      <c r="H17" s="66"/>
      <c r="I17" s="34"/>
      <c r="J17" s="6" t="str">
        <f>IFERROR(S17/I17,"")</f>
        <v/>
      </c>
      <c r="K17" s="38"/>
      <c r="L17" s="38"/>
      <c r="M17" s="38"/>
      <c r="N17" s="38"/>
      <c r="O17" s="38"/>
      <c r="P17" s="38"/>
      <c r="Q17" s="38"/>
      <c r="R17" s="38"/>
      <c r="S17" s="7">
        <f>SUM(K17:R17)</f>
        <v>0</v>
      </c>
      <c r="T17" s="7">
        <v>100000</v>
      </c>
      <c r="U17" s="7">
        <f>T17*S17</f>
        <v>0</v>
      </c>
      <c r="V17" s="4"/>
      <c r="W17" s="4"/>
      <c r="X17" s="4" t="s">
        <v>14</v>
      </c>
      <c r="Y17" s="4"/>
    </row>
    <row r="18" spans="2:26" ht="18.75" hidden="1">
      <c r="B18" s="82"/>
      <c r="C18" s="60"/>
      <c r="D18" s="52"/>
      <c r="E18" s="63"/>
      <c r="F18" s="8">
        <v>0.5</v>
      </c>
      <c r="G18" s="67"/>
      <c r="H18" s="68"/>
      <c r="I18" s="35"/>
      <c r="J18" s="9" t="str">
        <f>IFERROR(S18/I18,"")</f>
        <v/>
      </c>
      <c r="K18" s="39"/>
      <c r="L18" s="39"/>
      <c r="M18" s="39"/>
      <c r="N18" s="39"/>
      <c r="O18" s="39"/>
      <c r="P18" s="39"/>
      <c r="Q18" s="39"/>
      <c r="R18" s="39"/>
      <c r="S18" s="10">
        <f t="shared" ref="S18:S28" si="0">SUM(K18:R18)</f>
        <v>0</v>
      </c>
      <c r="T18" s="10">
        <v>100000</v>
      </c>
      <c r="U18" s="10">
        <f t="shared" ref="U18:U28" si="1">T18*S18</f>
        <v>0</v>
      </c>
      <c r="V18" s="4"/>
      <c r="W18" s="4"/>
      <c r="X18" s="4" t="s">
        <v>15</v>
      </c>
      <c r="Y18" s="4"/>
    </row>
    <row r="19" spans="2:26" ht="18.75" hidden="1">
      <c r="B19" s="82"/>
      <c r="C19" s="60"/>
      <c r="D19" s="52"/>
      <c r="E19" s="63"/>
      <c r="F19" s="8">
        <v>0.58333333333333337</v>
      </c>
      <c r="G19" s="67"/>
      <c r="H19" s="68"/>
      <c r="I19" s="35"/>
      <c r="J19" s="9" t="str">
        <f t="shared" ref="J19:J82" si="2">IFERROR(S19/I19,"")</f>
        <v/>
      </c>
      <c r="K19" s="39"/>
      <c r="L19" s="39"/>
      <c r="M19" s="39"/>
      <c r="N19" s="39"/>
      <c r="O19" s="39"/>
      <c r="P19" s="39"/>
      <c r="Q19" s="39"/>
      <c r="R19" s="39"/>
      <c r="S19" s="10">
        <f t="shared" si="0"/>
        <v>0</v>
      </c>
      <c r="T19" s="10">
        <v>100000</v>
      </c>
      <c r="U19" s="10">
        <f t="shared" si="1"/>
        <v>0</v>
      </c>
      <c r="V19" s="4"/>
      <c r="W19" s="4"/>
      <c r="X19" s="4" t="s">
        <v>16</v>
      </c>
      <c r="Y19" s="4"/>
    </row>
    <row r="20" spans="2:26" ht="18.75" hidden="1">
      <c r="B20" s="82"/>
      <c r="C20" s="60"/>
      <c r="D20" s="52"/>
      <c r="E20" s="63"/>
      <c r="F20" s="8">
        <v>0.66666666666666663</v>
      </c>
      <c r="G20" s="67"/>
      <c r="H20" s="68"/>
      <c r="I20" s="35"/>
      <c r="J20" s="9" t="str">
        <f t="shared" si="2"/>
        <v/>
      </c>
      <c r="K20" s="39"/>
      <c r="L20" s="39"/>
      <c r="M20" s="39"/>
      <c r="N20" s="39"/>
      <c r="O20" s="39"/>
      <c r="P20" s="39"/>
      <c r="Q20" s="39"/>
      <c r="R20" s="39"/>
      <c r="S20" s="10">
        <f t="shared" si="0"/>
        <v>0</v>
      </c>
      <c r="T20" s="10">
        <v>100000</v>
      </c>
      <c r="U20" s="10">
        <f>T20*S20</f>
        <v>0</v>
      </c>
      <c r="V20" s="4"/>
      <c r="W20" s="4"/>
      <c r="X20" s="4" t="s">
        <v>17</v>
      </c>
      <c r="Y20" s="4"/>
      <c r="Z20" s="28" t="s">
        <v>61</v>
      </c>
    </row>
    <row r="21" spans="2:26" ht="18.75" hidden="1">
      <c r="B21" s="82"/>
      <c r="C21" s="60"/>
      <c r="D21" s="52"/>
      <c r="E21" s="63"/>
      <c r="F21" s="8">
        <v>0.75</v>
      </c>
      <c r="G21" s="67"/>
      <c r="H21" s="68"/>
      <c r="I21" s="35"/>
      <c r="J21" s="9" t="str">
        <f t="shared" si="2"/>
        <v/>
      </c>
      <c r="K21" s="39"/>
      <c r="L21" s="39"/>
      <c r="M21" s="39"/>
      <c r="N21" s="39"/>
      <c r="O21" s="39"/>
      <c r="P21" s="39"/>
      <c r="Q21" s="39"/>
      <c r="R21" s="39"/>
      <c r="S21" s="10">
        <f t="shared" si="0"/>
        <v>0</v>
      </c>
      <c r="T21" s="10">
        <v>100000</v>
      </c>
      <c r="U21" s="10">
        <f t="shared" si="1"/>
        <v>0</v>
      </c>
      <c r="V21" s="4"/>
      <c r="W21" s="4"/>
      <c r="X21" s="11" t="s">
        <v>18</v>
      </c>
      <c r="Y21" s="4"/>
      <c r="Z21" s="43"/>
    </row>
    <row r="22" spans="2:26" ht="27" hidden="1">
      <c r="B22" s="82"/>
      <c r="C22" s="60"/>
      <c r="D22" s="53"/>
      <c r="E22" s="64"/>
      <c r="F22" s="12">
        <v>0.83333333333333337</v>
      </c>
      <c r="G22" s="67"/>
      <c r="H22" s="68"/>
      <c r="I22" s="35"/>
      <c r="J22" s="9" t="str">
        <f t="shared" si="2"/>
        <v/>
      </c>
      <c r="K22" s="40"/>
      <c r="L22" s="40"/>
      <c r="M22" s="40"/>
      <c r="N22" s="40"/>
      <c r="O22" s="40"/>
      <c r="P22" s="40"/>
      <c r="Q22" s="40"/>
      <c r="R22" s="40"/>
      <c r="S22" s="16">
        <f t="shared" si="0"/>
        <v>0</v>
      </c>
      <c r="T22" s="16">
        <v>100000</v>
      </c>
      <c r="U22" s="16">
        <f t="shared" si="1"/>
        <v>0</v>
      </c>
      <c r="V22" s="4"/>
      <c r="X22" s="54" t="s">
        <v>101</v>
      </c>
      <c r="Z22" s="44" t="s">
        <v>46</v>
      </c>
    </row>
    <row r="23" spans="2:26" ht="27" hidden="1">
      <c r="B23" s="82"/>
      <c r="C23" s="60"/>
      <c r="D23" s="51"/>
      <c r="E23" s="62" t="s">
        <v>102</v>
      </c>
      <c r="F23" s="5">
        <v>0.91666666666666663</v>
      </c>
      <c r="G23" s="65"/>
      <c r="H23" s="66"/>
      <c r="I23" s="34"/>
      <c r="J23" s="6" t="str">
        <f t="shared" si="2"/>
        <v/>
      </c>
      <c r="K23" s="38"/>
      <c r="L23" s="38"/>
      <c r="M23" s="38"/>
      <c r="N23" s="38"/>
      <c r="O23" s="38"/>
      <c r="P23" s="38"/>
      <c r="Q23" s="38"/>
      <c r="R23" s="38"/>
      <c r="S23" s="7">
        <f t="shared" si="0"/>
        <v>0</v>
      </c>
      <c r="T23" s="7">
        <v>100000</v>
      </c>
      <c r="U23" s="7">
        <f t="shared" si="1"/>
        <v>0</v>
      </c>
      <c r="V23" s="4"/>
      <c r="X23" s="54" t="s">
        <v>102</v>
      </c>
      <c r="Z23" s="44" t="s">
        <v>45</v>
      </c>
    </row>
    <row r="24" spans="2:26" ht="18.75" hidden="1">
      <c r="B24" s="82"/>
      <c r="C24" s="60"/>
      <c r="D24" s="52"/>
      <c r="E24" s="63"/>
      <c r="F24" s="8">
        <v>1</v>
      </c>
      <c r="G24" s="67"/>
      <c r="H24" s="68"/>
      <c r="I24" s="35"/>
      <c r="J24" s="9" t="str">
        <f t="shared" si="2"/>
        <v/>
      </c>
      <c r="K24" s="39"/>
      <c r="L24" s="39"/>
      <c r="M24" s="39"/>
      <c r="N24" s="39"/>
      <c r="O24" s="39"/>
      <c r="P24" s="39"/>
      <c r="Q24" s="39"/>
      <c r="R24" s="39"/>
      <c r="S24" s="10">
        <f t="shared" si="0"/>
        <v>0</v>
      </c>
      <c r="T24" s="10">
        <v>100000</v>
      </c>
      <c r="U24" s="10">
        <f t="shared" si="1"/>
        <v>0</v>
      </c>
      <c r="V24" s="4"/>
      <c r="Y24" s="4"/>
      <c r="Z24" s="44" t="s">
        <v>44</v>
      </c>
    </row>
    <row r="25" spans="2:26" ht="18.75" hidden="1">
      <c r="B25" s="82"/>
      <c r="C25" s="60"/>
      <c r="D25" s="52"/>
      <c r="E25" s="63"/>
      <c r="F25" s="8">
        <v>8.3333333333333329E-2</v>
      </c>
      <c r="G25" s="67"/>
      <c r="H25" s="68"/>
      <c r="I25" s="35"/>
      <c r="J25" s="9" t="str">
        <f t="shared" si="2"/>
        <v/>
      </c>
      <c r="K25" s="39"/>
      <c r="L25" s="39"/>
      <c r="M25" s="39"/>
      <c r="N25" s="39"/>
      <c r="O25" s="39"/>
      <c r="P25" s="39"/>
      <c r="Q25" s="39"/>
      <c r="R25" s="39"/>
      <c r="S25" s="10">
        <f t="shared" si="0"/>
        <v>0</v>
      </c>
      <c r="T25" s="10">
        <v>100000</v>
      </c>
      <c r="U25" s="10">
        <f t="shared" si="1"/>
        <v>0</v>
      </c>
      <c r="Y25" s="4"/>
      <c r="Z25" s="44" t="s">
        <v>47</v>
      </c>
    </row>
    <row r="26" spans="2:26" ht="18.75" hidden="1">
      <c r="B26" s="82"/>
      <c r="C26" s="60"/>
      <c r="D26" s="52"/>
      <c r="E26" s="63"/>
      <c r="F26" s="8">
        <v>0.16666666666666666</v>
      </c>
      <c r="G26" s="67"/>
      <c r="H26" s="68"/>
      <c r="I26" s="35"/>
      <c r="J26" s="9" t="str">
        <f t="shared" si="2"/>
        <v/>
      </c>
      <c r="K26" s="39"/>
      <c r="L26" s="39"/>
      <c r="M26" s="39"/>
      <c r="N26" s="39"/>
      <c r="O26" s="39"/>
      <c r="P26" s="39"/>
      <c r="Q26" s="39"/>
      <c r="R26" s="39"/>
      <c r="S26" s="10">
        <f t="shared" si="0"/>
        <v>0</v>
      </c>
      <c r="T26" s="10">
        <v>100000</v>
      </c>
      <c r="U26" s="10">
        <f t="shared" si="1"/>
        <v>0</v>
      </c>
      <c r="V26" s="4"/>
      <c r="X26" s="4"/>
      <c r="Y26" s="4"/>
      <c r="Z26" s="44" t="s">
        <v>48</v>
      </c>
    </row>
    <row r="27" spans="2:26" ht="18.75" hidden="1">
      <c r="B27" s="82"/>
      <c r="C27" s="60"/>
      <c r="D27" s="52"/>
      <c r="E27" s="63"/>
      <c r="F27" s="8">
        <v>0.25</v>
      </c>
      <c r="G27" s="67"/>
      <c r="H27" s="68"/>
      <c r="I27" s="35"/>
      <c r="J27" s="9" t="str">
        <f t="shared" si="2"/>
        <v/>
      </c>
      <c r="K27" s="39"/>
      <c r="L27" s="39"/>
      <c r="M27" s="39"/>
      <c r="N27" s="39"/>
      <c r="O27" s="39"/>
      <c r="P27" s="39"/>
      <c r="Q27" s="39"/>
      <c r="R27" s="39"/>
      <c r="S27" s="10">
        <f t="shared" si="0"/>
        <v>0</v>
      </c>
      <c r="T27" s="10">
        <v>100000</v>
      </c>
      <c r="U27" s="10">
        <f t="shared" si="1"/>
        <v>0</v>
      </c>
      <c r="V27" s="4"/>
      <c r="Y27" s="4"/>
      <c r="Z27" s="44" t="s">
        <v>49</v>
      </c>
    </row>
    <row r="28" spans="2:26" ht="18.75" hidden="1">
      <c r="B28" s="82"/>
      <c r="C28" s="60"/>
      <c r="D28" s="53"/>
      <c r="E28" s="64"/>
      <c r="F28" s="12">
        <v>0.33333333333333331</v>
      </c>
      <c r="G28" s="67"/>
      <c r="H28" s="68"/>
      <c r="I28" s="36"/>
      <c r="J28" s="9" t="str">
        <f t="shared" si="2"/>
        <v/>
      </c>
      <c r="K28" s="41"/>
      <c r="L28" s="41"/>
      <c r="M28" s="41"/>
      <c r="N28" s="41"/>
      <c r="O28" s="41"/>
      <c r="P28" s="41"/>
      <c r="Q28" s="41"/>
      <c r="R28" s="41"/>
      <c r="S28" s="13">
        <f t="shared" si="0"/>
        <v>0</v>
      </c>
      <c r="T28" s="13">
        <v>100000</v>
      </c>
      <c r="U28" s="13">
        <f t="shared" si="1"/>
        <v>0</v>
      </c>
      <c r="V28" s="4"/>
      <c r="W28" s="4"/>
      <c r="X28" s="4"/>
      <c r="Y28" s="4"/>
      <c r="Z28" s="44" t="s">
        <v>50</v>
      </c>
    </row>
    <row r="29" spans="2:26" ht="18.600000000000001" hidden="1" customHeight="1">
      <c r="B29" s="81">
        <v>46083</v>
      </c>
      <c r="C29" s="59" t="s">
        <v>15</v>
      </c>
      <c r="D29" s="51"/>
      <c r="E29" s="62" t="s">
        <v>101</v>
      </c>
      <c r="F29" s="5">
        <v>0.41666666666666669</v>
      </c>
      <c r="G29" s="65"/>
      <c r="H29" s="66"/>
      <c r="I29" s="34"/>
      <c r="J29" s="6" t="str">
        <f t="shared" si="2"/>
        <v/>
      </c>
      <c r="K29" s="38"/>
      <c r="L29" s="38"/>
      <c r="M29" s="38"/>
      <c r="N29" s="38"/>
      <c r="O29" s="38"/>
      <c r="P29" s="38"/>
      <c r="Q29" s="38"/>
      <c r="R29" s="38"/>
      <c r="S29" s="7">
        <f>SUM(K29:R29)</f>
        <v>0</v>
      </c>
      <c r="T29" s="7">
        <v>100000</v>
      </c>
      <c r="U29" s="7">
        <f>T29*S29</f>
        <v>0</v>
      </c>
      <c r="V29" s="4"/>
      <c r="W29" s="4"/>
      <c r="X29" s="4"/>
      <c r="Y29" s="4"/>
      <c r="Z29" s="44" t="s">
        <v>51</v>
      </c>
    </row>
    <row r="30" spans="2:26" ht="18.75" hidden="1">
      <c r="B30" s="82"/>
      <c r="C30" s="60"/>
      <c r="D30" s="52"/>
      <c r="E30" s="63"/>
      <c r="F30" s="8">
        <v>0.5</v>
      </c>
      <c r="G30" s="67"/>
      <c r="H30" s="68"/>
      <c r="I30" s="35"/>
      <c r="J30" s="9" t="str">
        <f t="shared" si="2"/>
        <v/>
      </c>
      <c r="K30" s="39"/>
      <c r="L30" s="39"/>
      <c r="M30" s="39"/>
      <c r="N30" s="39"/>
      <c r="O30" s="39"/>
      <c r="P30" s="39"/>
      <c r="Q30" s="39"/>
      <c r="R30" s="39"/>
      <c r="S30" s="10">
        <f t="shared" ref="S30:S40" si="3">SUM(K30:R30)</f>
        <v>0</v>
      </c>
      <c r="T30" s="10">
        <v>100000</v>
      </c>
      <c r="U30" s="10">
        <f t="shared" ref="U30:U31" si="4">T30*S30</f>
        <v>0</v>
      </c>
      <c r="V30" s="4"/>
      <c r="W30" s="4"/>
      <c r="X30" s="4"/>
      <c r="Y30" s="4"/>
      <c r="Z30" s="44" t="s">
        <v>52</v>
      </c>
    </row>
    <row r="31" spans="2:26" ht="18.75" hidden="1">
      <c r="B31" s="82"/>
      <c r="C31" s="60"/>
      <c r="D31" s="52"/>
      <c r="E31" s="63"/>
      <c r="F31" s="8">
        <v>0.58333333333333337</v>
      </c>
      <c r="G31" s="67"/>
      <c r="H31" s="68"/>
      <c r="I31" s="35"/>
      <c r="J31" s="9" t="str">
        <f t="shared" si="2"/>
        <v/>
      </c>
      <c r="K31" s="39"/>
      <c r="L31" s="39"/>
      <c r="M31" s="39"/>
      <c r="N31" s="39"/>
      <c r="O31" s="39"/>
      <c r="P31" s="39"/>
      <c r="Q31" s="39"/>
      <c r="R31" s="39"/>
      <c r="S31" s="10">
        <f t="shared" si="3"/>
        <v>0</v>
      </c>
      <c r="T31" s="10">
        <v>100000</v>
      </c>
      <c r="U31" s="10">
        <f t="shared" si="4"/>
        <v>0</v>
      </c>
      <c r="V31" s="4"/>
      <c r="W31" s="4"/>
      <c r="X31" s="4"/>
      <c r="Y31" s="4"/>
      <c r="Z31" s="44" t="s">
        <v>53</v>
      </c>
    </row>
    <row r="32" spans="2:26" ht="18.75" hidden="1">
      <c r="B32" s="82"/>
      <c r="C32" s="60"/>
      <c r="D32" s="52"/>
      <c r="E32" s="63"/>
      <c r="F32" s="8">
        <v>0.66666666666666663</v>
      </c>
      <c r="G32" s="67"/>
      <c r="H32" s="68"/>
      <c r="I32" s="35"/>
      <c r="J32" s="9" t="str">
        <f t="shared" si="2"/>
        <v/>
      </c>
      <c r="K32" s="39"/>
      <c r="L32" s="39"/>
      <c r="M32" s="39"/>
      <c r="N32" s="39"/>
      <c r="O32" s="39"/>
      <c r="P32" s="39"/>
      <c r="Q32" s="39"/>
      <c r="R32" s="39"/>
      <c r="S32" s="10">
        <f t="shared" si="3"/>
        <v>0</v>
      </c>
      <c r="T32" s="10">
        <v>100000</v>
      </c>
      <c r="U32" s="10">
        <f>T32*S32</f>
        <v>0</v>
      </c>
      <c r="V32" s="4"/>
      <c r="W32" s="4"/>
      <c r="X32" s="4"/>
      <c r="Y32" s="4"/>
      <c r="Z32" s="44" t="s">
        <v>54</v>
      </c>
    </row>
    <row r="33" spans="2:26" ht="18.75" hidden="1">
      <c r="B33" s="82"/>
      <c r="C33" s="60"/>
      <c r="D33" s="52"/>
      <c r="E33" s="63"/>
      <c r="F33" s="8">
        <v>0.75</v>
      </c>
      <c r="G33" s="67"/>
      <c r="H33" s="68"/>
      <c r="I33" s="35"/>
      <c r="J33" s="9" t="str">
        <f t="shared" si="2"/>
        <v/>
      </c>
      <c r="K33" s="39"/>
      <c r="L33" s="39"/>
      <c r="M33" s="39"/>
      <c r="N33" s="39"/>
      <c r="O33" s="39"/>
      <c r="P33" s="39"/>
      <c r="Q33" s="39"/>
      <c r="R33" s="39"/>
      <c r="S33" s="10">
        <f t="shared" si="3"/>
        <v>0</v>
      </c>
      <c r="T33" s="10">
        <v>100000</v>
      </c>
      <c r="U33" s="10">
        <f t="shared" ref="U33:U40" si="5">T33*S33</f>
        <v>0</v>
      </c>
      <c r="V33" s="4"/>
      <c r="W33" s="4"/>
      <c r="X33" s="11"/>
      <c r="Y33" s="4"/>
      <c r="Z33" s="44" t="s">
        <v>40</v>
      </c>
    </row>
    <row r="34" spans="2:26" ht="18.75" hidden="1">
      <c r="B34" s="82"/>
      <c r="C34" s="60"/>
      <c r="D34" s="53"/>
      <c r="E34" s="64"/>
      <c r="F34" s="12">
        <v>0.83333333333333337</v>
      </c>
      <c r="G34" s="67"/>
      <c r="H34" s="68"/>
      <c r="I34" s="36"/>
      <c r="J34" s="9" t="str">
        <f t="shared" si="2"/>
        <v/>
      </c>
      <c r="K34" s="41"/>
      <c r="L34" s="41"/>
      <c r="M34" s="41"/>
      <c r="N34" s="41"/>
      <c r="O34" s="41"/>
      <c r="P34" s="41"/>
      <c r="Q34" s="41"/>
      <c r="R34" s="41"/>
      <c r="S34" s="13">
        <f t="shared" si="3"/>
        <v>0</v>
      </c>
      <c r="T34" s="13">
        <v>100000</v>
      </c>
      <c r="U34" s="13">
        <f t="shared" si="5"/>
        <v>0</v>
      </c>
      <c r="V34" s="4"/>
      <c r="Y34" s="4"/>
      <c r="Z34" s="44" t="s">
        <v>41</v>
      </c>
    </row>
    <row r="35" spans="2:26" ht="18.75" hidden="1">
      <c r="B35" s="82"/>
      <c r="C35" s="60"/>
      <c r="D35" s="51"/>
      <c r="E35" s="62" t="s">
        <v>102</v>
      </c>
      <c r="F35" s="5">
        <v>0.91666666666666663</v>
      </c>
      <c r="G35" s="65"/>
      <c r="H35" s="66"/>
      <c r="I35" s="34"/>
      <c r="J35" s="6" t="str">
        <f t="shared" si="2"/>
        <v/>
      </c>
      <c r="K35" s="38"/>
      <c r="L35" s="38"/>
      <c r="M35" s="38"/>
      <c r="N35" s="38"/>
      <c r="O35" s="38"/>
      <c r="P35" s="38"/>
      <c r="Q35" s="38"/>
      <c r="R35" s="38"/>
      <c r="S35" s="7">
        <f t="shared" si="3"/>
        <v>0</v>
      </c>
      <c r="T35" s="7">
        <v>100000</v>
      </c>
      <c r="U35" s="7">
        <f t="shared" si="5"/>
        <v>0</v>
      </c>
      <c r="V35" s="4"/>
      <c r="Y35" s="4"/>
      <c r="Z35" s="44" t="s">
        <v>55</v>
      </c>
    </row>
    <row r="36" spans="2:26" ht="18.75" hidden="1">
      <c r="B36" s="82"/>
      <c r="C36" s="60"/>
      <c r="D36" s="52"/>
      <c r="E36" s="63"/>
      <c r="F36" s="8">
        <v>1</v>
      </c>
      <c r="G36" s="67"/>
      <c r="H36" s="68"/>
      <c r="I36" s="35"/>
      <c r="J36" s="9" t="str">
        <f t="shared" si="2"/>
        <v/>
      </c>
      <c r="K36" s="39"/>
      <c r="L36" s="39"/>
      <c r="M36" s="39"/>
      <c r="N36" s="39"/>
      <c r="O36" s="39"/>
      <c r="P36" s="39"/>
      <c r="Q36" s="39"/>
      <c r="R36" s="39"/>
      <c r="S36" s="10">
        <f t="shared" si="3"/>
        <v>0</v>
      </c>
      <c r="T36" s="10">
        <v>100000</v>
      </c>
      <c r="U36" s="10">
        <f t="shared" si="5"/>
        <v>0</v>
      </c>
      <c r="V36" s="4"/>
      <c r="Y36" s="4"/>
      <c r="Z36" s="44" t="s">
        <v>56</v>
      </c>
    </row>
    <row r="37" spans="2:26" ht="18.75" hidden="1">
      <c r="B37" s="82"/>
      <c r="C37" s="60"/>
      <c r="D37" s="52"/>
      <c r="E37" s="63"/>
      <c r="F37" s="8">
        <v>8.3333333333333329E-2</v>
      </c>
      <c r="G37" s="67"/>
      <c r="H37" s="68"/>
      <c r="I37" s="35"/>
      <c r="J37" s="9" t="str">
        <f t="shared" si="2"/>
        <v/>
      </c>
      <c r="K37" s="39"/>
      <c r="L37" s="39"/>
      <c r="M37" s="39"/>
      <c r="N37" s="39"/>
      <c r="O37" s="39"/>
      <c r="P37" s="39"/>
      <c r="Q37" s="39"/>
      <c r="R37" s="39"/>
      <c r="S37" s="10">
        <f t="shared" si="3"/>
        <v>0</v>
      </c>
      <c r="T37" s="10">
        <v>100000</v>
      </c>
      <c r="U37" s="10">
        <f t="shared" si="5"/>
        <v>0</v>
      </c>
      <c r="V37" s="4"/>
      <c r="Y37" s="4"/>
      <c r="Z37" s="44" t="s">
        <v>38</v>
      </c>
    </row>
    <row r="38" spans="2:26" ht="18.75" hidden="1">
      <c r="B38" s="82"/>
      <c r="C38" s="60"/>
      <c r="D38" s="52"/>
      <c r="E38" s="63"/>
      <c r="F38" s="8">
        <v>0.16666666666666666</v>
      </c>
      <c r="G38" s="67"/>
      <c r="H38" s="68"/>
      <c r="I38" s="35"/>
      <c r="J38" s="9" t="str">
        <f t="shared" si="2"/>
        <v/>
      </c>
      <c r="K38" s="39"/>
      <c r="L38" s="39"/>
      <c r="M38" s="39"/>
      <c r="N38" s="39"/>
      <c r="O38" s="39"/>
      <c r="P38" s="39"/>
      <c r="Q38" s="39"/>
      <c r="R38" s="39"/>
      <c r="S38" s="10">
        <f t="shared" si="3"/>
        <v>0</v>
      </c>
      <c r="T38" s="10">
        <v>100000</v>
      </c>
      <c r="U38" s="10">
        <f t="shared" si="5"/>
        <v>0</v>
      </c>
      <c r="V38" s="4"/>
      <c r="W38" s="4"/>
      <c r="X38" s="4"/>
      <c r="Y38" s="4"/>
      <c r="Z38" s="44" t="s">
        <v>39</v>
      </c>
    </row>
    <row r="39" spans="2:26" ht="18.75" hidden="1">
      <c r="B39" s="82"/>
      <c r="C39" s="60"/>
      <c r="D39" s="52"/>
      <c r="E39" s="63"/>
      <c r="F39" s="8">
        <v>0.25</v>
      </c>
      <c r="G39" s="67"/>
      <c r="H39" s="68"/>
      <c r="I39" s="35"/>
      <c r="J39" s="9" t="str">
        <f t="shared" si="2"/>
        <v/>
      </c>
      <c r="K39" s="39"/>
      <c r="L39" s="39"/>
      <c r="M39" s="39"/>
      <c r="N39" s="39"/>
      <c r="O39" s="39"/>
      <c r="P39" s="39"/>
      <c r="Q39" s="39"/>
      <c r="R39" s="39"/>
      <c r="S39" s="10">
        <f t="shared" si="3"/>
        <v>0</v>
      </c>
      <c r="T39" s="10">
        <v>100000</v>
      </c>
      <c r="U39" s="10">
        <f t="shared" si="5"/>
        <v>0</v>
      </c>
      <c r="V39" s="4"/>
      <c r="Y39" s="4"/>
      <c r="Z39" s="44" t="s">
        <v>57</v>
      </c>
    </row>
    <row r="40" spans="2:26" ht="18.75" hidden="1">
      <c r="B40" s="83"/>
      <c r="C40" s="60"/>
      <c r="D40" s="53"/>
      <c r="E40" s="64"/>
      <c r="F40" s="12">
        <v>0.33333333333333331</v>
      </c>
      <c r="G40" s="67"/>
      <c r="H40" s="68"/>
      <c r="I40" s="36"/>
      <c r="J40" s="9" t="str">
        <f t="shared" si="2"/>
        <v/>
      </c>
      <c r="K40" s="41"/>
      <c r="L40" s="41"/>
      <c r="M40" s="41"/>
      <c r="N40" s="41"/>
      <c r="O40" s="41"/>
      <c r="P40" s="41"/>
      <c r="Q40" s="41"/>
      <c r="R40" s="41"/>
      <c r="S40" s="13">
        <f t="shared" si="3"/>
        <v>0</v>
      </c>
      <c r="T40" s="13">
        <v>100000</v>
      </c>
      <c r="U40" s="13">
        <f t="shared" si="5"/>
        <v>0</v>
      </c>
      <c r="V40" s="4"/>
      <c r="W40" s="4"/>
      <c r="X40" s="4"/>
      <c r="Y40" s="4"/>
      <c r="Z40" s="44" t="s">
        <v>58</v>
      </c>
    </row>
    <row r="41" spans="2:26" ht="18.600000000000001" hidden="1" customHeight="1">
      <c r="B41" s="82">
        <v>46084</v>
      </c>
      <c r="C41" s="59" t="s">
        <v>15</v>
      </c>
      <c r="D41" s="51"/>
      <c r="E41" s="62" t="s">
        <v>101</v>
      </c>
      <c r="F41" s="5">
        <v>0.41666666666666669</v>
      </c>
      <c r="G41" s="65"/>
      <c r="H41" s="66"/>
      <c r="I41" s="34"/>
      <c r="J41" s="6" t="str">
        <f t="shared" si="2"/>
        <v/>
      </c>
      <c r="K41" s="38"/>
      <c r="L41" s="38"/>
      <c r="M41" s="38"/>
      <c r="N41" s="38"/>
      <c r="O41" s="38"/>
      <c r="P41" s="38"/>
      <c r="Q41" s="38"/>
      <c r="R41" s="38"/>
      <c r="S41" s="7">
        <f>SUM(K41:R41)</f>
        <v>0</v>
      </c>
      <c r="T41" s="7">
        <v>100000</v>
      </c>
      <c r="U41" s="7">
        <f>T41*S41</f>
        <v>0</v>
      </c>
      <c r="V41" s="4"/>
      <c r="W41" s="4"/>
      <c r="X41" s="4"/>
      <c r="Y41" s="4"/>
      <c r="Z41" s="44" t="s">
        <v>59</v>
      </c>
    </row>
    <row r="42" spans="2:26" ht="18.75" hidden="1">
      <c r="B42" s="82"/>
      <c r="C42" s="60"/>
      <c r="D42" s="52"/>
      <c r="E42" s="63"/>
      <c r="F42" s="8">
        <v>0.5</v>
      </c>
      <c r="G42" s="67"/>
      <c r="H42" s="68"/>
      <c r="I42" s="35"/>
      <c r="J42" s="9" t="str">
        <f t="shared" si="2"/>
        <v/>
      </c>
      <c r="K42" s="39"/>
      <c r="L42" s="39"/>
      <c r="M42" s="39"/>
      <c r="N42" s="39"/>
      <c r="O42" s="39"/>
      <c r="P42" s="39"/>
      <c r="Q42" s="39"/>
      <c r="R42" s="39"/>
      <c r="S42" s="10">
        <f t="shared" ref="S42:S52" si="6">SUM(K42:R42)</f>
        <v>0</v>
      </c>
      <c r="T42" s="10">
        <v>100000</v>
      </c>
      <c r="U42" s="10">
        <f t="shared" ref="U42:U43" si="7">T42*S42</f>
        <v>0</v>
      </c>
      <c r="V42" s="4"/>
      <c r="W42" s="4"/>
      <c r="X42" s="4"/>
      <c r="Y42" s="4"/>
      <c r="Z42" s="44" t="s">
        <v>60</v>
      </c>
    </row>
    <row r="43" spans="2:26" ht="18.75" hidden="1">
      <c r="B43" s="82"/>
      <c r="C43" s="60"/>
      <c r="D43" s="52"/>
      <c r="E43" s="63"/>
      <c r="F43" s="8">
        <v>0.58333333333333337</v>
      </c>
      <c r="G43" s="67"/>
      <c r="H43" s="68"/>
      <c r="I43" s="35"/>
      <c r="J43" s="9" t="str">
        <f t="shared" si="2"/>
        <v/>
      </c>
      <c r="K43" s="39"/>
      <c r="L43" s="39"/>
      <c r="M43" s="39"/>
      <c r="N43" s="39"/>
      <c r="O43" s="39"/>
      <c r="P43" s="39"/>
      <c r="Q43" s="39"/>
      <c r="R43" s="39"/>
      <c r="S43" s="10">
        <f t="shared" si="6"/>
        <v>0</v>
      </c>
      <c r="T43" s="10">
        <v>100000</v>
      </c>
      <c r="U43" s="10">
        <f t="shared" si="7"/>
        <v>0</v>
      </c>
      <c r="V43" s="4"/>
      <c r="W43" s="4"/>
      <c r="X43" s="4"/>
      <c r="Y43" s="4"/>
      <c r="Z43" s="44" t="s">
        <v>42</v>
      </c>
    </row>
    <row r="44" spans="2:26" ht="18.75" hidden="1">
      <c r="B44" s="82"/>
      <c r="C44" s="60"/>
      <c r="D44" s="52"/>
      <c r="E44" s="63"/>
      <c r="F44" s="8">
        <v>0.66666666666666663</v>
      </c>
      <c r="G44" s="67"/>
      <c r="H44" s="68"/>
      <c r="I44" s="35"/>
      <c r="J44" s="9" t="str">
        <f t="shared" si="2"/>
        <v/>
      </c>
      <c r="K44" s="39"/>
      <c r="L44" s="39"/>
      <c r="M44" s="39"/>
      <c r="N44" s="39"/>
      <c r="O44" s="39"/>
      <c r="P44" s="39"/>
      <c r="Q44" s="39"/>
      <c r="R44" s="39"/>
      <c r="S44" s="10">
        <f t="shared" si="6"/>
        <v>0</v>
      </c>
      <c r="T44" s="10">
        <v>100000</v>
      </c>
      <c r="U44" s="10">
        <f>T44*S44</f>
        <v>0</v>
      </c>
      <c r="V44" s="4"/>
      <c r="W44" s="4"/>
      <c r="X44" s="4"/>
      <c r="Y44" s="4"/>
      <c r="Z44" s="44" t="s">
        <v>43</v>
      </c>
    </row>
    <row r="45" spans="2:26" ht="18.75" hidden="1">
      <c r="B45" s="82"/>
      <c r="C45" s="60"/>
      <c r="D45" s="52"/>
      <c r="E45" s="63"/>
      <c r="F45" s="8">
        <v>0.75</v>
      </c>
      <c r="G45" s="67"/>
      <c r="H45" s="68"/>
      <c r="I45" s="35"/>
      <c r="J45" s="9" t="str">
        <f t="shared" si="2"/>
        <v/>
      </c>
      <c r="K45" s="39"/>
      <c r="L45" s="39"/>
      <c r="M45" s="39"/>
      <c r="N45" s="39"/>
      <c r="O45" s="39"/>
      <c r="P45" s="39"/>
      <c r="Q45" s="39"/>
      <c r="R45" s="39"/>
      <c r="S45" s="10">
        <f t="shared" si="6"/>
        <v>0</v>
      </c>
      <c r="T45" s="10">
        <v>100000</v>
      </c>
      <c r="U45" s="10">
        <f t="shared" ref="U45:U52" si="8">T45*S45</f>
        <v>0</v>
      </c>
      <c r="V45" s="4"/>
      <c r="W45" s="4"/>
      <c r="X45" s="11"/>
      <c r="Y45" s="4"/>
      <c r="Z45" s="45"/>
    </row>
    <row r="46" spans="2:26" ht="18.75" hidden="1">
      <c r="B46" s="82"/>
      <c r="C46" s="60"/>
      <c r="D46" s="53"/>
      <c r="E46" s="64"/>
      <c r="F46" s="12">
        <v>0.83333333333333337</v>
      </c>
      <c r="G46" s="67"/>
      <c r="H46" s="68"/>
      <c r="I46" s="36"/>
      <c r="J46" s="9" t="str">
        <f t="shared" si="2"/>
        <v/>
      </c>
      <c r="K46" s="41"/>
      <c r="L46" s="41"/>
      <c r="M46" s="41"/>
      <c r="N46" s="41"/>
      <c r="O46" s="41"/>
      <c r="P46" s="41"/>
      <c r="Q46" s="41"/>
      <c r="R46" s="41"/>
      <c r="S46" s="13">
        <f t="shared" si="6"/>
        <v>0</v>
      </c>
      <c r="T46" s="13">
        <v>100000</v>
      </c>
      <c r="U46" s="13">
        <f t="shared" si="8"/>
        <v>0</v>
      </c>
      <c r="V46" s="4"/>
      <c r="Y46" s="4"/>
      <c r="Z46" s="45"/>
    </row>
    <row r="47" spans="2:26" ht="18.75" hidden="1">
      <c r="B47" s="82"/>
      <c r="C47" s="60"/>
      <c r="D47" s="51" t="s">
        <v>57</v>
      </c>
      <c r="E47" s="62" t="s">
        <v>102</v>
      </c>
      <c r="F47" s="5">
        <v>0.91666666666666663</v>
      </c>
      <c r="G47" s="65" t="s">
        <v>84</v>
      </c>
      <c r="H47" s="66"/>
      <c r="I47" s="34">
        <v>64</v>
      </c>
      <c r="J47" s="6">
        <f t="shared" si="2"/>
        <v>1.5625E-2</v>
      </c>
      <c r="K47" s="38">
        <v>1</v>
      </c>
      <c r="L47" s="38"/>
      <c r="M47" s="38"/>
      <c r="N47" s="38"/>
      <c r="O47" s="38"/>
      <c r="P47" s="38"/>
      <c r="Q47" s="38"/>
      <c r="R47" s="38"/>
      <c r="S47" s="7">
        <f t="shared" si="6"/>
        <v>1</v>
      </c>
      <c r="T47" s="7">
        <v>100000</v>
      </c>
      <c r="U47" s="7">
        <f t="shared" si="8"/>
        <v>100000</v>
      </c>
      <c r="V47" s="4"/>
      <c r="Y47" s="4"/>
      <c r="Z47" s="45"/>
    </row>
    <row r="48" spans="2:26" ht="18.75" hidden="1">
      <c r="B48" s="82"/>
      <c r="C48" s="60"/>
      <c r="D48" s="52" t="s">
        <v>57</v>
      </c>
      <c r="E48" s="63"/>
      <c r="F48" s="8">
        <v>1</v>
      </c>
      <c r="G48" s="67" t="s">
        <v>84</v>
      </c>
      <c r="H48" s="68"/>
      <c r="I48" s="35">
        <v>64</v>
      </c>
      <c r="J48" s="9">
        <f t="shared" si="2"/>
        <v>1.5625E-2</v>
      </c>
      <c r="K48" s="39"/>
      <c r="L48" s="39"/>
      <c r="M48" s="39">
        <v>1</v>
      </c>
      <c r="N48" s="39"/>
      <c r="O48" s="39"/>
      <c r="P48" s="39"/>
      <c r="Q48" s="39"/>
      <c r="R48" s="39"/>
      <c r="S48" s="10">
        <f t="shared" si="6"/>
        <v>1</v>
      </c>
      <c r="T48" s="10">
        <v>100000</v>
      </c>
      <c r="U48" s="10">
        <f t="shared" si="8"/>
        <v>100000</v>
      </c>
      <c r="V48" s="4"/>
      <c r="Y48" s="4"/>
      <c r="Z48" s="45"/>
    </row>
    <row r="49" spans="2:26" ht="18.75" hidden="1">
      <c r="B49" s="82"/>
      <c r="C49" s="60"/>
      <c r="D49" s="52" t="s">
        <v>57</v>
      </c>
      <c r="E49" s="63"/>
      <c r="F49" s="8">
        <v>8.3333333333333329E-2</v>
      </c>
      <c r="G49" s="67" t="s">
        <v>84</v>
      </c>
      <c r="H49" s="68"/>
      <c r="I49" s="35">
        <v>64</v>
      </c>
      <c r="J49" s="9">
        <f t="shared" si="2"/>
        <v>1.5625E-2</v>
      </c>
      <c r="K49" s="39"/>
      <c r="L49" s="39"/>
      <c r="M49" s="39">
        <v>1</v>
      </c>
      <c r="N49" s="39"/>
      <c r="O49" s="39"/>
      <c r="P49" s="39"/>
      <c r="Q49" s="39"/>
      <c r="R49" s="39"/>
      <c r="S49" s="10">
        <f t="shared" si="6"/>
        <v>1</v>
      </c>
      <c r="T49" s="10">
        <v>100000</v>
      </c>
      <c r="U49" s="10">
        <f t="shared" si="8"/>
        <v>100000</v>
      </c>
      <c r="V49" s="4"/>
      <c r="Y49" s="4"/>
      <c r="Z49" s="45"/>
    </row>
    <row r="50" spans="2:26" ht="18.75" hidden="1">
      <c r="B50" s="82"/>
      <c r="C50" s="60"/>
      <c r="D50" s="52" t="s">
        <v>57</v>
      </c>
      <c r="E50" s="63"/>
      <c r="F50" s="8">
        <v>0.16666666666666666</v>
      </c>
      <c r="G50" s="67" t="s">
        <v>84</v>
      </c>
      <c r="H50" s="68"/>
      <c r="I50" s="35">
        <v>64</v>
      </c>
      <c r="J50" s="9">
        <f t="shared" si="2"/>
        <v>1.5625E-2</v>
      </c>
      <c r="K50" s="39"/>
      <c r="L50" s="39"/>
      <c r="M50" s="39">
        <v>1</v>
      </c>
      <c r="N50" s="39"/>
      <c r="O50" s="39"/>
      <c r="P50" s="39"/>
      <c r="Q50" s="39"/>
      <c r="R50" s="39"/>
      <c r="S50" s="10">
        <f t="shared" si="6"/>
        <v>1</v>
      </c>
      <c r="T50" s="10">
        <v>100000</v>
      </c>
      <c r="U50" s="10">
        <f t="shared" si="8"/>
        <v>100000</v>
      </c>
      <c r="V50" s="4"/>
      <c r="W50" s="4"/>
      <c r="X50" s="4"/>
      <c r="Y50" s="4"/>
      <c r="Z50" s="45"/>
    </row>
    <row r="51" spans="2:26" ht="18.75" hidden="1">
      <c r="B51" s="82"/>
      <c r="C51" s="60"/>
      <c r="D51" s="52" t="s">
        <v>57</v>
      </c>
      <c r="E51" s="63"/>
      <c r="F51" s="8">
        <v>0.25</v>
      </c>
      <c r="G51" s="67" t="s">
        <v>84</v>
      </c>
      <c r="H51" s="68"/>
      <c r="I51" s="35">
        <v>64</v>
      </c>
      <c r="J51" s="9">
        <f t="shared" si="2"/>
        <v>1.5625E-2</v>
      </c>
      <c r="K51" s="39"/>
      <c r="L51" s="39"/>
      <c r="M51" s="39">
        <v>1</v>
      </c>
      <c r="N51" s="39"/>
      <c r="O51" s="39"/>
      <c r="P51" s="39"/>
      <c r="Q51" s="39"/>
      <c r="R51" s="39"/>
      <c r="S51" s="10">
        <f t="shared" si="6"/>
        <v>1</v>
      </c>
      <c r="T51" s="10">
        <v>100000</v>
      </c>
      <c r="U51" s="10">
        <f t="shared" si="8"/>
        <v>100000</v>
      </c>
      <c r="V51" s="4"/>
      <c r="Y51" s="4"/>
      <c r="Z51" s="45"/>
    </row>
    <row r="52" spans="2:26" ht="18.75" hidden="1">
      <c r="B52" s="82"/>
      <c r="C52" s="60"/>
      <c r="D52" s="53" t="s">
        <v>57</v>
      </c>
      <c r="E52" s="64"/>
      <c r="F52" s="12">
        <v>0.33333333333333331</v>
      </c>
      <c r="G52" s="67" t="s">
        <v>84</v>
      </c>
      <c r="H52" s="68"/>
      <c r="I52" s="36">
        <v>64</v>
      </c>
      <c r="J52" s="9">
        <f t="shared" si="2"/>
        <v>1.5625E-2</v>
      </c>
      <c r="K52" s="41">
        <v>1</v>
      </c>
      <c r="L52" s="41"/>
      <c r="M52" s="41"/>
      <c r="N52" s="41"/>
      <c r="O52" s="41"/>
      <c r="P52" s="41"/>
      <c r="Q52" s="41"/>
      <c r="R52" s="41"/>
      <c r="S52" s="13">
        <f t="shared" si="6"/>
        <v>1</v>
      </c>
      <c r="T52" s="13">
        <v>100000</v>
      </c>
      <c r="U52" s="13">
        <f t="shared" si="8"/>
        <v>100000</v>
      </c>
      <c r="V52" s="4"/>
      <c r="W52" s="4"/>
      <c r="X52" s="4"/>
      <c r="Y52" s="4"/>
      <c r="Z52" s="45"/>
    </row>
    <row r="53" spans="2:26" ht="16.5" hidden="1" customHeight="1">
      <c r="B53" s="58">
        <v>46085</v>
      </c>
      <c r="C53" s="59" t="s">
        <v>15</v>
      </c>
      <c r="D53" s="51" t="s">
        <v>57</v>
      </c>
      <c r="E53" s="62" t="s">
        <v>101</v>
      </c>
      <c r="F53" s="5">
        <v>0.41666666666666669</v>
      </c>
      <c r="G53" s="65" t="s">
        <v>76</v>
      </c>
      <c r="H53" s="66"/>
      <c r="I53" s="34">
        <v>35</v>
      </c>
      <c r="J53" s="6">
        <f t="shared" si="2"/>
        <v>0.34285714285714286</v>
      </c>
      <c r="K53" s="38"/>
      <c r="L53" s="38"/>
      <c r="M53" s="38">
        <v>7</v>
      </c>
      <c r="N53" s="38"/>
      <c r="O53" s="38"/>
      <c r="P53" s="38"/>
      <c r="Q53" s="38">
        <v>5</v>
      </c>
      <c r="R53" s="38"/>
      <c r="S53" s="7">
        <f>SUM(K53:R53)</f>
        <v>12</v>
      </c>
      <c r="T53" s="7">
        <v>100000</v>
      </c>
      <c r="U53" s="7">
        <f>T53*S53</f>
        <v>1200000</v>
      </c>
      <c r="V53" s="4"/>
      <c r="W53" s="4"/>
      <c r="X53" s="4"/>
      <c r="Y53" s="4"/>
      <c r="Z53" s="45"/>
    </row>
    <row r="54" spans="2:26" ht="18.75" hidden="1">
      <c r="B54" s="58"/>
      <c r="C54" s="60"/>
      <c r="D54" s="52" t="s">
        <v>57</v>
      </c>
      <c r="E54" s="63"/>
      <c r="F54" s="8">
        <v>0.5</v>
      </c>
      <c r="G54" s="67" t="s">
        <v>76</v>
      </c>
      <c r="H54" s="68"/>
      <c r="I54" s="35">
        <v>30</v>
      </c>
      <c r="J54" s="9">
        <f t="shared" si="2"/>
        <v>6.6666666666666666E-2</v>
      </c>
      <c r="K54" s="39"/>
      <c r="L54" s="39"/>
      <c r="M54" s="39">
        <v>2</v>
      </c>
      <c r="N54" s="39"/>
      <c r="O54" s="39"/>
      <c r="P54" s="39"/>
      <c r="Q54" s="39"/>
      <c r="R54" s="39"/>
      <c r="S54" s="10">
        <f t="shared" ref="S54:S64" si="9">SUM(K54:R54)</f>
        <v>2</v>
      </c>
      <c r="T54" s="10">
        <v>100000</v>
      </c>
      <c r="U54" s="10">
        <f t="shared" ref="U54:U55" si="10">T54*S54</f>
        <v>200000</v>
      </c>
      <c r="V54" s="4"/>
      <c r="W54" s="4"/>
      <c r="X54" s="4"/>
      <c r="Y54" s="4"/>
      <c r="Z54" s="45"/>
    </row>
    <row r="55" spans="2:26" ht="18.75" hidden="1">
      <c r="B55" s="58"/>
      <c r="C55" s="60"/>
      <c r="D55" s="52" t="s">
        <v>57</v>
      </c>
      <c r="E55" s="63"/>
      <c r="F55" s="8">
        <v>0.58333333333333337</v>
      </c>
      <c r="G55" s="67" t="s">
        <v>76</v>
      </c>
      <c r="H55" s="68"/>
      <c r="I55" s="35">
        <v>65</v>
      </c>
      <c r="J55" s="9">
        <f t="shared" si="2"/>
        <v>4.6153846153846156E-2</v>
      </c>
      <c r="K55" s="39"/>
      <c r="L55" s="39"/>
      <c r="M55" s="39"/>
      <c r="N55" s="39"/>
      <c r="O55" s="39"/>
      <c r="P55" s="39"/>
      <c r="Q55" s="39">
        <v>3</v>
      </c>
      <c r="R55" s="39"/>
      <c r="S55" s="10">
        <f t="shared" si="9"/>
        <v>3</v>
      </c>
      <c r="T55" s="10">
        <v>100000</v>
      </c>
      <c r="U55" s="10">
        <f t="shared" si="10"/>
        <v>300000</v>
      </c>
      <c r="V55" s="4"/>
      <c r="W55" s="4"/>
      <c r="X55" s="4"/>
      <c r="Y55" s="4"/>
      <c r="Z55" s="45"/>
    </row>
    <row r="56" spans="2:26" ht="18.75" hidden="1">
      <c r="B56" s="58"/>
      <c r="C56" s="60"/>
      <c r="D56" s="52" t="s">
        <v>57</v>
      </c>
      <c r="E56" s="63"/>
      <c r="F56" s="8">
        <v>0.66666666666666663</v>
      </c>
      <c r="G56" s="67" t="s">
        <v>76</v>
      </c>
      <c r="H56" s="68"/>
      <c r="I56" s="35">
        <v>60</v>
      </c>
      <c r="J56" s="9">
        <f t="shared" si="2"/>
        <v>1.6666666666666666E-2</v>
      </c>
      <c r="K56" s="39"/>
      <c r="L56" s="39"/>
      <c r="M56" s="39">
        <v>1</v>
      </c>
      <c r="N56" s="39"/>
      <c r="O56" s="39"/>
      <c r="P56" s="39"/>
      <c r="Q56" s="39"/>
      <c r="R56" s="39"/>
      <c r="S56" s="10">
        <f t="shared" si="9"/>
        <v>1</v>
      </c>
      <c r="T56" s="10">
        <v>100000</v>
      </c>
      <c r="U56" s="10">
        <f>T56*S56</f>
        <v>100000</v>
      </c>
      <c r="V56" s="4"/>
      <c r="W56" s="4"/>
      <c r="X56" s="4"/>
      <c r="Y56" s="4"/>
      <c r="Z56" s="45"/>
    </row>
    <row r="57" spans="2:26" ht="18.75" hidden="1">
      <c r="B57" s="58"/>
      <c r="C57" s="60"/>
      <c r="D57" s="52" t="s">
        <v>57</v>
      </c>
      <c r="E57" s="63"/>
      <c r="F57" s="8">
        <v>0.75</v>
      </c>
      <c r="G57" s="67" t="s">
        <v>76</v>
      </c>
      <c r="H57" s="68"/>
      <c r="I57" s="35">
        <v>40</v>
      </c>
      <c r="J57" s="9">
        <f t="shared" si="2"/>
        <v>0.05</v>
      </c>
      <c r="K57" s="39"/>
      <c r="L57" s="39"/>
      <c r="M57" s="39"/>
      <c r="N57" s="39"/>
      <c r="O57" s="39"/>
      <c r="P57" s="39"/>
      <c r="Q57" s="39">
        <v>2</v>
      </c>
      <c r="R57" s="39"/>
      <c r="S57" s="10">
        <f t="shared" si="9"/>
        <v>2</v>
      </c>
      <c r="T57" s="10">
        <v>100000</v>
      </c>
      <c r="U57" s="10">
        <f t="shared" ref="U57:U64" si="11">T57*S57</f>
        <v>200000</v>
      </c>
      <c r="V57" s="4"/>
      <c r="W57" s="4"/>
      <c r="X57" s="11"/>
      <c r="Y57" s="4"/>
      <c r="Z57" s="45"/>
    </row>
    <row r="58" spans="2:26" ht="18.75" hidden="1">
      <c r="B58" s="58"/>
      <c r="C58" s="60"/>
      <c r="D58" s="53" t="s">
        <v>57</v>
      </c>
      <c r="E58" s="64"/>
      <c r="F58" s="12">
        <v>0.83333333333333337</v>
      </c>
      <c r="G58" s="67" t="s">
        <v>76</v>
      </c>
      <c r="H58" s="68"/>
      <c r="I58" s="36">
        <v>58</v>
      </c>
      <c r="J58" s="9">
        <f t="shared" si="2"/>
        <v>3.4482758620689655E-2</v>
      </c>
      <c r="K58" s="41"/>
      <c r="L58" s="41"/>
      <c r="M58" s="41"/>
      <c r="N58" s="41"/>
      <c r="O58" s="41"/>
      <c r="P58" s="41"/>
      <c r="Q58" s="41">
        <v>2</v>
      </c>
      <c r="R58" s="41"/>
      <c r="S58" s="13">
        <f t="shared" si="9"/>
        <v>2</v>
      </c>
      <c r="T58" s="13">
        <v>100000</v>
      </c>
      <c r="U58" s="13">
        <f t="shared" si="11"/>
        <v>200000</v>
      </c>
      <c r="V58" s="4"/>
      <c r="Y58" s="4"/>
      <c r="Z58" s="45"/>
    </row>
    <row r="59" spans="2:26" ht="18.75" hidden="1">
      <c r="B59" s="58"/>
      <c r="C59" s="60"/>
      <c r="D59" s="51" t="s">
        <v>57</v>
      </c>
      <c r="E59" s="62" t="s">
        <v>102</v>
      </c>
      <c r="F59" s="5">
        <v>0.91666666666666663</v>
      </c>
      <c r="G59" s="65" t="s">
        <v>86</v>
      </c>
      <c r="H59" s="66"/>
      <c r="I59" s="34">
        <v>64</v>
      </c>
      <c r="J59" s="6">
        <f t="shared" si="2"/>
        <v>1.5625E-2</v>
      </c>
      <c r="K59" s="38"/>
      <c r="L59" s="38"/>
      <c r="M59" s="38">
        <v>1</v>
      </c>
      <c r="N59" s="38"/>
      <c r="O59" s="38"/>
      <c r="P59" s="38"/>
      <c r="Q59" s="38"/>
      <c r="R59" s="38"/>
      <c r="S59" s="7">
        <f t="shared" si="9"/>
        <v>1</v>
      </c>
      <c r="T59" s="7">
        <v>100000</v>
      </c>
      <c r="U59" s="7">
        <f t="shared" si="11"/>
        <v>100000</v>
      </c>
      <c r="V59" s="4"/>
      <c r="Y59" s="4"/>
      <c r="Z59" s="45"/>
    </row>
    <row r="60" spans="2:26" ht="18.75" hidden="1">
      <c r="B60" s="58"/>
      <c r="C60" s="60"/>
      <c r="D60" s="52" t="s">
        <v>57</v>
      </c>
      <c r="E60" s="63"/>
      <c r="F60" s="8">
        <v>1</v>
      </c>
      <c r="G60" s="67" t="s">
        <v>86</v>
      </c>
      <c r="H60" s="68"/>
      <c r="I60" s="35">
        <v>64</v>
      </c>
      <c r="J60" s="9">
        <f t="shared" si="2"/>
        <v>0</v>
      </c>
      <c r="K60" s="39"/>
      <c r="L60" s="39"/>
      <c r="M60" s="39"/>
      <c r="N60" s="39"/>
      <c r="O60" s="39"/>
      <c r="P60" s="39"/>
      <c r="Q60" s="39"/>
      <c r="R60" s="39"/>
      <c r="S60" s="10">
        <f t="shared" si="9"/>
        <v>0</v>
      </c>
      <c r="T60" s="10">
        <v>100000</v>
      </c>
      <c r="U60" s="10">
        <f t="shared" si="11"/>
        <v>0</v>
      </c>
      <c r="V60" s="4"/>
      <c r="Y60" s="4"/>
      <c r="Z60" s="45"/>
    </row>
    <row r="61" spans="2:26" ht="18.75" hidden="1">
      <c r="B61" s="58"/>
      <c r="C61" s="60"/>
      <c r="D61" s="52" t="s">
        <v>57</v>
      </c>
      <c r="E61" s="63"/>
      <c r="F61" s="8">
        <v>8.3333333333333329E-2</v>
      </c>
      <c r="G61" s="67" t="s">
        <v>86</v>
      </c>
      <c r="H61" s="68"/>
      <c r="I61" s="35">
        <v>64</v>
      </c>
      <c r="J61" s="9">
        <f t="shared" si="2"/>
        <v>0</v>
      </c>
      <c r="K61" s="39"/>
      <c r="L61" s="39"/>
      <c r="M61" s="39"/>
      <c r="N61" s="39"/>
      <c r="O61" s="39"/>
      <c r="P61" s="39"/>
      <c r="Q61" s="39"/>
      <c r="R61" s="39"/>
      <c r="S61" s="10">
        <f t="shared" si="9"/>
        <v>0</v>
      </c>
      <c r="T61" s="10">
        <v>100000</v>
      </c>
      <c r="U61" s="10">
        <f t="shared" si="11"/>
        <v>0</v>
      </c>
      <c r="V61" s="4"/>
      <c r="Y61" s="4"/>
      <c r="Z61" s="46"/>
    </row>
    <row r="62" spans="2:26" ht="18.75" hidden="1">
      <c r="B62" s="58"/>
      <c r="C62" s="60"/>
      <c r="D62" s="52" t="s">
        <v>57</v>
      </c>
      <c r="E62" s="63"/>
      <c r="F62" s="8">
        <v>0.16666666666666666</v>
      </c>
      <c r="G62" s="67" t="s">
        <v>86</v>
      </c>
      <c r="H62" s="68"/>
      <c r="I62" s="35">
        <v>64</v>
      </c>
      <c r="J62" s="9">
        <f t="shared" si="2"/>
        <v>0</v>
      </c>
      <c r="K62" s="39"/>
      <c r="L62" s="39"/>
      <c r="M62" s="39"/>
      <c r="N62" s="39"/>
      <c r="O62" s="39"/>
      <c r="P62" s="39"/>
      <c r="Q62" s="39"/>
      <c r="R62" s="39"/>
      <c r="S62" s="10">
        <f t="shared" si="9"/>
        <v>0</v>
      </c>
      <c r="T62" s="10">
        <v>100000</v>
      </c>
      <c r="U62" s="10">
        <f t="shared" si="11"/>
        <v>0</v>
      </c>
      <c r="V62" s="4"/>
      <c r="W62" s="4"/>
      <c r="X62" s="4"/>
      <c r="Y62" s="4"/>
    </row>
    <row r="63" spans="2:26" ht="18.75" hidden="1">
      <c r="B63" s="58"/>
      <c r="C63" s="60"/>
      <c r="D63" s="52" t="s">
        <v>57</v>
      </c>
      <c r="E63" s="63"/>
      <c r="F63" s="8">
        <v>0.25</v>
      </c>
      <c r="G63" s="67" t="s">
        <v>86</v>
      </c>
      <c r="H63" s="68"/>
      <c r="I63" s="35">
        <v>64</v>
      </c>
      <c r="J63" s="9">
        <f t="shared" si="2"/>
        <v>0</v>
      </c>
      <c r="K63" s="39"/>
      <c r="L63" s="39"/>
      <c r="M63" s="39"/>
      <c r="N63" s="39"/>
      <c r="O63" s="39"/>
      <c r="P63" s="39"/>
      <c r="Q63" s="39"/>
      <c r="R63" s="39"/>
      <c r="S63" s="10">
        <f t="shared" si="9"/>
        <v>0</v>
      </c>
      <c r="T63" s="10">
        <v>100000</v>
      </c>
      <c r="U63" s="10">
        <f t="shared" si="11"/>
        <v>0</v>
      </c>
      <c r="V63" s="4"/>
      <c r="Y63" s="4"/>
    </row>
    <row r="64" spans="2:26" ht="18.75" hidden="1">
      <c r="B64" s="58"/>
      <c r="C64" s="60"/>
      <c r="D64" s="53" t="s">
        <v>57</v>
      </c>
      <c r="E64" s="64"/>
      <c r="F64" s="14">
        <v>0.33333333333333331</v>
      </c>
      <c r="G64" s="67" t="s">
        <v>86</v>
      </c>
      <c r="H64" s="68"/>
      <c r="I64" s="37">
        <v>64</v>
      </c>
      <c r="J64" s="9">
        <f t="shared" si="2"/>
        <v>0</v>
      </c>
      <c r="K64" s="40"/>
      <c r="L64" s="40"/>
      <c r="M64" s="40"/>
      <c r="N64" s="40"/>
      <c r="O64" s="40"/>
      <c r="P64" s="40"/>
      <c r="Q64" s="40"/>
      <c r="R64" s="40"/>
      <c r="S64" s="16">
        <f t="shared" si="9"/>
        <v>0</v>
      </c>
      <c r="T64" s="16">
        <v>100000</v>
      </c>
      <c r="U64" s="16">
        <f t="shared" si="11"/>
        <v>0</v>
      </c>
      <c r="V64" s="4"/>
      <c r="W64" s="4"/>
      <c r="X64" s="4"/>
      <c r="Y64" s="4"/>
    </row>
    <row r="65" spans="2:25" ht="16.5" hidden="1" customHeight="1">
      <c r="B65" s="58">
        <v>46086</v>
      </c>
      <c r="C65" s="59" t="s">
        <v>15</v>
      </c>
      <c r="D65" s="51" t="s">
        <v>57</v>
      </c>
      <c r="E65" s="62" t="s">
        <v>101</v>
      </c>
      <c r="F65" s="5">
        <v>0.41666666666666669</v>
      </c>
      <c r="G65" s="65" t="s">
        <v>74</v>
      </c>
      <c r="H65" s="66"/>
      <c r="I65" s="34">
        <v>65</v>
      </c>
      <c r="J65" s="6">
        <f t="shared" si="2"/>
        <v>3.0769230769230771E-2</v>
      </c>
      <c r="K65" s="38"/>
      <c r="L65" s="38"/>
      <c r="M65" s="38"/>
      <c r="N65" s="38"/>
      <c r="O65" s="38"/>
      <c r="P65" s="38"/>
      <c r="Q65" s="38">
        <v>2</v>
      </c>
      <c r="R65" s="38"/>
      <c r="S65" s="7">
        <f>SUM(K65:R65)</f>
        <v>2</v>
      </c>
      <c r="T65" s="7">
        <v>100000</v>
      </c>
      <c r="U65" s="7">
        <f>T65*S65</f>
        <v>200000</v>
      </c>
      <c r="V65" s="4"/>
      <c r="W65" s="4"/>
      <c r="X65" s="4"/>
      <c r="Y65" s="4"/>
    </row>
    <row r="66" spans="2:25" ht="18.75" hidden="1">
      <c r="B66" s="58"/>
      <c r="C66" s="60"/>
      <c r="D66" s="52" t="s">
        <v>57</v>
      </c>
      <c r="E66" s="63"/>
      <c r="F66" s="8">
        <v>0.5</v>
      </c>
      <c r="G66" s="67" t="s">
        <v>74</v>
      </c>
      <c r="H66" s="68"/>
      <c r="I66" s="35">
        <v>30</v>
      </c>
      <c r="J66" s="9">
        <f t="shared" si="2"/>
        <v>0</v>
      </c>
      <c r="K66" s="39"/>
      <c r="L66" s="39"/>
      <c r="M66" s="39"/>
      <c r="N66" s="39"/>
      <c r="O66" s="39"/>
      <c r="P66" s="39"/>
      <c r="Q66" s="39"/>
      <c r="R66" s="39"/>
      <c r="S66" s="10">
        <f t="shared" ref="S66:S76" si="12">SUM(K66:R66)</f>
        <v>0</v>
      </c>
      <c r="T66" s="10">
        <v>100000</v>
      </c>
      <c r="U66" s="10">
        <f t="shared" ref="U66:U67" si="13">T66*S66</f>
        <v>0</v>
      </c>
      <c r="V66" s="4"/>
      <c r="W66" s="4"/>
      <c r="X66" s="4"/>
      <c r="Y66" s="4"/>
    </row>
    <row r="67" spans="2:25" ht="18.75" hidden="1">
      <c r="B67" s="58"/>
      <c r="C67" s="60"/>
      <c r="D67" s="52" t="s">
        <v>57</v>
      </c>
      <c r="E67" s="63"/>
      <c r="F67" s="8">
        <v>0.58333333333333337</v>
      </c>
      <c r="G67" s="67" t="s">
        <v>74</v>
      </c>
      <c r="H67" s="68"/>
      <c r="I67" s="35">
        <v>20</v>
      </c>
      <c r="J67" s="9">
        <f t="shared" si="2"/>
        <v>0.2</v>
      </c>
      <c r="K67" s="39"/>
      <c r="L67" s="39"/>
      <c r="M67" s="39">
        <v>4</v>
      </c>
      <c r="N67" s="39"/>
      <c r="O67" s="39"/>
      <c r="P67" s="39"/>
      <c r="Q67" s="39"/>
      <c r="R67" s="39"/>
      <c r="S67" s="10">
        <f t="shared" si="12"/>
        <v>4</v>
      </c>
      <c r="T67" s="10">
        <v>100000</v>
      </c>
      <c r="U67" s="10">
        <f t="shared" si="13"/>
        <v>400000</v>
      </c>
      <c r="V67" s="4"/>
      <c r="W67" s="4"/>
      <c r="X67" s="4"/>
      <c r="Y67" s="4"/>
    </row>
    <row r="68" spans="2:25" ht="18.75" hidden="1">
      <c r="B68" s="58"/>
      <c r="C68" s="60"/>
      <c r="D68" s="52" t="s">
        <v>57</v>
      </c>
      <c r="E68" s="63"/>
      <c r="F68" s="8">
        <v>0.66666666666666663</v>
      </c>
      <c r="G68" s="67" t="s">
        <v>74</v>
      </c>
      <c r="H68" s="68"/>
      <c r="I68" s="35">
        <v>60</v>
      </c>
      <c r="J68" s="9">
        <f t="shared" si="2"/>
        <v>1.6666666666666666E-2</v>
      </c>
      <c r="K68" s="39"/>
      <c r="L68" s="39"/>
      <c r="M68" s="39">
        <v>1</v>
      </c>
      <c r="N68" s="39"/>
      <c r="O68" s="39"/>
      <c r="P68" s="39"/>
      <c r="Q68" s="39"/>
      <c r="R68" s="39"/>
      <c r="S68" s="10">
        <f t="shared" si="12"/>
        <v>1</v>
      </c>
      <c r="T68" s="10">
        <v>100000</v>
      </c>
      <c r="U68" s="10">
        <f>T68*S68</f>
        <v>100000</v>
      </c>
      <c r="V68" s="4"/>
      <c r="W68" s="4"/>
      <c r="X68" s="4"/>
      <c r="Y68" s="4"/>
    </row>
    <row r="69" spans="2:25" ht="18.75" hidden="1">
      <c r="B69" s="58"/>
      <c r="C69" s="60"/>
      <c r="D69" s="52" t="s">
        <v>57</v>
      </c>
      <c r="E69" s="63"/>
      <c r="F69" s="8">
        <v>0.75</v>
      </c>
      <c r="G69" s="67" t="s">
        <v>74</v>
      </c>
      <c r="H69" s="68"/>
      <c r="I69" s="35">
        <v>45</v>
      </c>
      <c r="J69" s="9">
        <f t="shared" si="2"/>
        <v>0</v>
      </c>
      <c r="K69" s="39"/>
      <c r="L69" s="39"/>
      <c r="M69" s="39"/>
      <c r="N69" s="39"/>
      <c r="O69" s="39"/>
      <c r="P69" s="39"/>
      <c r="Q69" s="39"/>
      <c r="R69" s="39"/>
      <c r="S69" s="10">
        <f t="shared" si="12"/>
        <v>0</v>
      </c>
      <c r="T69" s="10">
        <v>100000</v>
      </c>
      <c r="U69" s="10">
        <f t="shared" ref="U69:U76" si="14">T69*S69</f>
        <v>0</v>
      </c>
      <c r="V69" s="4"/>
      <c r="W69" s="4"/>
      <c r="X69" s="11"/>
      <c r="Y69" s="4"/>
    </row>
    <row r="70" spans="2:25" ht="18.75" hidden="1">
      <c r="B70" s="58"/>
      <c r="C70" s="60"/>
      <c r="D70" s="53" t="s">
        <v>57</v>
      </c>
      <c r="E70" s="64"/>
      <c r="F70" s="12">
        <v>0.83333333333333337</v>
      </c>
      <c r="G70" s="67" t="s">
        <v>74</v>
      </c>
      <c r="H70" s="68"/>
      <c r="I70" s="36">
        <v>68</v>
      </c>
      <c r="J70" s="9">
        <f t="shared" si="2"/>
        <v>0</v>
      </c>
      <c r="K70" s="41"/>
      <c r="L70" s="41"/>
      <c r="M70" s="41"/>
      <c r="N70" s="41"/>
      <c r="O70" s="41"/>
      <c r="P70" s="41"/>
      <c r="Q70" s="41"/>
      <c r="R70" s="41"/>
      <c r="S70" s="13">
        <f t="shared" si="12"/>
        <v>0</v>
      </c>
      <c r="T70" s="13">
        <v>100000</v>
      </c>
      <c r="U70" s="13">
        <f t="shared" si="14"/>
        <v>0</v>
      </c>
      <c r="V70" s="4"/>
      <c r="Y70" s="4"/>
    </row>
    <row r="71" spans="2:25" ht="18.75" hidden="1">
      <c r="B71" s="58"/>
      <c r="C71" s="60"/>
      <c r="D71" s="51" t="s">
        <v>57</v>
      </c>
      <c r="E71" s="62" t="s">
        <v>102</v>
      </c>
      <c r="F71" s="5">
        <v>0.91666666666666663</v>
      </c>
      <c r="G71" s="65" t="s">
        <v>84</v>
      </c>
      <c r="H71" s="66"/>
      <c r="I71" s="34">
        <v>65</v>
      </c>
      <c r="J71" s="6">
        <f t="shared" si="2"/>
        <v>3.0769230769230771E-2</v>
      </c>
      <c r="K71" s="38">
        <v>2</v>
      </c>
      <c r="L71" s="38"/>
      <c r="M71" s="38"/>
      <c r="N71" s="38"/>
      <c r="O71" s="38"/>
      <c r="P71" s="38"/>
      <c r="Q71" s="38"/>
      <c r="R71" s="38"/>
      <c r="S71" s="7">
        <f t="shared" si="12"/>
        <v>2</v>
      </c>
      <c r="T71" s="7">
        <v>100000</v>
      </c>
      <c r="U71" s="7">
        <f t="shared" si="14"/>
        <v>200000</v>
      </c>
      <c r="V71" s="4"/>
      <c r="Y71" s="4"/>
    </row>
    <row r="72" spans="2:25" ht="18.75" hidden="1">
      <c r="B72" s="58"/>
      <c r="C72" s="60"/>
      <c r="D72" s="52" t="s">
        <v>57</v>
      </c>
      <c r="E72" s="63"/>
      <c r="F72" s="8">
        <v>1</v>
      </c>
      <c r="G72" s="67" t="s">
        <v>84</v>
      </c>
      <c r="H72" s="68"/>
      <c r="I72" s="35">
        <v>30</v>
      </c>
      <c r="J72" s="9">
        <f t="shared" si="2"/>
        <v>6.6666666666666666E-2</v>
      </c>
      <c r="K72" s="39"/>
      <c r="L72" s="39"/>
      <c r="M72" s="39">
        <v>2</v>
      </c>
      <c r="N72" s="39"/>
      <c r="O72" s="39"/>
      <c r="P72" s="39"/>
      <c r="Q72" s="39"/>
      <c r="R72" s="39"/>
      <c r="S72" s="10">
        <f t="shared" si="12"/>
        <v>2</v>
      </c>
      <c r="T72" s="10">
        <v>100000</v>
      </c>
      <c r="U72" s="10">
        <f t="shared" si="14"/>
        <v>200000</v>
      </c>
      <c r="V72" s="4"/>
      <c r="Y72" s="4"/>
    </row>
    <row r="73" spans="2:25" ht="18.75" hidden="1">
      <c r="B73" s="58"/>
      <c r="C73" s="60"/>
      <c r="D73" s="52" t="s">
        <v>57</v>
      </c>
      <c r="E73" s="63"/>
      <c r="F73" s="8">
        <v>8.3333333333333329E-2</v>
      </c>
      <c r="G73" s="67" t="s">
        <v>84</v>
      </c>
      <c r="H73" s="68"/>
      <c r="I73" s="35">
        <v>65</v>
      </c>
      <c r="J73" s="9">
        <f t="shared" si="2"/>
        <v>3.0769230769230771E-2</v>
      </c>
      <c r="K73" s="39">
        <v>2</v>
      </c>
      <c r="L73" s="39"/>
      <c r="M73" s="39"/>
      <c r="N73" s="39"/>
      <c r="O73" s="39"/>
      <c r="P73" s="39"/>
      <c r="Q73" s="39"/>
      <c r="R73" s="39"/>
      <c r="S73" s="10">
        <f t="shared" si="12"/>
        <v>2</v>
      </c>
      <c r="T73" s="10">
        <v>100000</v>
      </c>
      <c r="U73" s="10">
        <f t="shared" si="14"/>
        <v>200000</v>
      </c>
      <c r="V73" s="4"/>
      <c r="Y73" s="4"/>
    </row>
    <row r="74" spans="2:25" ht="18.75" hidden="1">
      <c r="B74" s="58"/>
      <c r="C74" s="60"/>
      <c r="D74" s="52" t="s">
        <v>57</v>
      </c>
      <c r="E74" s="63"/>
      <c r="F74" s="8">
        <v>0.16666666666666666</v>
      </c>
      <c r="G74" s="67" t="s">
        <v>84</v>
      </c>
      <c r="H74" s="68"/>
      <c r="I74" s="35">
        <v>65</v>
      </c>
      <c r="J74" s="9">
        <f t="shared" si="2"/>
        <v>3.0769230769230771E-2</v>
      </c>
      <c r="K74" s="39"/>
      <c r="L74" s="39"/>
      <c r="M74" s="39">
        <v>2</v>
      </c>
      <c r="N74" s="39"/>
      <c r="O74" s="39"/>
      <c r="P74" s="39"/>
      <c r="Q74" s="39"/>
      <c r="R74" s="39"/>
      <c r="S74" s="10">
        <f t="shared" si="12"/>
        <v>2</v>
      </c>
      <c r="T74" s="10">
        <v>100000</v>
      </c>
      <c r="U74" s="10">
        <f t="shared" si="14"/>
        <v>200000</v>
      </c>
      <c r="V74" s="4"/>
      <c r="W74" s="4"/>
      <c r="X74" s="4"/>
      <c r="Y74" s="4"/>
    </row>
    <row r="75" spans="2:25" ht="18.75" hidden="1">
      <c r="B75" s="58"/>
      <c r="C75" s="60"/>
      <c r="D75" s="52" t="s">
        <v>57</v>
      </c>
      <c r="E75" s="63"/>
      <c r="F75" s="8">
        <v>0.25</v>
      </c>
      <c r="G75" s="67" t="s">
        <v>84</v>
      </c>
      <c r="H75" s="68"/>
      <c r="I75" s="35">
        <v>46</v>
      </c>
      <c r="J75" s="9">
        <f t="shared" si="2"/>
        <v>4.3478260869565216E-2</v>
      </c>
      <c r="K75" s="39">
        <v>2</v>
      </c>
      <c r="L75" s="39"/>
      <c r="M75" s="39"/>
      <c r="N75" s="39"/>
      <c r="O75" s="39"/>
      <c r="P75" s="39"/>
      <c r="Q75" s="39"/>
      <c r="R75" s="39"/>
      <c r="S75" s="10">
        <f t="shared" si="12"/>
        <v>2</v>
      </c>
      <c r="T75" s="10">
        <v>100000</v>
      </c>
      <c r="U75" s="10">
        <f t="shared" si="14"/>
        <v>200000</v>
      </c>
      <c r="V75" s="4"/>
      <c r="Y75" s="4"/>
    </row>
    <row r="76" spans="2:25" ht="18.75" hidden="1">
      <c r="B76" s="58"/>
      <c r="C76" s="60"/>
      <c r="D76" s="53" t="s">
        <v>57</v>
      </c>
      <c r="E76" s="64"/>
      <c r="F76" s="14">
        <v>0.33333333333333331</v>
      </c>
      <c r="G76" s="67" t="s">
        <v>84</v>
      </c>
      <c r="H76" s="68"/>
      <c r="I76" s="37">
        <v>65</v>
      </c>
      <c r="J76" s="9">
        <f t="shared" si="2"/>
        <v>1.5384615384615385E-2</v>
      </c>
      <c r="K76" s="40"/>
      <c r="L76" s="40"/>
      <c r="M76" s="40"/>
      <c r="N76" s="40"/>
      <c r="O76" s="40"/>
      <c r="P76" s="40"/>
      <c r="Q76" s="40"/>
      <c r="R76" s="40">
        <v>1</v>
      </c>
      <c r="S76" s="16">
        <f t="shared" si="12"/>
        <v>1</v>
      </c>
      <c r="T76" s="16">
        <v>100000</v>
      </c>
      <c r="U76" s="16">
        <f t="shared" si="14"/>
        <v>100000</v>
      </c>
      <c r="V76" s="4"/>
      <c r="W76" s="4"/>
      <c r="X76" s="4"/>
      <c r="Y76" s="4"/>
    </row>
    <row r="77" spans="2:25" ht="16.5" hidden="1" customHeight="1">
      <c r="B77" s="58">
        <v>46087</v>
      </c>
      <c r="C77" s="59" t="s">
        <v>15</v>
      </c>
      <c r="D77" s="51" t="s">
        <v>57</v>
      </c>
      <c r="E77" s="62" t="s">
        <v>101</v>
      </c>
      <c r="F77" s="5">
        <v>0.41666666666666669</v>
      </c>
      <c r="G77" s="65" t="s">
        <v>74</v>
      </c>
      <c r="H77" s="66"/>
      <c r="I77" s="34">
        <v>68</v>
      </c>
      <c r="J77" s="6">
        <f t="shared" si="2"/>
        <v>7.3529411764705885E-2</v>
      </c>
      <c r="K77" s="38"/>
      <c r="L77" s="38"/>
      <c r="M77" s="38"/>
      <c r="N77" s="38"/>
      <c r="O77" s="38"/>
      <c r="P77" s="38"/>
      <c r="Q77" s="38">
        <v>5</v>
      </c>
      <c r="R77" s="38"/>
      <c r="S77" s="7">
        <f>SUM(K77:R77)</f>
        <v>5</v>
      </c>
      <c r="T77" s="7">
        <v>100000</v>
      </c>
      <c r="U77" s="7">
        <f>T77*S77</f>
        <v>500000</v>
      </c>
      <c r="V77" s="4"/>
      <c r="W77" s="4"/>
      <c r="X77" s="4"/>
      <c r="Y77" s="4"/>
    </row>
    <row r="78" spans="2:25" ht="18.75" hidden="1">
      <c r="B78" s="58"/>
      <c r="C78" s="60"/>
      <c r="D78" s="52" t="s">
        <v>57</v>
      </c>
      <c r="E78" s="63"/>
      <c r="F78" s="8">
        <v>0.5</v>
      </c>
      <c r="G78" s="67" t="s">
        <v>74</v>
      </c>
      <c r="H78" s="68"/>
      <c r="I78" s="35">
        <v>30</v>
      </c>
      <c r="J78" s="9">
        <f t="shared" si="2"/>
        <v>3.3333333333333333E-2</v>
      </c>
      <c r="K78" s="39">
        <v>1</v>
      </c>
      <c r="L78" s="39"/>
      <c r="M78" s="39"/>
      <c r="N78" s="39"/>
      <c r="O78" s="39"/>
      <c r="P78" s="39"/>
      <c r="Q78" s="39"/>
      <c r="R78" s="39"/>
      <c r="S78" s="10">
        <f t="shared" ref="S78:S88" si="15">SUM(K78:R78)</f>
        <v>1</v>
      </c>
      <c r="T78" s="10">
        <v>100000</v>
      </c>
      <c r="U78" s="10">
        <f t="shared" ref="U78:U79" si="16">T78*S78</f>
        <v>100000</v>
      </c>
      <c r="V78" s="4"/>
      <c r="W78" s="4"/>
      <c r="X78" s="4"/>
      <c r="Y78" s="4"/>
    </row>
    <row r="79" spans="2:25" ht="18.75" hidden="1">
      <c r="B79" s="58"/>
      <c r="C79" s="60"/>
      <c r="D79" s="52" t="s">
        <v>57</v>
      </c>
      <c r="E79" s="63"/>
      <c r="F79" s="8">
        <v>0.58333333333333337</v>
      </c>
      <c r="G79" s="67" t="s">
        <v>74</v>
      </c>
      <c r="H79" s="68"/>
      <c r="I79" s="35">
        <v>65</v>
      </c>
      <c r="J79" s="9">
        <f t="shared" si="2"/>
        <v>1.5384615384615385E-2</v>
      </c>
      <c r="K79" s="39"/>
      <c r="L79" s="39"/>
      <c r="M79" s="39">
        <v>1</v>
      </c>
      <c r="N79" s="39"/>
      <c r="O79" s="39"/>
      <c r="P79" s="39"/>
      <c r="Q79" s="39"/>
      <c r="R79" s="39"/>
      <c r="S79" s="10">
        <f t="shared" si="15"/>
        <v>1</v>
      </c>
      <c r="T79" s="10">
        <v>100000</v>
      </c>
      <c r="U79" s="10">
        <f t="shared" si="16"/>
        <v>100000</v>
      </c>
      <c r="V79" s="4"/>
      <c r="W79" s="4"/>
      <c r="X79" s="4"/>
      <c r="Y79" s="4"/>
    </row>
    <row r="80" spans="2:25" ht="18.75" hidden="1">
      <c r="B80" s="58"/>
      <c r="C80" s="60"/>
      <c r="D80" s="52" t="s">
        <v>57</v>
      </c>
      <c r="E80" s="63"/>
      <c r="F80" s="8">
        <v>0.66666666666666663</v>
      </c>
      <c r="G80" s="67" t="s">
        <v>74</v>
      </c>
      <c r="H80" s="68"/>
      <c r="I80" s="35">
        <v>60</v>
      </c>
      <c r="J80" s="9">
        <f t="shared" si="2"/>
        <v>0</v>
      </c>
      <c r="K80" s="39"/>
      <c r="L80" s="39"/>
      <c r="M80" s="39"/>
      <c r="N80" s="39"/>
      <c r="O80" s="39"/>
      <c r="P80" s="39"/>
      <c r="Q80" s="39"/>
      <c r="R80" s="39"/>
      <c r="S80" s="10">
        <f t="shared" si="15"/>
        <v>0</v>
      </c>
      <c r="T80" s="10">
        <v>100000</v>
      </c>
      <c r="U80" s="10">
        <f>T80*S80</f>
        <v>0</v>
      </c>
      <c r="V80" s="4"/>
      <c r="W80" s="4"/>
      <c r="X80" s="4"/>
      <c r="Y80" s="4"/>
    </row>
    <row r="81" spans="2:25" ht="18.75" hidden="1">
      <c r="B81" s="58"/>
      <c r="C81" s="60"/>
      <c r="D81" s="52" t="s">
        <v>57</v>
      </c>
      <c r="E81" s="63"/>
      <c r="F81" s="8">
        <v>0.75</v>
      </c>
      <c r="G81" s="67" t="s">
        <v>74</v>
      </c>
      <c r="H81" s="68"/>
      <c r="I81" s="35">
        <v>17</v>
      </c>
      <c r="J81" s="9">
        <f t="shared" si="2"/>
        <v>0</v>
      </c>
      <c r="K81" s="39"/>
      <c r="L81" s="39"/>
      <c r="M81" s="39"/>
      <c r="N81" s="39"/>
      <c r="O81" s="39"/>
      <c r="P81" s="39"/>
      <c r="Q81" s="39"/>
      <c r="R81" s="39"/>
      <c r="S81" s="10">
        <f t="shared" si="15"/>
        <v>0</v>
      </c>
      <c r="T81" s="10">
        <v>100000</v>
      </c>
      <c r="U81" s="10">
        <f t="shared" ref="U81:U88" si="17">T81*S81</f>
        <v>0</v>
      </c>
      <c r="V81" s="4"/>
      <c r="W81" s="4"/>
      <c r="X81" s="11"/>
      <c r="Y81" s="4"/>
    </row>
    <row r="82" spans="2:25" ht="18.75" hidden="1">
      <c r="B82" s="58"/>
      <c r="C82" s="60"/>
      <c r="D82" s="53" t="s">
        <v>57</v>
      </c>
      <c r="E82" s="64"/>
      <c r="F82" s="12">
        <v>0.83333333333333337</v>
      </c>
      <c r="G82" s="67" t="s">
        <v>74</v>
      </c>
      <c r="H82" s="68"/>
      <c r="I82" s="36"/>
      <c r="J82" s="9" t="str">
        <f t="shared" si="2"/>
        <v/>
      </c>
      <c r="K82" s="41"/>
      <c r="L82" s="41"/>
      <c r="M82" s="41"/>
      <c r="N82" s="41"/>
      <c r="O82" s="41"/>
      <c r="P82" s="41"/>
      <c r="Q82" s="41"/>
      <c r="R82" s="41"/>
      <c r="S82" s="13">
        <f t="shared" si="15"/>
        <v>0</v>
      </c>
      <c r="T82" s="13">
        <v>100000</v>
      </c>
      <c r="U82" s="13">
        <f t="shared" si="17"/>
        <v>0</v>
      </c>
      <c r="V82" s="4"/>
      <c r="Y82" s="4"/>
    </row>
    <row r="83" spans="2:25" ht="18.75" hidden="1">
      <c r="B83" s="58"/>
      <c r="C83" s="60"/>
      <c r="D83" s="51" t="s">
        <v>57</v>
      </c>
      <c r="E83" s="62" t="s">
        <v>102</v>
      </c>
      <c r="F83" s="5">
        <v>0.91666666666666663</v>
      </c>
      <c r="G83" s="65" t="s">
        <v>84</v>
      </c>
      <c r="H83" s="66"/>
      <c r="I83" s="34">
        <v>60</v>
      </c>
      <c r="J83" s="6">
        <f t="shared" ref="J83:J136" si="18">IFERROR(S83/I83,"")</f>
        <v>6.6666666666666666E-2</v>
      </c>
      <c r="K83" s="38">
        <v>2</v>
      </c>
      <c r="L83" s="38"/>
      <c r="M83" s="38"/>
      <c r="N83" s="38"/>
      <c r="O83" s="38"/>
      <c r="P83" s="38"/>
      <c r="Q83" s="38">
        <v>2</v>
      </c>
      <c r="R83" s="38"/>
      <c r="S83" s="7">
        <f t="shared" si="15"/>
        <v>4</v>
      </c>
      <c r="T83" s="7">
        <v>100000</v>
      </c>
      <c r="U83" s="7">
        <f t="shared" si="17"/>
        <v>400000</v>
      </c>
      <c r="V83" s="4"/>
      <c r="Y83" s="4"/>
    </row>
    <row r="84" spans="2:25" ht="18.75" hidden="1">
      <c r="B84" s="58"/>
      <c r="C84" s="60"/>
      <c r="D84" s="52" t="s">
        <v>57</v>
      </c>
      <c r="E84" s="63"/>
      <c r="F84" s="8">
        <v>1</v>
      </c>
      <c r="G84" s="67" t="s">
        <v>84</v>
      </c>
      <c r="H84" s="68"/>
      <c r="I84" s="35">
        <v>28</v>
      </c>
      <c r="J84" s="9">
        <f t="shared" si="18"/>
        <v>7.1428571428571425E-2</v>
      </c>
      <c r="K84" s="39"/>
      <c r="L84" s="39"/>
      <c r="M84" s="39">
        <v>2</v>
      </c>
      <c r="N84" s="39"/>
      <c r="O84" s="39"/>
      <c r="P84" s="39"/>
      <c r="Q84" s="39"/>
      <c r="R84" s="39"/>
      <c r="S84" s="10">
        <f t="shared" si="15"/>
        <v>2</v>
      </c>
      <c r="T84" s="10">
        <v>100000</v>
      </c>
      <c r="U84" s="10">
        <f t="shared" si="17"/>
        <v>200000</v>
      </c>
      <c r="V84" s="4"/>
      <c r="Y84" s="4"/>
    </row>
    <row r="85" spans="2:25" ht="18.75" hidden="1">
      <c r="B85" s="58"/>
      <c r="C85" s="60"/>
      <c r="D85" s="52" t="s">
        <v>57</v>
      </c>
      <c r="E85" s="63"/>
      <c r="F85" s="8">
        <v>8.3333333333333329E-2</v>
      </c>
      <c r="G85" s="67" t="s">
        <v>84</v>
      </c>
      <c r="H85" s="68"/>
      <c r="I85" s="35">
        <v>60</v>
      </c>
      <c r="J85" s="9">
        <f t="shared" si="18"/>
        <v>3.3333333333333333E-2</v>
      </c>
      <c r="K85" s="39"/>
      <c r="L85" s="39"/>
      <c r="M85" s="39">
        <v>2</v>
      </c>
      <c r="N85" s="39"/>
      <c r="O85" s="39"/>
      <c r="P85" s="39"/>
      <c r="Q85" s="39"/>
      <c r="R85" s="39"/>
      <c r="S85" s="10">
        <f t="shared" si="15"/>
        <v>2</v>
      </c>
      <c r="T85" s="10">
        <v>100000</v>
      </c>
      <c r="U85" s="10">
        <f t="shared" si="17"/>
        <v>200000</v>
      </c>
      <c r="V85" s="4"/>
      <c r="Y85" s="4"/>
    </row>
    <row r="86" spans="2:25" ht="18.75" hidden="1">
      <c r="B86" s="58"/>
      <c r="C86" s="60"/>
      <c r="D86" s="52" t="s">
        <v>57</v>
      </c>
      <c r="E86" s="63"/>
      <c r="F86" s="8">
        <v>0.16666666666666666</v>
      </c>
      <c r="G86" s="67" t="s">
        <v>84</v>
      </c>
      <c r="H86" s="68"/>
      <c r="I86" s="35">
        <v>60</v>
      </c>
      <c r="J86" s="9">
        <f t="shared" si="18"/>
        <v>3.3333333333333333E-2</v>
      </c>
      <c r="K86" s="39"/>
      <c r="L86" s="39"/>
      <c r="M86" s="39">
        <v>2</v>
      </c>
      <c r="N86" s="39"/>
      <c r="O86" s="39"/>
      <c r="P86" s="39"/>
      <c r="Q86" s="39"/>
      <c r="R86" s="39"/>
      <c r="S86" s="10">
        <f t="shared" si="15"/>
        <v>2</v>
      </c>
      <c r="T86" s="10">
        <v>100000</v>
      </c>
      <c r="U86" s="10">
        <f t="shared" si="17"/>
        <v>200000</v>
      </c>
      <c r="V86" s="4"/>
      <c r="W86" s="4"/>
      <c r="X86" s="4"/>
      <c r="Y86" s="4"/>
    </row>
    <row r="87" spans="2:25" ht="18.75" hidden="1">
      <c r="B87" s="58"/>
      <c r="C87" s="60"/>
      <c r="D87" s="52" t="s">
        <v>57</v>
      </c>
      <c r="E87" s="63"/>
      <c r="F87" s="8">
        <v>0.25</v>
      </c>
      <c r="G87" s="67" t="s">
        <v>84</v>
      </c>
      <c r="H87" s="68"/>
      <c r="I87" s="35">
        <v>40</v>
      </c>
      <c r="J87" s="9">
        <f t="shared" si="18"/>
        <v>2.5000000000000001E-2</v>
      </c>
      <c r="K87" s="39"/>
      <c r="L87" s="39"/>
      <c r="M87" s="39">
        <v>1</v>
      </c>
      <c r="N87" s="39"/>
      <c r="O87" s="39"/>
      <c r="P87" s="39"/>
      <c r="Q87" s="39"/>
      <c r="R87" s="39"/>
      <c r="S87" s="10">
        <f t="shared" si="15"/>
        <v>1</v>
      </c>
      <c r="T87" s="10">
        <v>100000</v>
      </c>
      <c r="U87" s="10">
        <f t="shared" si="17"/>
        <v>100000</v>
      </c>
      <c r="V87" s="4"/>
      <c r="Y87" s="4"/>
    </row>
    <row r="88" spans="2:25" ht="18.75" hidden="1">
      <c r="B88" s="58"/>
      <c r="C88" s="60"/>
      <c r="D88" s="53" t="s">
        <v>57</v>
      </c>
      <c r="E88" s="64"/>
      <c r="F88" s="14">
        <v>0.33333333333333331</v>
      </c>
      <c r="G88" s="67" t="s">
        <v>84</v>
      </c>
      <c r="H88" s="68"/>
      <c r="I88" s="37">
        <v>40</v>
      </c>
      <c r="J88" s="9">
        <f t="shared" si="18"/>
        <v>0</v>
      </c>
      <c r="K88" s="40"/>
      <c r="L88" s="40"/>
      <c r="M88" s="40"/>
      <c r="N88" s="40"/>
      <c r="O88" s="40"/>
      <c r="P88" s="40"/>
      <c r="Q88" s="40"/>
      <c r="R88" s="40"/>
      <c r="S88" s="16">
        <f t="shared" si="15"/>
        <v>0</v>
      </c>
      <c r="T88" s="16">
        <v>100000</v>
      </c>
      <c r="U88" s="16">
        <f t="shared" si="17"/>
        <v>0</v>
      </c>
      <c r="V88" s="4"/>
      <c r="W88" s="4"/>
      <c r="X88" s="4"/>
      <c r="Y88" s="4"/>
    </row>
    <row r="89" spans="2:25" ht="16.5" hidden="1" customHeight="1">
      <c r="B89" s="58">
        <v>46088</v>
      </c>
      <c r="C89" s="59" t="s">
        <v>15</v>
      </c>
      <c r="D89" s="51" t="s">
        <v>58</v>
      </c>
      <c r="E89" s="62" t="s">
        <v>101</v>
      </c>
      <c r="F89" s="5">
        <v>0.41666666666666669</v>
      </c>
      <c r="G89" s="65" t="s">
        <v>76</v>
      </c>
      <c r="H89" s="66"/>
      <c r="I89" s="34">
        <v>30</v>
      </c>
      <c r="J89" s="6">
        <f t="shared" si="18"/>
        <v>0.23333333333333334</v>
      </c>
      <c r="K89" s="38"/>
      <c r="L89" s="38"/>
      <c r="M89" s="38"/>
      <c r="N89" s="38"/>
      <c r="O89" s="38"/>
      <c r="P89" s="38"/>
      <c r="Q89" s="38">
        <v>7</v>
      </c>
      <c r="R89" s="38"/>
      <c r="S89" s="7">
        <f>SUM(K89:R89)</f>
        <v>7</v>
      </c>
      <c r="T89" s="7">
        <v>100000</v>
      </c>
      <c r="U89" s="7">
        <f>T89*S89</f>
        <v>700000</v>
      </c>
      <c r="V89" s="4"/>
      <c r="W89" s="4"/>
      <c r="X89" s="4"/>
      <c r="Y89" s="4"/>
    </row>
    <row r="90" spans="2:25" ht="18.75" hidden="1">
      <c r="B90" s="58"/>
      <c r="C90" s="60"/>
      <c r="D90" s="52" t="s">
        <v>58</v>
      </c>
      <c r="E90" s="63"/>
      <c r="F90" s="8">
        <v>0.5</v>
      </c>
      <c r="G90" s="67" t="s">
        <v>76</v>
      </c>
      <c r="H90" s="68"/>
      <c r="I90" s="35">
        <v>35</v>
      </c>
      <c r="J90" s="9">
        <f t="shared" si="18"/>
        <v>0</v>
      </c>
      <c r="K90" s="39"/>
      <c r="L90" s="39"/>
      <c r="M90" s="39"/>
      <c r="N90" s="39"/>
      <c r="O90" s="39"/>
      <c r="P90" s="39"/>
      <c r="Q90" s="39"/>
      <c r="R90" s="39"/>
      <c r="S90" s="10">
        <f t="shared" ref="S90:S100" si="19">SUM(K90:R90)</f>
        <v>0</v>
      </c>
      <c r="T90" s="10">
        <v>100000</v>
      </c>
      <c r="U90" s="10">
        <f t="shared" ref="U90:U91" si="20">T90*S90</f>
        <v>0</v>
      </c>
      <c r="V90" s="4"/>
      <c r="W90" s="4"/>
      <c r="X90" s="4"/>
      <c r="Y90" s="4"/>
    </row>
    <row r="91" spans="2:25" ht="18.75" hidden="1">
      <c r="B91" s="58"/>
      <c r="C91" s="60"/>
      <c r="D91" s="52" t="s">
        <v>58</v>
      </c>
      <c r="E91" s="63"/>
      <c r="F91" s="8">
        <v>0.58333333333333337</v>
      </c>
      <c r="G91" s="67" t="s">
        <v>76</v>
      </c>
      <c r="H91" s="68"/>
      <c r="I91" s="35">
        <v>72</v>
      </c>
      <c r="J91" s="9">
        <f t="shared" si="18"/>
        <v>0</v>
      </c>
      <c r="K91" s="39"/>
      <c r="L91" s="39"/>
      <c r="M91" s="39"/>
      <c r="N91" s="39"/>
      <c r="O91" s="39"/>
      <c r="P91" s="39"/>
      <c r="Q91" s="39"/>
      <c r="R91" s="39"/>
      <c r="S91" s="10">
        <f t="shared" si="19"/>
        <v>0</v>
      </c>
      <c r="T91" s="10">
        <v>100000</v>
      </c>
      <c r="U91" s="10">
        <f t="shared" si="20"/>
        <v>0</v>
      </c>
      <c r="V91" s="4"/>
      <c r="W91" s="4"/>
      <c r="X91" s="4"/>
      <c r="Y91" s="4"/>
    </row>
    <row r="92" spans="2:25" ht="18.75" hidden="1">
      <c r="B92" s="58"/>
      <c r="C92" s="60"/>
      <c r="D92" s="52" t="s">
        <v>58</v>
      </c>
      <c r="E92" s="63"/>
      <c r="F92" s="8">
        <v>0.66666666666666663</v>
      </c>
      <c r="G92" s="67" t="s">
        <v>76</v>
      </c>
      <c r="H92" s="68"/>
      <c r="I92" s="35">
        <v>50</v>
      </c>
      <c r="J92" s="9">
        <f t="shared" si="18"/>
        <v>0</v>
      </c>
      <c r="K92" s="39"/>
      <c r="L92" s="39"/>
      <c r="M92" s="39"/>
      <c r="N92" s="39"/>
      <c r="O92" s="39"/>
      <c r="P92" s="39"/>
      <c r="Q92" s="39"/>
      <c r="R92" s="39"/>
      <c r="S92" s="10">
        <f t="shared" si="19"/>
        <v>0</v>
      </c>
      <c r="T92" s="10">
        <v>100000</v>
      </c>
      <c r="U92" s="10">
        <f>T92*S92</f>
        <v>0</v>
      </c>
      <c r="V92" s="4"/>
      <c r="W92" s="4"/>
      <c r="X92" s="4"/>
      <c r="Y92" s="4"/>
    </row>
    <row r="93" spans="2:25" ht="18.75" hidden="1">
      <c r="B93" s="58"/>
      <c r="C93" s="60"/>
      <c r="D93" s="52" t="s">
        <v>58</v>
      </c>
      <c r="E93" s="63"/>
      <c r="F93" s="8">
        <v>0.75</v>
      </c>
      <c r="G93" s="67" t="s">
        <v>76</v>
      </c>
      <c r="H93" s="68"/>
      <c r="I93" s="35">
        <v>65</v>
      </c>
      <c r="J93" s="9">
        <f t="shared" si="18"/>
        <v>0</v>
      </c>
      <c r="K93" s="39"/>
      <c r="L93" s="39"/>
      <c r="M93" s="39"/>
      <c r="N93" s="39"/>
      <c r="O93" s="39"/>
      <c r="P93" s="39"/>
      <c r="Q93" s="39"/>
      <c r="R93" s="39"/>
      <c r="S93" s="10">
        <f t="shared" si="19"/>
        <v>0</v>
      </c>
      <c r="T93" s="10">
        <v>100000</v>
      </c>
      <c r="U93" s="10">
        <f t="shared" ref="U93:U100" si="21">T93*S93</f>
        <v>0</v>
      </c>
      <c r="V93" s="4"/>
      <c r="W93" s="4"/>
      <c r="X93" s="11"/>
      <c r="Y93" s="4"/>
    </row>
    <row r="94" spans="2:25" ht="18.75" hidden="1">
      <c r="B94" s="58"/>
      <c r="C94" s="60"/>
      <c r="D94" s="53" t="s">
        <v>58</v>
      </c>
      <c r="E94" s="64"/>
      <c r="F94" s="12">
        <v>0.83333333333333337</v>
      </c>
      <c r="G94" s="67" t="s">
        <v>76</v>
      </c>
      <c r="H94" s="68"/>
      <c r="I94" s="36"/>
      <c r="J94" s="9" t="str">
        <f t="shared" si="18"/>
        <v/>
      </c>
      <c r="K94" s="41"/>
      <c r="L94" s="41"/>
      <c r="M94" s="41"/>
      <c r="N94" s="41"/>
      <c r="O94" s="41"/>
      <c r="P94" s="41"/>
      <c r="Q94" s="41"/>
      <c r="R94" s="41"/>
      <c r="S94" s="13">
        <f t="shared" si="19"/>
        <v>0</v>
      </c>
      <c r="T94" s="13">
        <v>100000</v>
      </c>
      <c r="U94" s="13">
        <f t="shared" si="21"/>
        <v>0</v>
      </c>
      <c r="V94" s="4"/>
      <c r="Y94" s="4"/>
    </row>
    <row r="95" spans="2:25" ht="18.75" hidden="1">
      <c r="B95" s="58"/>
      <c r="C95" s="60"/>
      <c r="D95" s="51" t="s">
        <v>58</v>
      </c>
      <c r="E95" s="62" t="s">
        <v>102</v>
      </c>
      <c r="F95" s="5">
        <v>0.91666666666666663</v>
      </c>
      <c r="G95" s="65" t="s">
        <v>84</v>
      </c>
      <c r="H95" s="66"/>
      <c r="I95" s="34">
        <v>30</v>
      </c>
      <c r="J95" s="6">
        <f t="shared" si="18"/>
        <v>0.2</v>
      </c>
      <c r="K95" s="38"/>
      <c r="L95" s="38"/>
      <c r="M95" s="38"/>
      <c r="N95" s="38"/>
      <c r="O95" s="38"/>
      <c r="P95" s="38"/>
      <c r="Q95" s="38">
        <v>6</v>
      </c>
      <c r="R95" s="38"/>
      <c r="S95" s="7">
        <f t="shared" si="19"/>
        <v>6</v>
      </c>
      <c r="T95" s="7">
        <v>100000</v>
      </c>
      <c r="U95" s="7">
        <f t="shared" si="21"/>
        <v>600000</v>
      </c>
      <c r="V95" s="4"/>
      <c r="Y95" s="4"/>
    </row>
    <row r="96" spans="2:25" ht="18.75" hidden="1">
      <c r="B96" s="58"/>
      <c r="C96" s="60"/>
      <c r="D96" s="52" t="s">
        <v>58</v>
      </c>
      <c r="E96" s="63"/>
      <c r="F96" s="8">
        <v>1</v>
      </c>
      <c r="G96" s="67" t="s">
        <v>84</v>
      </c>
      <c r="H96" s="68"/>
      <c r="I96" s="35">
        <v>54</v>
      </c>
      <c r="J96" s="9">
        <f t="shared" si="18"/>
        <v>5.5555555555555552E-2</v>
      </c>
      <c r="K96" s="39"/>
      <c r="L96" s="39"/>
      <c r="M96" s="39"/>
      <c r="N96" s="39"/>
      <c r="O96" s="39"/>
      <c r="P96" s="39"/>
      <c r="Q96" s="39"/>
      <c r="R96" s="39">
        <v>3</v>
      </c>
      <c r="S96" s="10">
        <f t="shared" si="19"/>
        <v>3</v>
      </c>
      <c r="T96" s="10">
        <v>100000</v>
      </c>
      <c r="U96" s="10">
        <f t="shared" si="21"/>
        <v>300000</v>
      </c>
      <c r="V96" s="4"/>
      <c r="Y96" s="4"/>
    </row>
    <row r="97" spans="2:25" ht="18.75" hidden="1">
      <c r="B97" s="58"/>
      <c r="C97" s="60"/>
      <c r="D97" s="52" t="s">
        <v>58</v>
      </c>
      <c r="E97" s="63"/>
      <c r="F97" s="8">
        <v>8.3333333333333329E-2</v>
      </c>
      <c r="G97" s="67" t="s">
        <v>84</v>
      </c>
      <c r="H97" s="68"/>
      <c r="I97" s="35">
        <v>57</v>
      </c>
      <c r="J97" s="9">
        <f t="shared" si="18"/>
        <v>0</v>
      </c>
      <c r="K97" s="39"/>
      <c r="L97" s="39"/>
      <c r="M97" s="39"/>
      <c r="N97" s="39"/>
      <c r="O97" s="39"/>
      <c r="P97" s="39"/>
      <c r="Q97" s="39"/>
      <c r="R97" s="39"/>
      <c r="S97" s="10">
        <f t="shared" si="19"/>
        <v>0</v>
      </c>
      <c r="T97" s="10">
        <v>100000</v>
      </c>
      <c r="U97" s="10">
        <f t="shared" si="21"/>
        <v>0</v>
      </c>
      <c r="V97" s="4"/>
      <c r="Y97" s="4"/>
    </row>
    <row r="98" spans="2:25" ht="18.75" hidden="1">
      <c r="B98" s="58"/>
      <c r="C98" s="60"/>
      <c r="D98" s="52" t="s">
        <v>58</v>
      </c>
      <c r="E98" s="63"/>
      <c r="F98" s="8">
        <v>0.16666666666666666</v>
      </c>
      <c r="G98" s="67" t="s">
        <v>84</v>
      </c>
      <c r="H98" s="68"/>
      <c r="I98" s="35">
        <v>57</v>
      </c>
      <c r="J98" s="9">
        <f t="shared" si="18"/>
        <v>0</v>
      </c>
      <c r="K98" s="39"/>
      <c r="L98" s="39"/>
      <c r="M98" s="39"/>
      <c r="N98" s="39"/>
      <c r="O98" s="39"/>
      <c r="P98" s="39"/>
      <c r="Q98" s="39"/>
      <c r="R98" s="39"/>
      <c r="S98" s="10">
        <f t="shared" si="19"/>
        <v>0</v>
      </c>
      <c r="T98" s="10">
        <v>100000</v>
      </c>
      <c r="U98" s="10">
        <f t="shared" si="21"/>
        <v>0</v>
      </c>
      <c r="V98" s="4"/>
      <c r="W98" s="4"/>
      <c r="X98" s="4"/>
      <c r="Y98" s="4"/>
    </row>
    <row r="99" spans="2:25" ht="18.75" hidden="1">
      <c r="B99" s="58"/>
      <c r="C99" s="60"/>
      <c r="D99" s="52" t="s">
        <v>58</v>
      </c>
      <c r="E99" s="63"/>
      <c r="F99" s="8">
        <v>0.25</v>
      </c>
      <c r="G99" s="67" t="s">
        <v>84</v>
      </c>
      <c r="H99" s="68"/>
      <c r="I99" s="35">
        <v>57</v>
      </c>
      <c r="J99" s="9">
        <f t="shared" si="18"/>
        <v>0</v>
      </c>
      <c r="K99" s="39"/>
      <c r="L99" s="39"/>
      <c r="M99" s="39"/>
      <c r="N99" s="39"/>
      <c r="O99" s="39"/>
      <c r="P99" s="39"/>
      <c r="Q99" s="39"/>
      <c r="R99" s="39"/>
      <c r="S99" s="10">
        <f t="shared" si="19"/>
        <v>0</v>
      </c>
      <c r="T99" s="10">
        <v>100000</v>
      </c>
      <c r="U99" s="10">
        <f t="shared" si="21"/>
        <v>0</v>
      </c>
      <c r="V99" s="4"/>
      <c r="Y99" s="4"/>
    </row>
    <row r="100" spans="2:25" ht="18.75" hidden="1">
      <c r="B100" s="58"/>
      <c r="C100" s="60"/>
      <c r="D100" s="53" t="s">
        <v>58</v>
      </c>
      <c r="E100" s="64"/>
      <c r="F100" s="14">
        <v>0.33333333333333331</v>
      </c>
      <c r="G100" s="67" t="s">
        <v>84</v>
      </c>
      <c r="H100" s="68"/>
      <c r="I100" s="37">
        <v>57</v>
      </c>
      <c r="J100" s="9">
        <f t="shared" si="18"/>
        <v>0</v>
      </c>
      <c r="K100" s="40"/>
      <c r="L100" s="40"/>
      <c r="M100" s="40"/>
      <c r="N100" s="40"/>
      <c r="O100" s="40"/>
      <c r="P100" s="40"/>
      <c r="Q100" s="40"/>
      <c r="R100" s="40"/>
      <c r="S100" s="16">
        <f t="shared" si="19"/>
        <v>0</v>
      </c>
      <c r="T100" s="16">
        <v>100000</v>
      </c>
      <c r="U100" s="16">
        <f t="shared" si="21"/>
        <v>0</v>
      </c>
      <c r="V100" s="4"/>
      <c r="W100" s="4"/>
      <c r="X100" s="4"/>
      <c r="Y100" s="4"/>
    </row>
    <row r="101" spans="2:25" ht="16.5" hidden="1" customHeight="1">
      <c r="B101" s="58">
        <v>46089</v>
      </c>
      <c r="C101" s="59" t="s">
        <v>15</v>
      </c>
      <c r="D101" s="51"/>
      <c r="E101" s="62" t="s">
        <v>101</v>
      </c>
      <c r="F101" s="5">
        <v>0.41666666666666669</v>
      </c>
      <c r="G101" s="65"/>
      <c r="H101" s="66"/>
      <c r="I101" s="34"/>
      <c r="J101" s="6" t="str">
        <f t="shared" si="18"/>
        <v/>
      </c>
      <c r="K101" s="38"/>
      <c r="L101" s="38"/>
      <c r="M101" s="38"/>
      <c r="N101" s="38"/>
      <c r="O101" s="38"/>
      <c r="P101" s="38"/>
      <c r="Q101" s="38"/>
      <c r="R101" s="38"/>
      <c r="S101" s="7">
        <f>SUM(K101:R101)</f>
        <v>0</v>
      </c>
      <c r="T101" s="7">
        <v>100000</v>
      </c>
      <c r="U101" s="7">
        <f>T101*S101</f>
        <v>0</v>
      </c>
      <c r="V101" s="4"/>
      <c r="W101" s="4"/>
      <c r="X101" s="4"/>
      <c r="Y101" s="4"/>
    </row>
    <row r="102" spans="2:25" ht="18.75" hidden="1">
      <c r="B102" s="58"/>
      <c r="C102" s="60"/>
      <c r="D102" s="52"/>
      <c r="E102" s="63"/>
      <c r="F102" s="8">
        <v>0.5</v>
      </c>
      <c r="G102" s="67"/>
      <c r="H102" s="68"/>
      <c r="I102" s="35"/>
      <c r="J102" s="9" t="str">
        <f t="shared" si="18"/>
        <v/>
      </c>
      <c r="K102" s="39"/>
      <c r="L102" s="39"/>
      <c r="M102" s="39"/>
      <c r="N102" s="39"/>
      <c r="O102" s="39"/>
      <c r="P102" s="39"/>
      <c r="Q102" s="39"/>
      <c r="R102" s="39"/>
      <c r="S102" s="10">
        <f t="shared" ref="S102:S112" si="22">SUM(K102:R102)</f>
        <v>0</v>
      </c>
      <c r="T102" s="10">
        <v>100000</v>
      </c>
      <c r="U102" s="10">
        <f t="shared" ref="U102:U103" si="23">T102*S102</f>
        <v>0</v>
      </c>
      <c r="V102" s="4"/>
      <c r="W102" s="4"/>
      <c r="X102" s="4"/>
      <c r="Y102" s="4"/>
    </row>
    <row r="103" spans="2:25" ht="18.75" hidden="1">
      <c r="B103" s="58"/>
      <c r="C103" s="60"/>
      <c r="D103" s="52"/>
      <c r="E103" s="63"/>
      <c r="F103" s="8">
        <v>0.58333333333333337</v>
      </c>
      <c r="G103" s="67"/>
      <c r="H103" s="68"/>
      <c r="I103" s="35"/>
      <c r="J103" s="9" t="str">
        <f t="shared" si="18"/>
        <v/>
      </c>
      <c r="K103" s="39"/>
      <c r="L103" s="39"/>
      <c r="M103" s="39"/>
      <c r="N103" s="39"/>
      <c r="O103" s="39"/>
      <c r="P103" s="39"/>
      <c r="Q103" s="39"/>
      <c r="R103" s="39"/>
      <c r="S103" s="10">
        <f t="shared" si="22"/>
        <v>0</v>
      </c>
      <c r="T103" s="10">
        <v>100000</v>
      </c>
      <c r="U103" s="10">
        <f t="shared" si="23"/>
        <v>0</v>
      </c>
      <c r="V103" s="4"/>
      <c r="W103" s="4"/>
      <c r="X103" s="4"/>
      <c r="Y103" s="4"/>
    </row>
    <row r="104" spans="2:25" ht="18.75" hidden="1">
      <c r="B104" s="58"/>
      <c r="C104" s="60"/>
      <c r="D104" s="52"/>
      <c r="E104" s="63"/>
      <c r="F104" s="8">
        <v>0.66666666666666663</v>
      </c>
      <c r="G104" s="67"/>
      <c r="H104" s="68"/>
      <c r="I104" s="35"/>
      <c r="J104" s="9" t="str">
        <f t="shared" si="18"/>
        <v/>
      </c>
      <c r="K104" s="39"/>
      <c r="L104" s="39"/>
      <c r="M104" s="39"/>
      <c r="N104" s="39"/>
      <c r="O104" s="39"/>
      <c r="P104" s="39"/>
      <c r="Q104" s="39"/>
      <c r="R104" s="39"/>
      <c r="S104" s="10">
        <f t="shared" si="22"/>
        <v>0</v>
      </c>
      <c r="T104" s="10">
        <v>100000</v>
      </c>
      <c r="U104" s="10">
        <f>T104*S104</f>
        <v>0</v>
      </c>
      <c r="V104" s="4"/>
      <c r="W104" s="4"/>
      <c r="X104" s="4"/>
      <c r="Y104" s="4"/>
    </row>
    <row r="105" spans="2:25" ht="18.75" hidden="1">
      <c r="B105" s="58"/>
      <c r="C105" s="60"/>
      <c r="D105" s="52"/>
      <c r="E105" s="63"/>
      <c r="F105" s="8">
        <v>0.75</v>
      </c>
      <c r="G105" s="67"/>
      <c r="H105" s="68"/>
      <c r="I105" s="35"/>
      <c r="J105" s="9" t="str">
        <f t="shared" si="18"/>
        <v/>
      </c>
      <c r="K105" s="39"/>
      <c r="L105" s="39"/>
      <c r="M105" s="39"/>
      <c r="N105" s="39"/>
      <c r="O105" s="39"/>
      <c r="P105" s="39"/>
      <c r="Q105" s="39"/>
      <c r="R105" s="39"/>
      <c r="S105" s="10">
        <f t="shared" si="22"/>
        <v>0</v>
      </c>
      <c r="T105" s="10">
        <v>100000</v>
      </c>
      <c r="U105" s="10">
        <f t="shared" ref="U105:U112" si="24">T105*S105</f>
        <v>0</v>
      </c>
      <c r="V105" s="4"/>
      <c r="W105" s="4"/>
      <c r="X105" s="11"/>
      <c r="Y105" s="4"/>
    </row>
    <row r="106" spans="2:25" ht="18.75" hidden="1">
      <c r="B106" s="58"/>
      <c r="C106" s="60"/>
      <c r="D106" s="53"/>
      <c r="E106" s="64"/>
      <c r="F106" s="12">
        <v>0.83333333333333337</v>
      </c>
      <c r="G106" s="67"/>
      <c r="H106" s="68"/>
      <c r="I106" s="36"/>
      <c r="J106" s="9" t="str">
        <f t="shared" si="18"/>
        <v/>
      </c>
      <c r="K106" s="41"/>
      <c r="L106" s="41"/>
      <c r="M106" s="41"/>
      <c r="N106" s="41"/>
      <c r="O106" s="41"/>
      <c r="P106" s="41"/>
      <c r="Q106" s="41"/>
      <c r="R106" s="41"/>
      <c r="S106" s="13">
        <f t="shared" si="22"/>
        <v>0</v>
      </c>
      <c r="T106" s="13">
        <v>100000</v>
      </c>
      <c r="U106" s="13">
        <f t="shared" si="24"/>
        <v>0</v>
      </c>
      <c r="V106" s="4"/>
      <c r="Y106" s="4"/>
    </row>
    <row r="107" spans="2:25" ht="18.75" hidden="1">
      <c r="B107" s="58"/>
      <c r="C107" s="60"/>
      <c r="D107" s="51"/>
      <c r="E107" s="62" t="s">
        <v>102</v>
      </c>
      <c r="F107" s="5">
        <v>0.91666666666666663</v>
      </c>
      <c r="G107" s="65"/>
      <c r="H107" s="66"/>
      <c r="I107" s="34"/>
      <c r="J107" s="6" t="str">
        <f t="shared" si="18"/>
        <v/>
      </c>
      <c r="K107" s="38"/>
      <c r="L107" s="38"/>
      <c r="M107" s="38"/>
      <c r="N107" s="38"/>
      <c r="O107" s="38"/>
      <c r="P107" s="38"/>
      <c r="Q107" s="38"/>
      <c r="R107" s="38"/>
      <c r="S107" s="7">
        <f t="shared" si="22"/>
        <v>0</v>
      </c>
      <c r="T107" s="7">
        <v>100000</v>
      </c>
      <c r="U107" s="7">
        <f t="shared" si="24"/>
        <v>0</v>
      </c>
      <c r="V107" s="4"/>
      <c r="Y107" s="4"/>
    </row>
    <row r="108" spans="2:25" ht="18.75" hidden="1">
      <c r="B108" s="58"/>
      <c r="C108" s="60"/>
      <c r="D108" s="52"/>
      <c r="E108" s="63"/>
      <c r="F108" s="8">
        <v>1</v>
      </c>
      <c r="G108" s="67"/>
      <c r="H108" s="68"/>
      <c r="I108" s="35"/>
      <c r="J108" s="9" t="str">
        <f t="shared" si="18"/>
        <v/>
      </c>
      <c r="K108" s="39"/>
      <c r="L108" s="39"/>
      <c r="M108" s="39"/>
      <c r="N108" s="39"/>
      <c r="O108" s="39"/>
      <c r="P108" s="39"/>
      <c r="Q108" s="39"/>
      <c r="R108" s="39"/>
      <c r="S108" s="10">
        <f t="shared" si="22"/>
        <v>0</v>
      </c>
      <c r="T108" s="10">
        <v>100000</v>
      </c>
      <c r="U108" s="10">
        <f t="shared" si="24"/>
        <v>0</v>
      </c>
      <c r="V108" s="4"/>
      <c r="Y108" s="4"/>
    </row>
    <row r="109" spans="2:25" ht="18.75" hidden="1">
      <c r="B109" s="58"/>
      <c r="C109" s="60"/>
      <c r="D109" s="52"/>
      <c r="E109" s="63"/>
      <c r="F109" s="8">
        <v>8.3333333333333329E-2</v>
      </c>
      <c r="G109" s="67"/>
      <c r="H109" s="68"/>
      <c r="I109" s="35"/>
      <c r="J109" s="9" t="str">
        <f t="shared" si="18"/>
        <v/>
      </c>
      <c r="K109" s="39"/>
      <c r="L109" s="39"/>
      <c r="M109" s="39"/>
      <c r="N109" s="39"/>
      <c r="O109" s="39"/>
      <c r="P109" s="39"/>
      <c r="Q109" s="39"/>
      <c r="R109" s="39"/>
      <c r="S109" s="10">
        <f t="shared" si="22"/>
        <v>0</v>
      </c>
      <c r="T109" s="10">
        <v>100000</v>
      </c>
      <c r="U109" s="10">
        <f t="shared" si="24"/>
        <v>0</v>
      </c>
      <c r="V109" s="4"/>
      <c r="Y109" s="4"/>
    </row>
    <row r="110" spans="2:25" ht="18.75" hidden="1">
      <c r="B110" s="58"/>
      <c r="C110" s="60"/>
      <c r="D110" s="52"/>
      <c r="E110" s="63"/>
      <c r="F110" s="8">
        <v>0.16666666666666666</v>
      </c>
      <c r="G110" s="67"/>
      <c r="H110" s="68"/>
      <c r="I110" s="35"/>
      <c r="J110" s="9" t="str">
        <f t="shared" si="18"/>
        <v/>
      </c>
      <c r="K110" s="39"/>
      <c r="L110" s="39"/>
      <c r="M110" s="39"/>
      <c r="N110" s="39"/>
      <c r="O110" s="39"/>
      <c r="P110" s="39"/>
      <c r="Q110" s="39"/>
      <c r="R110" s="39"/>
      <c r="S110" s="10">
        <f t="shared" si="22"/>
        <v>0</v>
      </c>
      <c r="T110" s="10">
        <v>100000</v>
      </c>
      <c r="U110" s="10">
        <f t="shared" si="24"/>
        <v>0</v>
      </c>
      <c r="V110" s="4"/>
      <c r="W110" s="4"/>
      <c r="X110" s="4"/>
      <c r="Y110" s="4"/>
    </row>
    <row r="111" spans="2:25" ht="18.75" hidden="1">
      <c r="B111" s="58"/>
      <c r="C111" s="60"/>
      <c r="D111" s="52"/>
      <c r="E111" s="63"/>
      <c r="F111" s="8">
        <v>0.25</v>
      </c>
      <c r="G111" s="67"/>
      <c r="H111" s="68"/>
      <c r="I111" s="35"/>
      <c r="J111" s="9" t="str">
        <f t="shared" si="18"/>
        <v/>
      </c>
      <c r="K111" s="39"/>
      <c r="L111" s="39"/>
      <c r="M111" s="39"/>
      <c r="N111" s="39"/>
      <c r="O111" s="39"/>
      <c r="P111" s="39"/>
      <c r="Q111" s="39"/>
      <c r="R111" s="39"/>
      <c r="S111" s="10">
        <f t="shared" si="22"/>
        <v>0</v>
      </c>
      <c r="T111" s="10">
        <v>100000</v>
      </c>
      <c r="U111" s="10">
        <f t="shared" si="24"/>
        <v>0</v>
      </c>
      <c r="V111" s="4"/>
      <c r="Y111" s="4"/>
    </row>
    <row r="112" spans="2:25" ht="18.75" hidden="1">
      <c r="B112" s="58"/>
      <c r="C112" s="60"/>
      <c r="D112" s="53"/>
      <c r="E112" s="64"/>
      <c r="F112" s="14">
        <v>0.33333333333333331</v>
      </c>
      <c r="G112" s="67"/>
      <c r="H112" s="68"/>
      <c r="I112" s="37"/>
      <c r="J112" s="9" t="str">
        <f t="shared" si="18"/>
        <v/>
      </c>
      <c r="K112" s="40"/>
      <c r="L112" s="40"/>
      <c r="M112" s="40"/>
      <c r="N112" s="40"/>
      <c r="O112" s="40"/>
      <c r="P112" s="40"/>
      <c r="Q112" s="40"/>
      <c r="R112" s="40"/>
      <c r="S112" s="16">
        <f t="shared" si="22"/>
        <v>0</v>
      </c>
      <c r="T112" s="16">
        <v>100000</v>
      </c>
      <c r="U112" s="16">
        <f t="shared" si="24"/>
        <v>0</v>
      </c>
      <c r="V112" s="4"/>
      <c r="W112" s="4"/>
      <c r="X112" s="4"/>
      <c r="Y112" s="4"/>
    </row>
    <row r="113" spans="2:25" ht="16.5" hidden="1" customHeight="1">
      <c r="B113" s="58">
        <v>46090</v>
      </c>
      <c r="C113" s="59" t="s">
        <v>15</v>
      </c>
      <c r="D113" s="51"/>
      <c r="E113" s="62" t="s">
        <v>101</v>
      </c>
      <c r="F113" s="5">
        <v>0.41666666666666669</v>
      </c>
      <c r="G113" s="65"/>
      <c r="H113" s="66"/>
      <c r="I113" s="34"/>
      <c r="J113" s="6" t="str">
        <f t="shared" si="18"/>
        <v/>
      </c>
      <c r="K113" s="38"/>
      <c r="L113" s="38"/>
      <c r="M113" s="38"/>
      <c r="N113" s="38"/>
      <c r="O113" s="38"/>
      <c r="P113" s="38"/>
      <c r="Q113" s="38"/>
      <c r="R113" s="38"/>
      <c r="S113" s="7">
        <f>SUM(K113:R113)</f>
        <v>0</v>
      </c>
      <c r="T113" s="7">
        <v>100000</v>
      </c>
      <c r="U113" s="7">
        <f>T113*S113</f>
        <v>0</v>
      </c>
      <c r="V113" s="4"/>
      <c r="W113" s="4"/>
      <c r="X113" s="4"/>
      <c r="Y113" s="4"/>
    </row>
    <row r="114" spans="2:25" ht="18.75" hidden="1">
      <c r="B114" s="58"/>
      <c r="C114" s="60"/>
      <c r="D114" s="52"/>
      <c r="E114" s="63"/>
      <c r="F114" s="8">
        <v>0.5</v>
      </c>
      <c r="G114" s="67"/>
      <c r="H114" s="68"/>
      <c r="I114" s="35"/>
      <c r="J114" s="9" t="str">
        <f t="shared" si="18"/>
        <v/>
      </c>
      <c r="K114" s="39"/>
      <c r="L114" s="39"/>
      <c r="M114" s="39"/>
      <c r="N114" s="39"/>
      <c r="O114" s="39"/>
      <c r="P114" s="39"/>
      <c r="Q114" s="39"/>
      <c r="R114" s="39"/>
      <c r="S114" s="10">
        <f t="shared" ref="S114:S124" si="25">SUM(K114:R114)</f>
        <v>0</v>
      </c>
      <c r="T114" s="10">
        <v>100000</v>
      </c>
      <c r="U114" s="10">
        <f t="shared" ref="U114:U115" si="26">T114*S114</f>
        <v>0</v>
      </c>
      <c r="V114" s="4"/>
      <c r="W114" s="4"/>
      <c r="X114" s="4"/>
      <c r="Y114" s="4"/>
    </row>
    <row r="115" spans="2:25" ht="18.75" hidden="1">
      <c r="B115" s="58"/>
      <c r="C115" s="60"/>
      <c r="D115" s="52"/>
      <c r="E115" s="63"/>
      <c r="F115" s="8">
        <v>0.58333333333333337</v>
      </c>
      <c r="G115" s="67"/>
      <c r="H115" s="68"/>
      <c r="I115" s="35"/>
      <c r="J115" s="9" t="str">
        <f t="shared" si="18"/>
        <v/>
      </c>
      <c r="K115" s="39"/>
      <c r="L115" s="39"/>
      <c r="M115" s="39"/>
      <c r="N115" s="39"/>
      <c r="O115" s="39"/>
      <c r="P115" s="39"/>
      <c r="Q115" s="39"/>
      <c r="R115" s="39"/>
      <c r="S115" s="10">
        <f t="shared" si="25"/>
        <v>0</v>
      </c>
      <c r="T115" s="10">
        <v>100000</v>
      </c>
      <c r="U115" s="10">
        <f t="shared" si="26"/>
        <v>0</v>
      </c>
      <c r="V115" s="4"/>
      <c r="W115" s="4"/>
      <c r="X115" s="4"/>
      <c r="Y115" s="4"/>
    </row>
    <row r="116" spans="2:25" ht="18.75" hidden="1">
      <c r="B116" s="58"/>
      <c r="C116" s="60"/>
      <c r="D116" s="52"/>
      <c r="E116" s="63"/>
      <c r="F116" s="8">
        <v>0.66666666666666663</v>
      </c>
      <c r="G116" s="67"/>
      <c r="H116" s="68"/>
      <c r="I116" s="35"/>
      <c r="J116" s="9" t="str">
        <f t="shared" si="18"/>
        <v/>
      </c>
      <c r="K116" s="39"/>
      <c r="L116" s="39"/>
      <c r="M116" s="39"/>
      <c r="N116" s="39"/>
      <c r="O116" s="39"/>
      <c r="P116" s="39"/>
      <c r="Q116" s="39"/>
      <c r="R116" s="39"/>
      <c r="S116" s="10">
        <f t="shared" si="25"/>
        <v>0</v>
      </c>
      <c r="T116" s="10">
        <v>100000</v>
      </c>
      <c r="U116" s="10">
        <f>T116*S116</f>
        <v>0</v>
      </c>
      <c r="V116" s="4"/>
      <c r="W116" s="4"/>
      <c r="X116" s="4"/>
      <c r="Y116" s="4"/>
    </row>
    <row r="117" spans="2:25" ht="18.75" hidden="1">
      <c r="B117" s="58"/>
      <c r="C117" s="60"/>
      <c r="D117" s="52"/>
      <c r="E117" s="63"/>
      <c r="F117" s="8">
        <v>0.75</v>
      </c>
      <c r="G117" s="67"/>
      <c r="H117" s="68"/>
      <c r="I117" s="35"/>
      <c r="J117" s="9" t="str">
        <f t="shared" si="18"/>
        <v/>
      </c>
      <c r="K117" s="39"/>
      <c r="L117" s="39"/>
      <c r="M117" s="39"/>
      <c r="N117" s="39"/>
      <c r="O117" s="39"/>
      <c r="P117" s="39"/>
      <c r="Q117" s="39"/>
      <c r="R117" s="39"/>
      <c r="S117" s="10">
        <f t="shared" si="25"/>
        <v>0</v>
      </c>
      <c r="T117" s="10">
        <v>100000</v>
      </c>
      <c r="U117" s="10">
        <f t="shared" ref="U117:U124" si="27">T117*S117</f>
        <v>0</v>
      </c>
      <c r="V117" s="4"/>
      <c r="W117" s="4"/>
      <c r="X117" s="11"/>
      <c r="Y117" s="4"/>
    </row>
    <row r="118" spans="2:25" ht="18.75" hidden="1">
      <c r="B118" s="58"/>
      <c r="C118" s="60"/>
      <c r="D118" s="53"/>
      <c r="E118" s="64"/>
      <c r="F118" s="12">
        <v>0.83333333333333337</v>
      </c>
      <c r="G118" s="67"/>
      <c r="H118" s="68"/>
      <c r="I118" s="36"/>
      <c r="J118" s="9" t="str">
        <f t="shared" si="18"/>
        <v/>
      </c>
      <c r="K118" s="41"/>
      <c r="L118" s="41"/>
      <c r="M118" s="41"/>
      <c r="N118" s="41"/>
      <c r="O118" s="41"/>
      <c r="P118" s="41"/>
      <c r="Q118" s="41"/>
      <c r="R118" s="41"/>
      <c r="S118" s="13">
        <f t="shared" si="25"/>
        <v>0</v>
      </c>
      <c r="T118" s="13">
        <v>100000</v>
      </c>
      <c r="U118" s="13">
        <f t="shared" si="27"/>
        <v>0</v>
      </c>
      <c r="V118" s="4"/>
      <c r="Y118" s="4"/>
    </row>
    <row r="119" spans="2:25" ht="18.75" hidden="1">
      <c r="B119" s="58"/>
      <c r="C119" s="60"/>
      <c r="D119" s="51"/>
      <c r="E119" s="62" t="s">
        <v>102</v>
      </c>
      <c r="F119" s="5">
        <v>0.91666666666666663</v>
      </c>
      <c r="G119" s="65"/>
      <c r="H119" s="66"/>
      <c r="I119" s="34"/>
      <c r="J119" s="6" t="str">
        <f t="shared" si="18"/>
        <v/>
      </c>
      <c r="K119" s="38"/>
      <c r="L119" s="38"/>
      <c r="M119" s="38"/>
      <c r="N119" s="38"/>
      <c r="O119" s="38"/>
      <c r="P119" s="38"/>
      <c r="Q119" s="38"/>
      <c r="R119" s="38"/>
      <c r="S119" s="7">
        <f t="shared" si="25"/>
        <v>0</v>
      </c>
      <c r="T119" s="7">
        <v>100000</v>
      </c>
      <c r="U119" s="7">
        <f t="shared" si="27"/>
        <v>0</v>
      </c>
      <c r="V119" s="4"/>
      <c r="Y119" s="4"/>
    </row>
    <row r="120" spans="2:25" ht="18.75" hidden="1">
      <c r="B120" s="58"/>
      <c r="C120" s="60"/>
      <c r="D120" s="52"/>
      <c r="E120" s="63"/>
      <c r="F120" s="8">
        <v>1</v>
      </c>
      <c r="G120" s="67"/>
      <c r="H120" s="68"/>
      <c r="I120" s="35"/>
      <c r="J120" s="9" t="str">
        <f t="shared" si="18"/>
        <v/>
      </c>
      <c r="K120" s="39"/>
      <c r="L120" s="39"/>
      <c r="M120" s="39"/>
      <c r="N120" s="39"/>
      <c r="O120" s="39"/>
      <c r="P120" s="39"/>
      <c r="Q120" s="39"/>
      <c r="R120" s="39"/>
      <c r="S120" s="10">
        <f t="shared" si="25"/>
        <v>0</v>
      </c>
      <c r="T120" s="10">
        <v>100000</v>
      </c>
      <c r="U120" s="10">
        <f t="shared" si="27"/>
        <v>0</v>
      </c>
      <c r="V120" s="4"/>
      <c r="Y120" s="4"/>
    </row>
    <row r="121" spans="2:25" ht="18.75" hidden="1">
      <c r="B121" s="58"/>
      <c r="C121" s="60"/>
      <c r="D121" s="52"/>
      <c r="E121" s="63"/>
      <c r="F121" s="8">
        <v>8.3333333333333329E-2</v>
      </c>
      <c r="G121" s="67"/>
      <c r="H121" s="68"/>
      <c r="I121" s="35"/>
      <c r="J121" s="9" t="str">
        <f t="shared" si="18"/>
        <v/>
      </c>
      <c r="K121" s="39"/>
      <c r="L121" s="39"/>
      <c r="M121" s="39"/>
      <c r="N121" s="39"/>
      <c r="O121" s="39"/>
      <c r="P121" s="39"/>
      <c r="Q121" s="39"/>
      <c r="R121" s="39"/>
      <c r="S121" s="10">
        <f t="shared" si="25"/>
        <v>0</v>
      </c>
      <c r="T121" s="10">
        <v>100000</v>
      </c>
      <c r="U121" s="10">
        <f t="shared" si="27"/>
        <v>0</v>
      </c>
      <c r="V121" s="4"/>
      <c r="Y121" s="4"/>
    </row>
    <row r="122" spans="2:25" ht="18.75" hidden="1">
      <c r="B122" s="58"/>
      <c r="C122" s="60"/>
      <c r="D122" s="52"/>
      <c r="E122" s="63"/>
      <c r="F122" s="8">
        <v>0.16666666666666666</v>
      </c>
      <c r="G122" s="67"/>
      <c r="H122" s="68"/>
      <c r="I122" s="35"/>
      <c r="J122" s="9" t="str">
        <f t="shared" si="18"/>
        <v/>
      </c>
      <c r="K122" s="39"/>
      <c r="L122" s="39"/>
      <c r="M122" s="39"/>
      <c r="N122" s="39"/>
      <c r="O122" s="39"/>
      <c r="P122" s="39"/>
      <c r="Q122" s="39"/>
      <c r="R122" s="39"/>
      <c r="S122" s="10">
        <f t="shared" si="25"/>
        <v>0</v>
      </c>
      <c r="T122" s="10">
        <v>100000</v>
      </c>
      <c r="U122" s="10">
        <f t="shared" si="27"/>
        <v>0</v>
      </c>
      <c r="V122" s="4"/>
      <c r="W122" s="4"/>
      <c r="X122" s="4"/>
      <c r="Y122" s="4"/>
    </row>
    <row r="123" spans="2:25" ht="18.75" hidden="1">
      <c r="B123" s="58"/>
      <c r="C123" s="60"/>
      <c r="D123" s="52"/>
      <c r="E123" s="63"/>
      <c r="F123" s="8">
        <v>0.25</v>
      </c>
      <c r="G123" s="67"/>
      <c r="H123" s="68"/>
      <c r="I123" s="35"/>
      <c r="J123" s="9" t="str">
        <f t="shared" si="18"/>
        <v/>
      </c>
      <c r="K123" s="39"/>
      <c r="L123" s="39"/>
      <c r="M123" s="39"/>
      <c r="N123" s="39"/>
      <c r="O123" s="39"/>
      <c r="P123" s="39"/>
      <c r="Q123" s="39"/>
      <c r="R123" s="39"/>
      <c r="S123" s="10">
        <f t="shared" si="25"/>
        <v>0</v>
      </c>
      <c r="T123" s="10">
        <v>100000</v>
      </c>
      <c r="U123" s="10">
        <f t="shared" si="27"/>
        <v>0</v>
      </c>
      <c r="V123" s="4"/>
      <c r="Y123" s="4"/>
    </row>
    <row r="124" spans="2:25" ht="18.75" hidden="1">
      <c r="B124" s="58"/>
      <c r="C124" s="60"/>
      <c r="D124" s="53"/>
      <c r="E124" s="64"/>
      <c r="F124" s="14">
        <v>0.33333333333333331</v>
      </c>
      <c r="G124" s="67"/>
      <c r="H124" s="68"/>
      <c r="I124" s="37"/>
      <c r="J124" s="9" t="str">
        <f t="shared" si="18"/>
        <v/>
      </c>
      <c r="K124" s="40"/>
      <c r="L124" s="40"/>
      <c r="M124" s="40"/>
      <c r="N124" s="40"/>
      <c r="O124" s="40"/>
      <c r="P124" s="40"/>
      <c r="Q124" s="40"/>
      <c r="R124" s="40"/>
      <c r="S124" s="16">
        <f t="shared" si="25"/>
        <v>0</v>
      </c>
      <c r="T124" s="16">
        <v>100000</v>
      </c>
      <c r="U124" s="16">
        <f t="shared" si="27"/>
        <v>0</v>
      </c>
      <c r="V124" s="4"/>
      <c r="W124" s="4"/>
      <c r="X124" s="4"/>
      <c r="Y124" s="4"/>
    </row>
    <row r="125" spans="2:25" ht="16.5" hidden="1" customHeight="1">
      <c r="B125" s="58">
        <v>46091</v>
      </c>
      <c r="C125" s="59" t="s">
        <v>15</v>
      </c>
      <c r="D125" s="51"/>
      <c r="E125" s="62" t="s">
        <v>101</v>
      </c>
      <c r="F125" s="5">
        <v>0.41666666666666669</v>
      </c>
      <c r="G125" s="65"/>
      <c r="H125" s="66"/>
      <c r="I125" s="34"/>
      <c r="J125" s="6" t="str">
        <f t="shared" si="18"/>
        <v/>
      </c>
      <c r="K125" s="38"/>
      <c r="L125" s="38"/>
      <c r="M125" s="38"/>
      <c r="N125" s="38"/>
      <c r="O125" s="38"/>
      <c r="P125" s="38"/>
      <c r="Q125" s="38"/>
      <c r="R125" s="38"/>
      <c r="S125" s="7">
        <f>SUM(K125:R125)</f>
        <v>0</v>
      </c>
      <c r="T125" s="7">
        <v>100000</v>
      </c>
      <c r="U125" s="7">
        <f>T125*S125</f>
        <v>0</v>
      </c>
      <c r="V125" s="4"/>
      <c r="W125" s="4"/>
      <c r="X125" s="4"/>
      <c r="Y125" s="4"/>
    </row>
    <row r="126" spans="2:25" ht="18.75" hidden="1">
      <c r="B126" s="58"/>
      <c r="C126" s="60"/>
      <c r="D126" s="52"/>
      <c r="E126" s="63"/>
      <c r="F126" s="8">
        <v>0.5</v>
      </c>
      <c r="G126" s="67"/>
      <c r="H126" s="68"/>
      <c r="I126" s="35"/>
      <c r="J126" s="9" t="str">
        <f t="shared" si="18"/>
        <v/>
      </c>
      <c r="K126" s="39"/>
      <c r="L126" s="39"/>
      <c r="M126" s="39"/>
      <c r="N126" s="39"/>
      <c r="O126" s="39"/>
      <c r="P126" s="39"/>
      <c r="Q126" s="39"/>
      <c r="R126" s="39"/>
      <c r="S126" s="10">
        <f t="shared" ref="S126:S136" si="28">SUM(K126:R126)</f>
        <v>0</v>
      </c>
      <c r="T126" s="10">
        <v>100000</v>
      </c>
      <c r="U126" s="10">
        <f t="shared" ref="U126:U127" si="29">T126*S126</f>
        <v>0</v>
      </c>
      <c r="V126" s="4"/>
      <c r="W126" s="4"/>
      <c r="X126" s="4"/>
      <c r="Y126" s="4"/>
    </row>
    <row r="127" spans="2:25" ht="18.75" hidden="1">
      <c r="B127" s="58"/>
      <c r="C127" s="60"/>
      <c r="D127" s="52"/>
      <c r="E127" s="63"/>
      <c r="F127" s="8">
        <v>0.58333333333333337</v>
      </c>
      <c r="G127" s="67"/>
      <c r="H127" s="68"/>
      <c r="I127" s="35"/>
      <c r="J127" s="9" t="str">
        <f t="shared" si="18"/>
        <v/>
      </c>
      <c r="K127" s="39"/>
      <c r="L127" s="39"/>
      <c r="M127" s="39"/>
      <c r="N127" s="39"/>
      <c r="O127" s="39"/>
      <c r="P127" s="39"/>
      <c r="Q127" s="39"/>
      <c r="R127" s="39"/>
      <c r="S127" s="10">
        <f t="shared" si="28"/>
        <v>0</v>
      </c>
      <c r="T127" s="10">
        <v>100000</v>
      </c>
      <c r="U127" s="10">
        <f t="shared" si="29"/>
        <v>0</v>
      </c>
      <c r="V127" s="4"/>
      <c r="W127" s="4"/>
      <c r="X127" s="4"/>
      <c r="Y127" s="4"/>
    </row>
    <row r="128" spans="2:25" ht="18.75" hidden="1">
      <c r="B128" s="58"/>
      <c r="C128" s="60"/>
      <c r="D128" s="52"/>
      <c r="E128" s="63"/>
      <c r="F128" s="8">
        <v>0.66666666666666663</v>
      </c>
      <c r="G128" s="67"/>
      <c r="H128" s="68"/>
      <c r="I128" s="35"/>
      <c r="J128" s="9" t="str">
        <f t="shared" si="18"/>
        <v/>
      </c>
      <c r="K128" s="39"/>
      <c r="L128" s="39"/>
      <c r="M128" s="39"/>
      <c r="N128" s="39"/>
      <c r="O128" s="39"/>
      <c r="P128" s="39"/>
      <c r="Q128" s="39"/>
      <c r="R128" s="39"/>
      <c r="S128" s="10">
        <f t="shared" si="28"/>
        <v>0</v>
      </c>
      <c r="T128" s="10">
        <v>100000</v>
      </c>
      <c r="U128" s="10">
        <f>T128*S128</f>
        <v>0</v>
      </c>
      <c r="V128" s="4"/>
      <c r="W128" s="4"/>
      <c r="X128" s="4"/>
      <c r="Y128" s="4"/>
    </row>
    <row r="129" spans="2:25" ht="18.75" hidden="1">
      <c r="B129" s="58"/>
      <c r="C129" s="60"/>
      <c r="D129" s="52"/>
      <c r="E129" s="63"/>
      <c r="F129" s="8">
        <v>0.75</v>
      </c>
      <c r="G129" s="67"/>
      <c r="H129" s="68"/>
      <c r="I129" s="35"/>
      <c r="J129" s="9" t="str">
        <f t="shared" si="18"/>
        <v/>
      </c>
      <c r="K129" s="39"/>
      <c r="L129" s="39"/>
      <c r="M129" s="39"/>
      <c r="N129" s="39"/>
      <c r="O129" s="39"/>
      <c r="P129" s="39"/>
      <c r="Q129" s="39"/>
      <c r="R129" s="39"/>
      <c r="S129" s="10">
        <f t="shared" si="28"/>
        <v>0</v>
      </c>
      <c r="T129" s="10">
        <v>100000</v>
      </c>
      <c r="U129" s="10">
        <f t="shared" ref="U129:U136" si="30">T129*S129</f>
        <v>0</v>
      </c>
      <c r="V129" s="4"/>
      <c r="W129" s="4"/>
      <c r="X129" s="11"/>
      <c r="Y129" s="4"/>
    </row>
    <row r="130" spans="2:25" ht="18.75" hidden="1">
      <c r="B130" s="58"/>
      <c r="C130" s="60"/>
      <c r="D130" s="53"/>
      <c r="E130" s="64"/>
      <c r="F130" s="12">
        <v>0.83333333333333337</v>
      </c>
      <c r="G130" s="67"/>
      <c r="H130" s="68"/>
      <c r="I130" s="36"/>
      <c r="J130" s="9" t="str">
        <f t="shared" si="18"/>
        <v/>
      </c>
      <c r="K130" s="41"/>
      <c r="L130" s="41"/>
      <c r="M130" s="41"/>
      <c r="N130" s="41"/>
      <c r="O130" s="41"/>
      <c r="P130" s="41"/>
      <c r="Q130" s="41"/>
      <c r="R130" s="41"/>
      <c r="S130" s="13">
        <f t="shared" si="28"/>
        <v>0</v>
      </c>
      <c r="T130" s="13">
        <v>100000</v>
      </c>
      <c r="U130" s="13">
        <f t="shared" si="30"/>
        <v>0</v>
      </c>
      <c r="V130" s="4"/>
      <c r="Y130" s="4"/>
    </row>
    <row r="131" spans="2:25" ht="18.75" hidden="1">
      <c r="B131" s="58"/>
      <c r="C131" s="60"/>
      <c r="D131" s="51"/>
      <c r="E131" s="62" t="s">
        <v>102</v>
      </c>
      <c r="F131" s="5">
        <v>0.91666666666666663</v>
      </c>
      <c r="G131" s="65"/>
      <c r="H131" s="66"/>
      <c r="I131" s="34"/>
      <c r="J131" s="6" t="str">
        <f t="shared" si="18"/>
        <v/>
      </c>
      <c r="K131" s="38"/>
      <c r="L131" s="38"/>
      <c r="M131" s="38"/>
      <c r="N131" s="38"/>
      <c r="O131" s="38"/>
      <c r="P131" s="38"/>
      <c r="Q131" s="38"/>
      <c r="R131" s="38"/>
      <c r="S131" s="7">
        <f t="shared" si="28"/>
        <v>0</v>
      </c>
      <c r="T131" s="7">
        <v>100000</v>
      </c>
      <c r="U131" s="7">
        <f t="shared" si="30"/>
        <v>0</v>
      </c>
      <c r="V131" s="4"/>
      <c r="Y131" s="4"/>
    </row>
    <row r="132" spans="2:25" ht="18.75" hidden="1">
      <c r="B132" s="58"/>
      <c r="C132" s="60"/>
      <c r="D132" s="52"/>
      <c r="E132" s="63"/>
      <c r="F132" s="8">
        <v>1</v>
      </c>
      <c r="G132" s="67"/>
      <c r="H132" s="68"/>
      <c r="I132" s="35"/>
      <c r="J132" s="9" t="str">
        <f t="shared" si="18"/>
        <v/>
      </c>
      <c r="K132" s="39"/>
      <c r="L132" s="39"/>
      <c r="M132" s="39"/>
      <c r="N132" s="39"/>
      <c r="O132" s="39"/>
      <c r="P132" s="39"/>
      <c r="Q132" s="39"/>
      <c r="R132" s="39"/>
      <c r="S132" s="10">
        <f t="shared" si="28"/>
        <v>0</v>
      </c>
      <c r="T132" s="10">
        <v>100000</v>
      </c>
      <c r="U132" s="10">
        <f t="shared" si="30"/>
        <v>0</v>
      </c>
      <c r="V132" s="4"/>
      <c r="Y132" s="4"/>
    </row>
    <row r="133" spans="2:25" ht="18.75" hidden="1">
      <c r="B133" s="58"/>
      <c r="C133" s="60"/>
      <c r="D133" s="52"/>
      <c r="E133" s="63"/>
      <c r="F133" s="8">
        <v>8.3333333333333329E-2</v>
      </c>
      <c r="G133" s="67"/>
      <c r="H133" s="68"/>
      <c r="I133" s="35"/>
      <c r="J133" s="9" t="str">
        <f t="shared" si="18"/>
        <v/>
      </c>
      <c r="K133" s="39"/>
      <c r="L133" s="39"/>
      <c r="M133" s="39"/>
      <c r="N133" s="39"/>
      <c r="O133" s="39"/>
      <c r="P133" s="39"/>
      <c r="Q133" s="39"/>
      <c r="R133" s="39"/>
      <c r="S133" s="10">
        <f t="shared" si="28"/>
        <v>0</v>
      </c>
      <c r="T133" s="10">
        <v>100000</v>
      </c>
      <c r="U133" s="10">
        <f t="shared" si="30"/>
        <v>0</v>
      </c>
      <c r="V133" s="4"/>
      <c r="Y133" s="4"/>
    </row>
    <row r="134" spans="2:25" ht="18.75" hidden="1">
      <c r="B134" s="58"/>
      <c r="C134" s="60"/>
      <c r="D134" s="52"/>
      <c r="E134" s="63"/>
      <c r="F134" s="8">
        <v>0.16666666666666666</v>
      </c>
      <c r="G134" s="67"/>
      <c r="H134" s="68"/>
      <c r="I134" s="35"/>
      <c r="J134" s="9" t="str">
        <f t="shared" si="18"/>
        <v/>
      </c>
      <c r="K134" s="39"/>
      <c r="L134" s="39"/>
      <c r="M134" s="39"/>
      <c r="N134" s="39"/>
      <c r="O134" s="39"/>
      <c r="P134" s="39"/>
      <c r="Q134" s="39"/>
      <c r="R134" s="39"/>
      <c r="S134" s="10">
        <f t="shared" si="28"/>
        <v>0</v>
      </c>
      <c r="T134" s="10">
        <v>100000</v>
      </c>
      <c r="U134" s="10">
        <f t="shared" si="30"/>
        <v>0</v>
      </c>
      <c r="V134" s="4"/>
      <c r="W134" s="4"/>
      <c r="X134" s="4"/>
      <c r="Y134" s="4"/>
    </row>
    <row r="135" spans="2:25" ht="18.75" hidden="1">
      <c r="B135" s="58"/>
      <c r="C135" s="60"/>
      <c r="D135" s="52"/>
      <c r="E135" s="63"/>
      <c r="F135" s="8">
        <v>0.25</v>
      </c>
      <c r="G135" s="67"/>
      <c r="H135" s="68"/>
      <c r="I135" s="35"/>
      <c r="J135" s="9" t="str">
        <f t="shared" si="18"/>
        <v/>
      </c>
      <c r="K135" s="39"/>
      <c r="L135" s="39"/>
      <c r="M135" s="39"/>
      <c r="N135" s="39"/>
      <c r="O135" s="39"/>
      <c r="P135" s="39"/>
      <c r="Q135" s="39"/>
      <c r="R135" s="39"/>
      <c r="S135" s="10">
        <f t="shared" si="28"/>
        <v>0</v>
      </c>
      <c r="T135" s="10">
        <v>100000</v>
      </c>
      <c r="U135" s="10">
        <f t="shared" si="30"/>
        <v>0</v>
      </c>
      <c r="V135" s="4"/>
      <c r="Y135" s="4"/>
    </row>
    <row r="136" spans="2:25" ht="18.75" hidden="1">
      <c r="B136" s="58"/>
      <c r="C136" s="61"/>
      <c r="D136" s="53"/>
      <c r="E136" s="64"/>
      <c r="F136" s="14">
        <v>0.33333333333333331</v>
      </c>
      <c r="G136" s="67"/>
      <c r="H136" s="68"/>
      <c r="I136" s="37"/>
      <c r="J136" s="15" t="str">
        <f t="shared" si="18"/>
        <v/>
      </c>
      <c r="K136" s="40"/>
      <c r="L136" s="40"/>
      <c r="M136" s="40"/>
      <c r="N136" s="40"/>
      <c r="O136" s="40"/>
      <c r="P136" s="40"/>
      <c r="Q136" s="40"/>
      <c r="R136" s="40"/>
      <c r="S136" s="16">
        <f t="shared" si="28"/>
        <v>0</v>
      </c>
      <c r="T136" s="16">
        <v>100000</v>
      </c>
      <c r="U136" s="16">
        <f t="shared" si="30"/>
        <v>0</v>
      </c>
      <c r="V136" s="4"/>
      <c r="W136" s="4"/>
      <c r="X136" s="4"/>
      <c r="Y136" s="4"/>
    </row>
    <row r="137" spans="2:25" ht="16.5" hidden="1" customHeight="1">
      <c r="B137" s="58">
        <v>46092</v>
      </c>
      <c r="C137" s="59" t="s">
        <v>15</v>
      </c>
      <c r="D137" s="51"/>
      <c r="E137" s="62" t="s">
        <v>101</v>
      </c>
      <c r="F137" s="5">
        <v>0.41666666666666669</v>
      </c>
      <c r="G137" s="65"/>
      <c r="H137" s="66"/>
      <c r="I137" s="34"/>
      <c r="J137" s="6" t="str">
        <f t="shared" ref="J137:J148" si="31">IFERROR(S137/I137,"")</f>
        <v/>
      </c>
      <c r="K137" s="38"/>
      <c r="L137" s="38"/>
      <c r="M137" s="38"/>
      <c r="N137" s="38"/>
      <c r="O137" s="38"/>
      <c r="P137" s="38"/>
      <c r="Q137" s="38"/>
      <c r="R137" s="38"/>
      <c r="S137" s="7">
        <f>SUM(K137:R137)</f>
        <v>0</v>
      </c>
      <c r="T137" s="7">
        <v>100000</v>
      </c>
      <c r="U137" s="7">
        <f>T137*S137</f>
        <v>0</v>
      </c>
      <c r="V137" s="4"/>
      <c r="W137" s="4"/>
      <c r="X137" s="4"/>
      <c r="Y137" s="4"/>
    </row>
    <row r="138" spans="2:25" ht="18.75" hidden="1">
      <c r="B138" s="58"/>
      <c r="C138" s="60"/>
      <c r="D138" s="52"/>
      <c r="E138" s="63"/>
      <c r="F138" s="8">
        <v>0.5</v>
      </c>
      <c r="G138" s="67"/>
      <c r="H138" s="68"/>
      <c r="I138" s="35"/>
      <c r="J138" s="9" t="str">
        <f t="shared" si="31"/>
        <v/>
      </c>
      <c r="K138" s="39"/>
      <c r="L138" s="39"/>
      <c r="M138" s="39"/>
      <c r="N138" s="39"/>
      <c r="O138" s="39"/>
      <c r="P138" s="39"/>
      <c r="Q138" s="39"/>
      <c r="R138" s="39"/>
      <c r="S138" s="10">
        <f t="shared" ref="S138:S148" si="32">SUM(K138:R138)</f>
        <v>0</v>
      </c>
      <c r="T138" s="10">
        <v>100000</v>
      </c>
      <c r="U138" s="10">
        <f t="shared" ref="U138:U139" si="33">T138*S138</f>
        <v>0</v>
      </c>
      <c r="V138" s="4"/>
      <c r="W138" s="4"/>
      <c r="X138" s="4"/>
      <c r="Y138" s="4"/>
    </row>
    <row r="139" spans="2:25" ht="18.75" hidden="1">
      <c r="B139" s="58"/>
      <c r="C139" s="60"/>
      <c r="D139" s="52" t="s">
        <v>58</v>
      </c>
      <c r="E139" s="63"/>
      <c r="F139" s="8">
        <v>0.58333333333333337</v>
      </c>
      <c r="G139" s="67" t="s">
        <v>76</v>
      </c>
      <c r="H139" s="68"/>
      <c r="I139" s="35">
        <v>36</v>
      </c>
      <c r="J139" s="9">
        <f t="shared" si="31"/>
        <v>0.19444444444444445</v>
      </c>
      <c r="K139" s="39"/>
      <c r="L139" s="39"/>
      <c r="M139" s="39"/>
      <c r="N139" s="39"/>
      <c r="O139" s="39"/>
      <c r="P139" s="39"/>
      <c r="Q139" s="39">
        <v>7</v>
      </c>
      <c r="R139" s="39"/>
      <c r="S139" s="10">
        <f t="shared" si="32"/>
        <v>7</v>
      </c>
      <c r="T139" s="10">
        <v>100000</v>
      </c>
      <c r="U139" s="10">
        <f t="shared" si="33"/>
        <v>700000</v>
      </c>
      <c r="V139" s="4"/>
      <c r="W139" s="4"/>
      <c r="X139" s="4"/>
      <c r="Y139" s="4"/>
    </row>
    <row r="140" spans="2:25" ht="18.75" hidden="1">
      <c r="B140" s="58"/>
      <c r="C140" s="60"/>
      <c r="D140" s="52" t="s">
        <v>58</v>
      </c>
      <c r="E140" s="63"/>
      <c r="F140" s="8">
        <v>0.66666666666666663</v>
      </c>
      <c r="G140" s="67" t="s">
        <v>76</v>
      </c>
      <c r="H140" s="68"/>
      <c r="I140" s="35">
        <v>68</v>
      </c>
      <c r="J140" s="9">
        <f t="shared" si="31"/>
        <v>0</v>
      </c>
      <c r="K140" s="39"/>
      <c r="L140" s="39"/>
      <c r="M140" s="39"/>
      <c r="N140" s="39"/>
      <c r="O140" s="39"/>
      <c r="P140" s="39"/>
      <c r="Q140" s="39"/>
      <c r="R140" s="39"/>
      <c r="S140" s="10">
        <f t="shared" si="32"/>
        <v>0</v>
      </c>
      <c r="T140" s="10">
        <v>100000</v>
      </c>
      <c r="U140" s="10">
        <f>T140*S140</f>
        <v>0</v>
      </c>
      <c r="V140" s="4"/>
      <c r="W140" s="4"/>
      <c r="X140" s="4"/>
      <c r="Y140" s="4"/>
    </row>
    <row r="141" spans="2:25" ht="18.75" hidden="1">
      <c r="B141" s="58"/>
      <c r="C141" s="60"/>
      <c r="D141" s="52" t="s">
        <v>58</v>
      </c>
      <c r="E141" s="63"/>
      <c r="F141" s="8">
        <v>0.75</v>
      </c>
      <c r="G141" s="67" t="s">
        <v>76</v>
      </c>
      <c r="H141" s="68"/>
      <c r="I141" s="35">
        <v>68</v>
      </c>
      <c r="J141" s="9">
        <f t="shared" si="31"/>
        <v>0</v>
      </c>
      <c r="K141" s="39"/>
      <c r="L141" s="39"/>
      <c r="M141" s="39"/>
      <c r="N141" s="39"/>
      <c r="O141" s="39"/>
      <c r="P141" s="39"/>
      <c r="Q141" s="39"/>
      <c r="R141" s="39"/>
      <c r="S141" s="10">
        <f t="shared" si="32"/>
        <v>0</v>
      </c>
      <c r="T141" s="10">
        <v>100000</v>
      </c>
      <c r="U141" s="10">
        <f t="shared" ref="U141:U148" si="34">T141*S141</f>
        <v>0</v>
      </c>
      <c r="V141" s="4"/>
      <c r="W141" s="4"/>
      <c r="X141" s="11"/>
      <c r="Y141" s="4"/>
    </row>
    <row r="142" spans="2:25" ht="18.75" hidden="1">
      <c r="B142" s="58"/>
      <c r="C142" s="60"/>
      <c r="D142" s="53" t="s">
        <v>58</v>
      </c>
      <c r="E142" s="64"/>
      <c r="F142" s="12">
        <v>0.83333333333333337</v>
      </c>
      <c r="G142" s="67" t="s">
        <v>76</v>
      </c>
      <c r="H142" s="68"/>
      <c r="I142" s="36">
        <v>68</v>
      </c>
      <c r="J142" s="9">
        <f t="shared" si="31"/>
        <v>0</v>
      </c>
      <c r="K142" s="41"/>
      <c r="L142" s="41"/>
      <c r="M142" s="41"/>
      <c r="N142" s="41"/>
      <c r="O142" s="41"/>
      <c r="P142" s="41"/>
      <c r="Q142" s="41"/>
      <c r="R142" s="41"/>
      <c r="S142" s="13">
        <f t="shared" si="32"/>
        <v>0</v>
      </c>
      <c r="T142" s="13">
        <v>100000</v>
      </c>
      <c r="U142" s="13">
        <f t="shared" si="34"/>
        <v>0</v>
      </c>
      <c r="V142" s="4"/>
      <c r="Y142" s="4"/>
    </row>
    <row r="143" spans="2:25" ht="18.75" hidden="1">
      <c r="B143" s="58"/>
      <c r="C143" s="60"/>
      <c r="D143" s="51" t="s">
        <v>58</v>
      </c>
      <c r="E143" s="62" t="s">
        <v>102</v>
      </c>
      <c r="F143" s="5">
        <v>0.91666666666666663</v>
      </c>
      <c r="G143" s="65" t="s">
        <v>83</v>
      </c>
      <c r="H143" s="66"/>
      <c r="I143" s="34">
        <v>64</v>
      </c>
      <c r="J143" s="6">
        <f t="shared" si="31"/>
        <v>3.125E-2</v>
      </c>
      <c r="K143" s="38">
        <v>2</v>
      </c>
      <c r="L143" s="38"/>
      <c r="M143" s="38"/>
      <c r="N143" s="38"/>
      <c r="O143" s="38"/>
      <c r="P143" s="38"/>
      <c r="Q143" s="38"/>
      <c r="R143" s="38"/>
      <c r="S143" s="7">
        <f t="shared" si="32"/>
        <v>2</v>
      </c>
      <c r="T143" s="7">
        <v>100000</v>
      </c>
      <c r="U143" s="7">
        <f t="shared" si="34"/>
        <v>200000</v>
      </c>
      <c r="V143" s="4"/>
      <c r="Y143" s="4"/>
    </row>
    <row r="144" spans="2:25" ht="18.75" hidden="1">
      <c r="B144" s="58"/>
      <c r="C144" s="60"/>
      <c r="D144" s="52" t="s">
        <v>58</v>
      </c>
      <c r="E144" s="63"/>
      <c r="F144" s="8">
        <v>1</v>
      </c>
      <c r="G144" s="67" t="s">
        <v>83</v>
      </c>
      <c r="H144" s="68"/>
      <c r="I144" s="35">
        <v>64</v>
      </c>
      <c r="J144" s="9">
        <f t="shared" si="31"/>
        <v>3.125E-2</v>
      </c>
      <c r="K144" s="39">
        <v>2</v>
      </c>
      <c r="L144" s="39"/>
      <c r="M144" s="39"/>
      <c r="N144" s="39"/>
      <c r="O144" s="39"/>
      <c r="P144" s="39"/>
      <c r="Q144" s="39"/>
      <c r="R144" s="39"/>
      <c r="S144" s="10">
        <f t="shared" si="32"/>
        <v>2</v>
      </c>
      <c r="T144" s="10">
        <v>100000</v>
      </c>
      <c r="U144" s="10">
        <f t="shared" si="34"/>
        <v>200000</v>
      </c>
      <c r="V144" s="4"/>
      <c r="Y144" s="4"/>
    </row>
    <row r="145" spans="2:25" ht="18.75" hidden="1">
      <c r="B145" s="58"/>
      <c r="C145" s="60"/>
      <c r="D145" s="52" t="s">
        <v>58</v>
      </c>
      <c r="E145" s="63"/>
      <c r="F145" s="8">
        <v>8.3333333333333329E-2</v>
      </c>
      <c r="G145" s="67" t="s">
        <v>83</v>
      </c>
      <c r="H145" s="68"/>
      <c r="I145" s="35">
        <v>64</v>
      </c>
      <c r="J145" s="9">
        <f t="shared" si="31"/>
        <v>3.125E-2</v>
      </c>
      <c r="K145" s="39">
        <v>2</v>
      </c>
      <c r="L145" s="39"/>
      <c r="M145" s="39"/>
      <c r="N145" s="39"/>
      <c r="O145" s="39"/>
      <c r="P145" s="39"/>
      <c r="Q145" s="39"/>
      <c r="R145" s="39"/>
      <c r="S145" s="10">
        <f t="shared" si="32"/>
        <v>2</v>
      </c>
      <c r="T145" s="10">
        <v>100000</v>
      </c>
      <c r="U145" s="10">
        <f t="shared" si="34"/>
        <v>200000</v>
      </c>
      <c r="V145" s="4"/>
      <c r="Y145" s="4"/>
    </row>
    <row r="146" spans="2:25" ht="18.75" hidden="1">
      <c r="B146" s="58"/>
      <c r="C146" s="60"/>
      <c r="D146" s="52" t="s">
        <v>58</v>
      </c>
      <c r="E146" s="63"/>
      <c r="F146" s="8">
        <v>0.16666666666666666</v>
      </c>
      <c r="G146" s="67" t="s">
        <v>83</v>
      </c>
      <c r="H146" s="68"/>
      <c r="I146" s="35">
        <v>64</v>
      </c>
      <c r="J146" s="9">
        <f t="shared" si="31"/>
        <v>3.125E-2</v>
      </c>
      <c r="K146" s="39"/>
      <c r="L146" s="39"/>
      <c r="M146" s="39"/>
      <c r="N146" s="39"/>
      <c r="O146" s="39"/>
      <c r="P146" s="39"/>
      <c r="Q146" s="39"/>
      <c r="R146" s="39">
        <v>2</v>
      </c>
      <c r="S146" s="10">
        <f t="shared" si="32"/>
        <v>2</v>
      </c>
      <c r="T146" s="10">
        <v>100000</v>
      </c>
      <c r="U146" s="10">
        <f t="shared" si="34"/>
        <v>200000</v>
      </c>
      <c r="V146" s="4"/>
      <c r="W146" s="4"/>
      <c r="X146" s="4"/>
      <c r="Y146" s="4"/>
    </row>
    <row r="147" spans="2:25" ht="18.75" hidden="1">
      <c r="B147" s="58"/>
      <c r="C147" s="60"/>
      <c r="D147" s="52" t="s">
        <v>58</v>
      </c>
      <c r="E147" s="63"/>
      <c r="F147" s="8">
        <v>0.25</v>
      </c>
      <c r="G147" s="67" t="s">
        <v>83</v>
      </c>
      <c r="H147" s="68"/>
      <c r="I147" s="35">
        <v>64</v>
      </c>
      <c r="J147" s="9">
        <f t="shared" si="31"/>
        <v>3.125E-2</v>
      </c>
      <c r="K147" s="39"/>
      <c r="L147" s="39"/>
      <c r="M147" s="39"/>
      <c r="N147" s="39"/>
      <c r="O147" s="39"/>
      <c r="P147" s="39"/>
      <c r="Q147" s="39"/>
      <c r="R147" s="39">
        <v>2</v>
      </c>
      <c r="S147" s="10">
        <f t="shared" si="32"/>
        <v>2</v>
      </c>
      <c r="T147" s="10">
        <v>100000</v>
      </c>
      <c r="U147" s="10">
        <f t="shared" si="34"/>
        <v>200000</v>
      </c>
      <c r="V147" s="4"/>
      <c r="Y147" s="4"/>
    </row>
    <row r="148" spans="2:25" ht="18.75" hidden="1">
      <c r="B148" s="58"/>
      <c r="C148" s="61"/>
      <c r="D148" s="53" t="s">
        <v>58</v>
      </c>
      <c r="E148" s="69"/>
      <c r="F148" s="14">
        <v>0.33333333333333331</v>
      </c>
      <c r="G148" s="67" t="s">
        <v>83</v>
      </c>
      <c r="H148" s="68"/>
      <c r="I148" s="37">
        <v>64</v>
      </c>
      <c r="J148" s="15">
        <f t="shared" si="31"/>
        <v>1.5625E-2</v>
      </c>
      <c r="K148" s="40">
        <v>1</v>
      </c>
      <c r="L148" s="40"/>
      <c r="M148" s="40"/>
      <c r="N148" s="40"/>
      <c r="O148" s="40"/>
      <c r="P148" s="40"/>
      <c r="Q148" s="40"/>
      <c r="R148" s="40"/>
      <c r="S148" s="16">
        <f t="shared" si="32"/>
        <v>1</v>
      </c>
      <c r="T148" s="16">
        <v>100000</v>
      </c>
      <c r="U148" s="16">
        <f t="shared" si="34"/>
        <v>100000</v>
      </c>
      <c r="V148" s="4"/>
      <c r="W148" s="4"/>
      <c r="X148" s="4"/>
      <c r="Y148" s="4"/>
    </row>
    <row r="149" spans="2:25" ht="16.5" hidden="1" customHeight="1">
      <c r="B149" s="58">
        <v>46093</v>
      </c>
      <c r="C149" s="59" t="s">
        <v>15</v>
      </c>
      <c r="D149" s="51" t="s">
        <v>46</v>
      </c>
      <c r="E149" s="62" t="s">
        <v>101</v>
      </c>
      <c r="F149" s="5">
        <v>0.41666666666666669</v>
      </c>
      <c r="G149" s="65" t="s">
        <v>80</v>
      </c>
      <c r="H149" s="66"/>
      <c r="I149" s="34"/>
      <c r="J149" s="6" t="str">
        <f t="shared" ref="J149:J160" si="35">IFERROR(S149/I149,"")</f>
        <v/>
      </c>
      <c r="K149" s="38"/>
      <c r="L149" s="38"/>
      <c r="M149" s="38"/>
      <c r="N149" s="38"/>
      <c r="O149" s="38"/>
      <c r="P149" s="38"/>
      <c r="Q149" s="38"/>
      <c r="R149" s="38"/>
      <c r="S149" s="7">
        <f>SUM(K149:R149)</f>
        <v>0</v>
      </c>
      <c r="T149" s="7">
        <v>100000</v>
      </c>
      <c r="U149" s="7">
        <f>T149*S149</f>
        <v>0</v>
      </c>
      <c r="V149" s="4"/>
      <c r="W149" s="4"/>
      <c r="X149" s="4"/>
      <c r="Y149" s="4"/>
    </row>
    <row r="150" spans="2:25" ht="18.75" hidden="1">
      <c r="B150" s="58"/>
      <c r="C150" s="60"/>
      <c r="D150" s="52" t="s">
        <v>46</v>
      </c>
      <c r="E150" s="63"/>
      <c r="F150" s="8">
        <v>0.5</v>
      </c>
      <c r="G150" s="67" t="s">
        <v>80</v>
      </c>
      <c r="H150" s="68"/>
      <c r="I150" s="35"/>
      <c r="J150" s="9" t="str">
        <f t="shared" si="35"/>
        <v/>
      </c>
      <c r="K150" s="39"/>
      <c r="L150" s="39"/>
      <c r="M150" s="39"/>
      <c r="N150" s="39"/>
      <c r="O150" s="39"/>
      <c r="P150" s="39"/>
      <c r="Q150" s="39"/>
      <c r="R150" s="39"/>
      <c r="S150" s="10">
        <f t="shared" ref="S150:S160" si="36">SUM(K150:R150)</f>
        <v>0</v>
      </c>
      <c r="T150" s="10">
        <v>100000</v>
      </c>
      <c r="U150" s="10">
        <f t="shared" ref="U150:U151" si="37">T150*S150</f>
        <v>0</v>
      </c>
      <c r="V150" s="4"/>
      <c r="W150" s="4"/>
      <c r="X150" s="4"/>
      <c r="Y150" s="4"/>
    </row>
    <row r="151" spans="2:25" ht="18.75" hidden="1">
      <c r="B151" s="58"/>
      <c r="C151" s="60"/>
      <c r="D151" s="52" t="s">
        <v>46</v>
      </c>
      <c r="E151" s="63"/>
      <c r="F151" s="8">
        <v>0.58333333333333337</v>
      </c>
      <c r="G151" s="67" t="s">
        <v>80</v>
      </c>
      <c r="H151" s="68"/>
      <c r="I151" s="35"/>
      <c r="J151" s="9" t="str">
        <f t="shared" si="35"/>
        <v/>
      </c>
      <c r="K151" s="39"/>
      <c r="L151" s="39"/>
      <c r="M151" s="39"/>
      <c r="N151" s="39"/>
      <c r="O151" s="39"/>
      <c r="P151" s="39"/>
      <c r="Q151" s="39"/>
      <c r="R151" s="39"/>
      <c r="S151" s="10">
        <f t="shared" si="36"/>
        <v>0</v>
      </c>
      <c r="T151" s="10">
        <v>100000</v>
      </c>
      <c r="U151" s="10">
        <f t="shared" si="37"/>
        <v>0</v>
      </c>
      <c r="V151" s="4"/>
      <c r="W151" s="4"/>
      <c r="X151" s="4"/>
      <c r="Y151" s="4"/>
    </row>
    <row r="152" spans="2:25" ht="18.75" hidden="1">
      <c r="B152" s="58"/>
      <c r="C152" s="60"/>
      <c r="D152" s="52" t="s">
        <v>46</v>
      </c>
      <c r="E152" s="63"/>
      <c r="F152" s="8">
        <v>0.66666666666666663</v>
      </c>
      <c r="G152" s="67" t="s">
        <v>80</v>
      </c>
      <c r="H152" s="68"/>
      <c r="I152" s="35">
        <v>14</v>
      </c>
      <c r="J152" s="9">
        <f t="shared" si="35"/>
        <v>0.9285714285714286</v>
      </c>
      <c r="K152" s="39"/>
      <c r="L152" s="39"/>
      <c r="M152" s="39"/>
      <c r="N152" s="39"/>
      <c r="O152" s="39"/>
      <c r="P152" s="39"/>
      <c r="Q152" s="39">
        <v>13</v>
      </c>
      <c r="R152" s="39"/>
      <c r="S152" s="10">
        <f t="shared" si="36"/>
        <v>13</v>
      </c>
      <c r="T152" s="10">
        <v>100000</v>
      </c>
      <c r="U152" s="10">
        <f>T152*S152</f>
        <v>1300000</v>
      </c>
      <c r="V152" s="4"/>
      <c r="W152" s="4"/>
      <c r="X152" s="4"/>
      <c r="Y152" s="4"/>
    </row>
    <row r="153" spans="2:25" ht="18.75" hidden="1">
      <c r="B153" s="58"/>
      <c r="C153" s="60"/>
      <c r="D153" s="52" t="s">
        <v>46</v>
      </c>
      <c r="E153" s="63"/>
      <c r="F153" s="8">
        <v>0.75</v>
      </c>
      <c r="G153" s="67" t="s">
        <v>80</v>
      </c>
      <c r="H153" s="68"/>
      <c r="I153" s="35">
        <v>80</v>
      </c>
      <c r="J153" s="9">
        <f t="shared" si="35"/>
        <v>0.2</v>
      </c>
      <c r="K153" s="39"/>
      <c r="L153" s="39"/>
      <c r="M153" s="39">
        <v>4</v>
      </c>
      <c r="N153" s="39"/>
      <c r="O153" s="39"/>
      <c r="P153" s="39"/>
      <c r="Q153" s="39"/>
      <c r="R153" s="39">
        <v>12</v>
      </c>
      <c r="S153" s="10">
        <f t="shared" si="36"/>
        <v>16</v>
      </c>
      <c r="T153" s="10">
        <v>100000</v>
      </c>
      <c r="U153" s="10">
        <f t="shared" ref="U153:U160" si="38">T153*S153</f>
        <v>1600000</v>
      </c>
      <c r="V153" s="4"/>
      <c r="W153" s="4"/>
      <c r="X153" s="11"/>
      <c r="Y153" s="4"/>
    </row>
    <row r="154" spans="2:25" ht="18.75" hidden="1">
      <c r="B154" s="58"/>
      <c r="C154" s="60"/>
      <c r="D154" s="53" t="s">
        <v>46</v>
      </c>
      <c r="E154" s="64"/>
      <c r="F154" s="12">
        <v>0.83333333333333337</v>
      </c>
      <c r="G154" s="67" t="s">
        <v>80</v>
      </c>
      <c r="H154" s="68"/>
      <c r="I154" s="36">
        <v>20</v>
      </c>
      <c r="J154" s="9">
        <f t="shared" si="35"/>
        <v>0</v>
      </c>
      <c r="K154" s="41"/>
      <c r="L154" s="41"/>
      <c r="M154" s="41"/>
      <c r="N154" s="41"/>
      <c r="O154" s="41"/>
      <c r="P154" s="41"/>
      <c r="Q154" s="41"/>
      <c r="R154" s="41"/>
      <c r="S154" s="13">
        <f t="shared" si="36"/>
        <v>0</v>
      </c>
      <c r="T154" s="13">
        <v>100000</v>
      </c>
      <c r="U154" s="13">
        <f t="shared" si="38"/>
        <v>0</v>
      </c>
      <c r="V154" s="4"/>
      <c r="Y154" s="4"/>
    </row>
    <row r="155" spans="2:25" ht="18.75" hidden="1">
      <c r="B155" s="58"/>
      <c r="C155" s="60"/>
      <c r="D155" s="51" t="s">
        <v>46</v>
      </c>
      <c r="E155" s="62" t="s">
        <v>102</v>
      </c>
      <c r="F155" s="5">
        <v>0.91666666666666663</v>
      </c>
      <c r="G155" s="65" t="s">
        <v>82</v>
      </c>
      <c r="H155" s="66"/>
      <c r="I155" s="34">
        <v>76</v>
      </c>
      <c r="J155" s="6">
        <f t="shared" si="35"/>
        <v>2.6315789473684209E-2</v>
      </c>
      <c r="K155" s="38"/>
      <c r="L155" s="38"/>
      <c r="M155" s="38">
        <v>2</v>
      </c>
      <c r="N155" s="38"/>
      <c r="O155" s="38"/>
      <c r="P155" s="38"/>
      <c r="Q155" s="38"/>
      <c r="R155" s="38"/>
      <c r="S155" s="7">
        <f t="shared" si="36"/>
        <v>2</v>
      </c>
      <c r="T155" s="7">
        <v>100000</v>
      </c>
      <c r="U155" s="7">
        <f t="shared" si="38"/>
        <v>200000</v>
      </c>
      <c r="V155" s="4"/>
      <c r="Y155" s="4"/>
    </row>
    <row r="156" spans="2:25" ht="18.75" hidden="1">
      <c r="B156" s="58"/>
      <c r="C156" s="60"/>
      <c r="D156" s="52" t="s">
        <v>46</v>
      </c>
      <c r="E156" s="63"/>
      <c r="F156" s="8">
        <v>1</v>
      </c>
      <c r="G156" s="67" t="s">
        <v>82</v>
      </c>
      <c r="H156" s="68"/>
      <c r="I156" s="35">
        <v>76</v>
      </c>
      <c r="J156" s="9">
        <f t="shared" si="35"/>
        <v>2.6315789473684209E-2</v>
      </c>
      <c r="K156" s="39"/>
      <c r="L156" s="39"/>
      <c r="M156" s="39">
        <v>2</v>
      </c>
      <c r="N156" s="39"/>
      <c r="O156" s="39"/>
      <c r="P156" s="39"/>
      <c r="Q156" s="39"/>
      <c r="R156" s="39"/>
      <c r="S156" s="10">
        <f t="shared" si="36"/>
        <v>2</v>
      </c>
      <c r="T156" s="10">
        <v>100000</v>
      </c>
      <c r="U156" s="10">
        <f t="shared" si="38"/>
        <v>200000</v>
      </c>
      <c r="V156" s="4"/>
      <c r="Y156" s="4"/>
    </row>
    <row r="157" spans="2:25" ht="18.75" hidden="1">
      <c r="B157" s="58"/>
      <c r="C157" s="60"/>
      <c r="D157" s="52" t="s">
        <v>46</v>
      </c>
      <c r="E157" s="63"/>
      <c r="F157" s="8">
        <v>8.3333333333333329E-2</v>
      </c>
      <c r="G157" s="67" t="s">
        <v>82</v>
      </c>
      <c r="H157" s="68"/>
      <c r="I157" s="35">
        <v>76</v>
      </c>
      <c r="J157" s="9">
        <f t="shared" si="35"/>
        <v>2.6315789473684209E-2</v>
      </c>
      <c r="K157" s="39"/>
      <c r="L157" s="39"/>
      <c r="M157" s="39">
        <v>2</v>
      </c>
      <c r="N157" s="39"/>
      <c r="O157" s="39"/>
      <c r="P157" s="39"/>
      <c r="Q157" s="39"/>
      <c r="R157" s="39"/>
      <c r="S157" s="10">
        <f t="shared" si="36"/>
        <v>2</v>
      </c>
      <c r="T157" s="10">
        <v>100000</v>
      </c>
      <c r="U157" s="10">
        <f t="shared" si="38"/>
        <v>200000</v>
      </c>
      <c r="V157" s="4"/>
      <c r="Y157" s="4"/>
    </row>
    <row r="158" spans="2:25" ht="18.75" hidden="1">
      <c r="B158" s="58"/>
      <c r="C158" s="60"/>
      <c r="D158" s="52" t="s">
        <v>46</v>
      </c>
      <c r="E158" s="63"/>
      <c r="F158" s="8">
        <v>0.16666666666666666</v>
      </c>
      <c r="G158" s="67" t="s">
        <v>82</v>
      </c>
      <c r="H158" s="68"/>
      <c r="I158" s="35">
        <v>76</v>
      </c>
      <c r="J158" s="9">
        <f t="shared" si="35"/>
        <v>2.6315789473684209E-2</v>
      </c>
      <c r="K158" s="39"/>
      <c r="L158" s="39"/>
      <c r="M158" s="39">
        <v>2</v>
      </c>
      <c r="N158" s="39"/>
      <c r="O158" s="39"/>
      <c r="P158" s="39"/>
      <c r="Q158" s="39"/>
      <c r="R158" s="39"/>
      <c r="S158" s="10">
        <f t="shared" si="36"/>
        <v>2</v>
      </c>
      <c r="T158" s="10">
        <v>100000</v>
      </c>
      <c r="U158" s="10">
        <f t="shared" si="38"/>
        <v>200000</v>
      </c>
      <c r="V158" s="4"/>
      <c r="W158" s="4"/>
      <c r="X158" s="4"/>
      <c r="Y158" s="4"/>
    </row>
    <row r="159" spans="2:25" ht="18.75" hidden="1">
      <c r="B159" s="58"/>
      <c r="C159" s="60"/>
      <c r="D159" s="52" t="s">
        <v>46</v>
      </c>
      <c r="E159" s="63"/>
      <c r="F159" s="8">
        <v>0.25</v>
      </c>
      <c r="G159" s="67" t="s">
        <v>82</v>
      </c>
      <c r="H159" s="68"/>
      <c r="I159" s="35">
        <v>76</v>
      </c>
      <c r="J159" s="9">
        <f t="shared" si="35"/>
        <v>2.6315789473684209E-2</v>
      </c>
      <c r="K159" s="39"/>
      <c r="L159" s="39"/>
      <c r="M159" s="39">
        <v>2</v>
      </c>
      <c r="N159" s="39"/>
      <c r="O159" s="39"/>
      <c r="P159" s="39"/>
      <c r="Q159" s="39"/>
      <c r="R159" s="39"/>
      <c r="S159" s="10">
        <f t="shared" si="36"/>
        <v>2</v>
      </c>
      <c r="T159" s="10">
        <v>100000</v>
      </c>
      <c r="U159" s="10">
        <f t="shared" si="38"/>
        <v>200000</v>
      </c>
      <c r="V159" s="4"/>
      <c r="Y159" s="4"/>
    </row>
    <row r="160" spans="2:25" ht="18.75" hidden="1">
      <c r="B160" s="58"/>
      <c r="C160" s="61"/>
      <c r="D160" s="53" t="s">
        <v>46</v>
      </c>
      <c r="E160" s="69"/>
      <c r="F160" s="14">
        <v>0.33333333333333331</v>
      </c>
      <c r="G160" s="67" t="s">
        <v>82</v>
      </c>
      <c r="H160" s="68"/>
      <c r="I160" s="37">
        <v>76</v>
      </c>
      <c r="J160" s="15">
        <f t="shared" si="35"/>
        <v>0</v>
      </c>
      <c r="K160" s="40"/>
      <c r="L160" s="40"/>
      <c r="M160" s="40"/>
      <c r="N160" s="40"/>
      <c r="O160" s="40"/>
      <c r="P160" s="40"/>
      <c r="Q160" s="40"/>
      <c r="R160" s="40"/>
      <c r="S160" s="16">
        <f t="shared" si="36"/>
        <v>0</v>
      </c>
      <c r="T160" s="16">
        <v>100000</v>
      </c>
      <c r="U160" s="16">
        <f t="shared" si="38"/>
        <v>0</v>
      </c>
      <c r="V160" s="4"/>
      <c r="W160" s="4"/>
      <c r="X160" s="4"/>
      <c r="Y160" s="4"/>
    </row>
    <row r="161" spans="2:25" ht="16.5" hidden="1" customHeight="1">
      <c r="B161" s="58">
        <v>46094</v>
      </c>
      <c r="C161" s="59" t="s">
        <v>15</v>
      </c>
      <c r="D161" s="51" t="s">
        <v>46</v>
      </c>
      <c r="E161" s="62" t="s">
        <v>101</v>
      </c>
      <c r="F161" s="5">
        <v>0.41666666666666669</v>
      </c>
      <c r="G161" s="65" t="s">
        <v>103</v>
      </c>
      <c r="H161" s="66"/>
      <c r="I161" s="34">
        <v>114</v>
      </c>
      <c r="J161" s="6">
        <f t="shared" ref="J161:J184" si="39">IFERROR(S161/I161,"")</f>
        <v>3.5087719298245612E-2</v>
      </c>
      <c r="K161" s="38"/>
      <c r="L161" s="38"/>
      <c r="M161" s="38">
        <v>4</v>
      </c>
      <c r="N161" s="38"/>
      <c r="O161" s="38"/>
      <c r="P161" s="38"/>
      <c r="Q161" s="38"/>
      <c r="R161" s="38"/>
      <c r="S161" s="7">
        <f>SUM(K161:R161)</f>
        <v>4</v>
      </c>
      <c r="T161" s="7">
        <v>100000</v>
      </c>
      <c r="U161" s="7">
        <f>T161*S161</f>
        <v>400000</v>
      </c>
      <c r="V161" s="4"/>
      <c r="W161" s="4"/>
      <c r="X161" s="4"/>
      <c r="Y161" s="4"/>
    </row>
    <row r="162" spans="2:25" ht="18.75" hidden="1">
      <c r="B162" s="58"/>
      <c r="C162" s="60"/>
      <c r="D162" s="52"/>
      <c r="E162" s="63"/>
      <c r="F162" s="8">
        <v>0.5</v>
      </c>
      <c r="G162" s="67"/>
      <c r="H162" s="68"/>
      <c r="I162" s="35"/>
      <c r="J162" s="9" t="str">
        <f t="shared" si="39"/>
        <v/>
      </c>
      <c r="K162" s="39"/>
      <c r="L162" s="39"/>
      <c r="M162" s="39"/>
      <c r="N162" s="39"/>
      <c r="O162" s="39"/>
      <c r="P162" s="39"/>
      <c r="Q162" s="39"/>
      <c r="R162" s="39"/>
      <c r="S162" s="10">
        <f t="shared" ref="S162:S172" si="40">SUM(K162:R162)</f>
        <v>0</v>
      </c>
      <c r="T162" s="10">
        <v>100000</v>
      </c>
      <c r="U162" s="10">
        <f t="shared" ref="U162:U163" si="41">T162*S162</f>
        <v>0</v>
      </c>
      <c r="V162" s="4"/>
      <c r="W162" s="4"/>
      <c r="X162" s="4"/>
      <c r="Y162" s="4"/>
    </row>
    <row r="163" spans="2:25" ht="18.75" hidden="1">
      <c r="B163" s="58"/>
      <c r="C163" s="60"/>
      <c r="D163" s="52"/>
      <c r="E163" s="63"/>
      <c r="F163" s="8">
        <v>0.58333333333333337</v>
      </c>
      <c r="G163" s="67"/>
      <c r="H163" s="68"/>
      <c r="I163" s="35"/>
      <c r="J163" s="9" t="str">
        <f t="shared" si="39"/>
        <v/>
      </c>
      <c r="K163" s="39"/>
      <c r="L163" s="39"/>
      <c r="M163" s="39"/>
      <c r="N163" s="39"/>
      <c r="O163" s="39"/>
      <c r="P163" s="39"/>
      <c r="Q163" s="39"/>
      <c r="R163" s="39"/>
      <c r="S163" s="10">
        <f t="shared" si="40"/>
        <v>0</v>
      </c>
      <c r="T163" s="10">
        <v>100000</v>
      </c>
      <c r="U163" s="10">
        <f t="shared" si="41"/>
        <v>0</v>
      </c>
      <c r="V163" s="4"/>
      <c r="W163" s="4"/>
      <c r="X163" s="4"/>
      <c r="Y163" s="4"/>
    </row>
    <row r="164" spans="2:25" ht="18.75" hidden="1">
      <c r="B164" s="58"/>
      <c r="C164" s="60"/>
      <c r="D164" s="52"/>
      <c r="E164" s="63"/>
      <c r="F164" s="8">
        <v>0.66666666666666663</v>
      </c>
      <c r="G164" s="67"/>
      <c r="H164" s="68"/>
      <c r="I164" s="35"/>
      <c r="J164" s="9" t="str">
        <f t="shared" si="39"/>
        <v/>
      </c>
      <c r="K164" s="39"/>
      <c r="L164" s="39"/>
      <c r="M164" s="39"/>
      <c r="N164" s="39"/>
      <c r="O164" s="39"/>
      <c r="P164" s="39"/>
      <c r="Q164" s="39"/>
      <c r="R164" s="39"/>
      <c r="S164" s="10">
        <f t="shared" si="40"/>
        <v>0</v>
      </c>
      <c r="T164" s="10">
        <v>100000</v>
      </c>
      <c r="U164" s="10">
        <f>T164*S164</f>
        <v>0</v>
      </c>
      <c r="V164" s="4"/>
      <c r="W164" s="4"/>
      <c r="X164" s="4"/>
      <c r="Y164" s="4"/>
    </row>
    <row r="165" spans="2:25" ht="18.75" hidden="1">
      <c r="B165" s="58"/>
      <c r="C165" s="60"/>
      <c r="D165" s="52"/>
      <c r="E165" s="63"/>
      <c r="F165" s="8">
        <v>0.75</v>
      </c>
      <c r="G165" s="67"/>
      <c r="H165" s="68"/>
      <c r="I165" s="35"/>
      <c r="J165" s="9" t="str">
        <f t="shared" si="39"/>
        <v/>
      </c>
      <c r="K165" s="39"/>
      <c r="L165" s="39"/>
      <c r="M165" s="39"/>
      <c r="N165" s="39"/>
      <c r="O165" s="39"/>
      <c r="P165" s="39"/>
      <c r="Q165" s="39"/>
      <c r="R165" s="39"/>
      <c r="S165" s="10">
        <f t="shared" si="40"/>
        <v>0</v>
      </c>
      <c r="T165" s="10">
        <v>100000</v>
      </c>
      <c r="U165" s="10">
        <f t="shared" ref="U165:U172" si="42">T165*S165</f>
        <v>0</v>
      </c>
      <c r="V165" s="4"/>
      <c r="W165" s="4"/>
      <c r="X165" s="11"/>
      <c r="Y165" s="4"/>
    </row>
    <row r="166" spans="2:25" ht="18.75" hidden="1">
      <c r="B166" s="58"/>
      <c r="C166" s="60"/>
      <c r="D166" s="53"/>
      <c r="E166" s="64"/>
      <c r="F166" s="12">
        <v>0.83333333333333337</v>
      </c>
      <c r="G166" s="67"/>
      <c r="H166" s="68"/>
      <c r="I166" s="36"/>
      <c r="J166" s="9" t="str">
        <f t="shared" si="39"/>
        <v/>
      </c>
      <c r="K166" s="41"/>
      <c r="L166" s="41"/>
      <c r="M166" s="41"/>
      <c r="N166" s="41"/>
      <c r="O166" s="41"/>
      <c r="P166" s="41"/>
      <c r="Q166" s="41"/>
      <c r="R166" s="41"/>
      <c r="S166" s="13">
        <f t="shared" si="40"/>
        <v>0</v>
      </c>
      <c r="T166" s="13">
        <v>100000</v>
      </c>
      <c r="U166" s="13">
        <f t="shared" si="42"/>
        <v>0</v>
      </c>
      <c r="V166" s="4"/>
      <c r="Y166" s="4"/>
    </row>
    <row r="167" spans="2:25" ht="18.75" hidden="1">
      <c r="B167" s="58"/>
      <c r="C167" s="60"/>
      <c r="D167" s="51"/>
      <c r="E167" s="62" t="s">
        <v>102</v>
      </c>
      <c r="F167" s="5">
        <v>0.91666666666666663</v>
      </c>
      <c r="G167" s="65"/>
      <c r="H167" s="66"/>
      <c r="I167" s="34"/>
      <c r="J167" s="6" t="str">
        <f t="shared" si="39"/>
        <v/>
      </c>
      <c r="K167" s="38"/>
      <c r="L167" s="38"/>
      <c r="M167" s="38"/>
      <c r="N167" s="38"/>
      <c r="O167" s="38"/>
      <c r="P167" s="38"/>
      <c r="Q167" s="38"/>
      <c r="R167" s="38"/>
      <c r="S167" s="7">
        <f t="shared" si="40"/>
        <v>0</v>
      </c>
      <c r="T167" s="7">
        <v>100000</v>
      </c>
      <c r="U167" s="7">
        <f t="shared" si="42"/>
        <v>0</v>
      </c>
      <c r="V167" s="4"/>
      <c r="Y167" s="4"/>
    </row>
    <row r="168" spans="2:25" ht="18.75" hidden="1">
      <c r="B168" s="58"/>
      <c r="C168" s="60"/>
      <c r="D168" s="52"/>
      <c r="E168" s="63"/>
      <c r="F168" s="8">
        <v>1</v>
      </c>
      <c r="G168" s="67"/>
      <c r="H168" s="68"/>
      <c r="I168" s="35"/>
      <c r="J168" s="9" t="str">
        <f t="shared" si="39"/>
        <v/>
      </c>
      <c r="K168" s="39"/>
      <c r="L168" s="39"/>
      <c r="M168" s="39"/>
      <c r="N168" s="39"/>
      <c r="O168" s="39"/>
      <c r="P168" s="39"/>
      <c r="Q168" s="39"/>
      <c r="R168" s="39"/>
      <c r="S168" s="10">
        <f t="shared" si="40"/>
        <v>0</v>
      </c>
      <c r="T168" s="10">
        <v>100000</v>
      </c>
      <c r="U168" s="10">
        <f t="shared" si="42"/>
        <v>0</v>
      </c>
      <c r="V168" s="4"/>
      <c r="Y168" s="4"/>
    </row>
    <row r="169" spans="2:25" ht="18.75" hidden="1">
      <c r="B169" s="58"/>
      <c r="C169" s="60"/>
      <c r="D169" s="52"/>
      <c r="E169" s="63"/>
      <c r="F169" s="8">
        <v>8.3333333333333329E-2</v>
      </c>
      <c r="G169" s="67"/>
      <c r="H169" s="68"/>
      <c r="I169" s="35"/>
      <c r="J169" s="9" t="str">
        <f t="shared" si="39"/>
        <v/>
      </c>
      <c r="K169" s="39"/>
      <c r="L169" s="39"/>
      <c r="M169" s="39"/>
      <c r="N169" s="39"/>
      <c r="O169" s="39"/>
      <c r="P169" s="39"/>
      <c r="Q169" s="39"/>
      <c r="R169" s="39"/>
      <c r="S169" s="10">
        <f t="shared" si="40"/>
        <v>0</v>
      </c>
      <c r="T169" s="10">
        <v>100000</v>
      </c>
      <c r="U169" s="10">
        <f t="shared" si="42"/>
        <v>0</v>
      </c>
      <c r="V169" s="4"/>
      <c r="Y169" s="4"/>
    </row>
    <row r="170" spans="2:25" ht="18.75" hidden="1">
      <c r="B170" s="58"/>
      <c r="C170" s="60"/>
      <c r="D170" s="52"/>
      <c r="E170" s="63"/>
      <c r="F170" s="8">
        <v>0.16666666666666666</v>
      </c>
      <c r="G170" s="67"/>
      <c r="H170" s="68"/>
      <c r="I170" s="35"/>
      <c r="J170" s="9" t="str">
        <f t="shared" si="39"/>
        <v/>
      </c>
      <c r="K170" s="39"/>
      <c r="L170" s="39"/>
      <c r="M170" s="39"/>
      <c r="N170" s="39"/>
      <c r="O170" s="39"/>
      <c r="P170" s="39"/>
      <c r="Q170" s="39"/>
      <c r="R170" s="39"/>
      <c r="S170" s="10">
        <f t="shared" si="40"/>
        <v>0</v>
      </c>
      <c r="T170" s="10">
        <v>100000</v>
      </c>
      <c r="U170" s="10">
        <f t="shared" si="42"/>
        <v>0</v>
      </c>
      <c r="V170" s="4"/>
      <c r="W170" s="4"/>
      <c r="X170" s="4"/>
      <c r="Y170" s="4"/>
    </row>
    <row r="171" spans="2:25" ht="18.75" hidden="1">
      <c r="B171" s="58"/>
      <c r="C171" s="60"/>
      <c r="D171" s="52"/>
      <c r="E171" s="63"/>
      <c r="F171" s="8">
        <v>0.25</v>
      </c>
      <c r="G171" s="67"/>
      <c r="H171" s="68"/>
      <c r="I171" s="35"/>
      <c r="J171" s="9" t="str">
        <f t="shared" si="39"/>
        <v/>
      </c>
      <c r="K171" s="39"/>
      <c r="L171" s="39"/>
      <c r="M171" s="39"/>
      <c r="N171" s="39"/>
      <c r="O171" s="39"/>
      <c r="P171" s="39"/>
      <c r="Q171" s="39"/>
      <c r="R171" s="39"/>
      <c r="S171" s="10">
        <f t="shared" si="40"/>
        <v>0</v>
      </c>
      <c r="T171" s="10">
        <v>100000</v>
      </c>
      <c r="U171" s="10">
        <f t="shared" si="42"/>
        <v>0</v>
      </c>
      <c r="V171" s="4"/>
      <c r="Y171" s="4"/>
    </row>
    <row r="172" spans="2:25" ht="18.75" hidden="1">
      <c r="B172" s="58"/>
      <c r="C172" s="61"/>
      <c r="D172" s="53"/>
      <c r="E172" s="69"/>
      <c r="F172" s="14">
        <v>0.33333333333333331</v>
      </c>
      <c r="G172" s="67"/>
      <c r="H172" s="68"/>
      <c r="I172" s="37"/>
      <c r="J172" s="15" t="str">
        <f t="shared" si="39"/>
        <v/>
      </c>
      <c r="K172" s="40"/>
      <c r="L172" s="40"/>
      <c r="M172" s="40"/>
      <c r="N172" s="40"/>
      <c r="O172" s="40"/>
      <c r="P172" s="40"/>
      <c r="Q172" s="40"/>
      <c r="R172" s="40"/>
      <c r="S172" s="16">
        <f t="shared" si="40"/>
        <v>0</v>
      </c>
      <c r="T172" s="16">
        <v>100000</v>
      </c>
      <c r="U172" s="16">
        <f t="shared" si="42"/>
        <v>0</v>
      </c>
      <c r="V172" s="4"/>
      <c r="W172" s="4"/>
      <c r="X172" s="4"/>
      <c r="Y172" s="4"/>
    </row>
    <row r="173" spans="2:25" ht="16.5" hidden="1" customHeight="1">
      <c r="B173" s="58">
        <v>46095</v>
      </c>
      <c r="C173" s="59" t="s">
        <v>15</v>
      </c>
      <c r="D173" s="51"/>
      <c r="E173" s="62" t="s">
        <v>101</v>
      </c>
      <c r="F173" s="5">
        <v>0.41666666666666669</v>
      </c>
      <c r="G173" s="65"/>
      <c r="H173" s="66"/>
      <c r="I173" s="34"/>
      <c r="J173" s="6" t="str">
        <f t="shared" si="39"/>
        <v/>
      </c>
      <c r="K173" s="38"/>
      <c r="L173" s="38"/>
      <c r="M173" s="38"/>
      <c r="N173" s="38"/>
      <c r="O173" s="38"/>
      <c r="P173" s="38"/>
      <c r="Q173" s="38"/>
      <c r="R173" s="38"/>
      <c r="S173" s="7">
        <f>SUM(K173:R173)</f>
        <v>0</v>
      </c>
      <c r="T173" s="7">
        <v>100000</v>
      </c>
      <c r="U173" s="7">
        <f>T173*S173</f>
        <v>0</v>
      </c>
      <c r="V173" s="4"/>
      <c r="W173" s="4"/>
      <c r="X173" s="4"/>
      <c r="Y173" s="4"/>
    </row>
    <row r="174" spans="2:25" ht="18.75" hidden="1">
      <c r="B174" s="58"/>
      <c r="C174" s="60"/>
      <c r="D174" s="52"/>
      <c r="E174" s="63"/>
      <c r="F174" s="8">
        <v>0.5</v>
      </c>
      <c r="G174" s="67"/>
      <c r="H174" s="68"/>
      <c r="I174" s="35"/>
      <c r="J174" s="9" t="str">
        <f t="shared" si="39"/>
        <v/>
      </c>
      <c r="K174" s="39"/>
      <c r="L174" s="39"/>
      <c r="M174" s="39"/>
      <c r="N174" s="39"/>
      <c r="O174" s="39"/>
      <c r="P174" s="39"/>
      <c r="Q174" s="39"/>
      <c r="R174" s="39"/>
      <c r="S174" s="10">
        <f t="shared" ref="S174:S184" si="43">SUM(K174:R174)</f>
        <v>0</v>
      </c>
      <c r="T174" s="10">
        <v>100000</v>
      </c>
      <c r="U174" s="10">
        <f t="shared" ref="U174:U175" si="44">T174*S174</f>
        <v>0</v>
      </c>
      <c r="V174" s="4"/>
      <c r="W174" s="4"/>
      <c r="X174" s="4"/>
      <c r="Y174" s="4"/>
    </row>
    <row r="175" spans="2:25" ht="18.75" hidden="1">
      <c r="B175" s="58"/>
      <c r="C175" s="60"/>
      <c r="D175" s="52"/>
      <c r="E175" s="63"/>
      <c r="F175" s="8">
        <v>0.58333333333333337</v>
      </c>
      <c r="G175" s="67"/>
      <c r="H175" s="68"/>
      <c r="I175" s="35"/>
      <c r="J175" s="9" t="str">
        <f t="shared" si="39"/>
        <v/>
      </c>
      <c r="K175" s="39"/>
      <c r="L175" s="39"/>
      <c r="M175" s="39"/>
      <c r="N175" s="39"/>
      <c r="O175" s="39"/>
      <c r="P175" s="39"/>
      <c r="Q175" s="39"/>
      <c r="R175" s="39"/>
      <c r="S175" s="10">
        <f t="shared" si="43"/>
        <v>0</v>
      </c>
      <c r="T175" s="10">
        <v>100000</v>
      </c>
      <c r="U175" s="10">
        <f t="shared" si="44"/>
        <v>0</v>
      </c>
      <c r="V175" s="4"/>
      <c r="W175" s="4"/>
      <c r="X175" s="4"/>
      <c r="Y175" s="4"/>
    </row>
    <row r="176" spans="2:25" ht="18.75" hidden="1">
      <c r="B176" s="58"/>
      <c r="C176" s="60"/>
      <c r="D176" s="52"/>
      <c r="E176" s="63"/>
      <c r="F176" s="8">
        <v>0.66666666666666663</v>
      </c>
      <c r="G176" s="67"/>
      <c r="H176" s="68"/>
      <c r="I176" s="35"/>
      <c r="J176" s="9" t="str">
        <f t="shared" si="39"/>
        <v/>
      </c>
      <c r="K176" s="39"/>
      <c r="L176" s="39"/>
      <c r="M176" s="39"/>
      <c r="N176" s="39"/>
      <c r="O176" s="39"/>
      <c r="P176" s="39"/>
      <c r="Q176" s="39"/>
      <c r="R176" s="39"/>
      <c r="S176" s="10">
        <f t="shared" si="43"/>
        <v>0</v>
      </c>
      <c r="T176" s="10">
        <v>100000</v>
      </c>
      <c r="U176" s="10">
        <f>T176*S176</f>
        <v>0</v>
      </c>
      <c r="V176" s="4"/>
      <c r="W176" s="4"/>
      <c r="X176" s="4"/>
      <c r="Y176" s="4"/>
    </row>
    <row r="177" spans="2:25" ht="18.75" hidden="1">
      <c r="B177" s="58"/>
      <c r="C177" s="60"/>
      <c r="D177" s="52"/>
      <c r="E177" s="63"/>
      <c r="F177" s="8">
        <v>0.75</v>
      </c>
      <c r="G177" s="67"/>
      <c r="H177" s="68"/>
      <c r="I177" s="35"/>
      <c r="J177" s="9" t="str">
        <f t="shared" si="39"/>
        <v/>
      </c>
      <c r="K177" s="39"/>
      <c r="L177" s="39"/>
      <c r="M177" s="39"/>
      <c r="N177" s="39"/>
      <c r="O177" s="39"/>
      <c r="P177" s="39"/>
      <c r="Q177" s="39"/>
      <c r="R177" s="39"/>
      <c r="S177" s="10">
        <f t="shared" si="43"/>
        <v>0</v>
      </c>
      <c r="T177" s="10">
        <v>100000</v>
      </c>
      <c r="U177" s="10">
        <f t="shared" ref="U177:U184" si="45">T177*S177</f>
        <v>0</v>
      </c>
      <c r="V177" s="4"/>
      <c r="W177" s="4"/>
      <c r="X177" s="11"/>
      <c r="Y177" s="4"/>
    </row>
    <row r="178" spans="2:25" ht="18.75" hidden="1">
      <c r="B178" s="58"/>
      <c r="C178" s="60"/>
      <c r="D178" s="53"/>
      <c r="E178" s="64"/>
      <c r="F178" s="12">
        <v>0.83333333333333337</v>
      </c>
      <c r="G178" s="67"/>
      <c r="H178" s="68"/>
      <c r="I178" s="36"/>
      <c r="J178" s="9" t="str">
        <f t="shared" si="39"/>
        <v/>
      </c>
      <c r="K178" s="41"/>
      <c r="L178" s="41"/>
      <c r="M178" s="41"/>
      <c r="N178" s="41"/>
      <c r="O178" s="41"/>
      <c r="P178" s="41"/>
      <c r="Q178" s="41"/>
      <c r="R178" s="41"/>
      <c r="S178" s="13">
        <f t="shared" si="43"/>
        <v>0</v>
      </c>
      <c r="T178" s="13">
        <v>100000</v>
      </c>
      <c r="U178" s="13">
        <f t="shared" si="45"/>
        <v>0</v>
      </c>
      <c r="V178" s="4"/>
      <c r="Y178" s="4"/>
    </row>
    <row r="179" spans="2:25" ht="18.75" hidden="1">
      <c r="B179" s="58"/>
      <c r="C179" s="60"/>
      <c r="D179" s="51"/>
      <c r="E179" s="62" t="s">
        <v>102</v>
      </c>
      <c r="F179" s="5">
        <v>0.91666666666666663</v>
      </c>
      <c r="G179" s="65"/>
      <c r="H179" s="66"/>
      <c r="I179" s="34"/>
      <c r="J179" s="6" t="str">
        <f t="shared" si="39"/>
        <v/>
      </c>
      <c r="K179" s="38"/>
      <c r="L179" s="38"/>
      <c r="M179" s="38"/>
      <c r="N179" s="38"/>
      <c r="O179" s="38"/>
      <c r="P179" s="38"/>
      <c r="Q179" s="38"/>
      <c r="R179" s="38"/>
      <c r="S179" s="7">
        <f t="shared" si="43"/>
        <v>0</v>
      </c>
      <c r="T179" s="7">
        <v>100000</v>
      </c>
      <c r="U179" s="7">
        <f t="shared" si="45"/>
        <v>0</v>
      </c>
      <c r="V179" s="4"/>
      <c r="Y179" s="4"/>
    </row>
    <row r="180" spans="2:25" ht="18.75" hidden="1">
      <c r="B180" s="58"/>
      <c r="C180" s="60"/>
      <c r="D180" s="52"/>
      <c r="E180" s="63"/>
      <c r="F180" s="8">
        <v>1</v>
      </c>
      <c r="G180" s="67"/>
      <c r="H180" s="68"/>
      <c r="I180" s="35"/>
      <c r="J180" s="9" t="str">
        <f t="shared" si="39"/>
        <v/>
      </c>
      <c r="K180" s="39"/>
      <c r="L180" s="39"/>
      <c r="M180" s="39"/>
      <c r="N180" s="39"/>
      <c r="O180" s="39"/>
      <c r="P180" s="39"/>
      <c r="Q180" s="39"/>
      <c r="R180" s="39"/>
      <c r="S180" s="10">
        <f t="shared" si="43"/>
        <v>0</v>
      </c>
      <c r="T180" s="10">
        <v>100000</v>
      </c>
      <c r="U180" s="10">
        <f t="shared" si="45"/>
        <v>0</v>
      </c>
      <c r="V180" s="4"/>
      <c r="Y180" s="4"/>
    </row>
    <row r="181" spans="2:25" ht="18.75" hidden="1">
      <c r="B181" s="58"/>
      <c r="C181" s="60"/>
      <c r="D181" s="52"/>
      <c r="E181" s="63"/>
      <c r="F181" s="8">
        <v>8.3333333333333329E-2</v>
      </c>
      <c r="G181" s="67"/>
      <c r="H181" s="68"/>
      <c r="I181" s="35"/>
      <c r="J181" s="9" t="str">
        <f t="shared" si="39"/>
        <v/>
      </c>
      <c r="K181" s="39"/>
      <c r="L181" s="39"/>
      <c r="M181" s="39"/>
      <c r="N181" s="39"/>
      <c r="O181" s="39"/>
      <c r="P181" s="39"/>
      <c r="Q181" s="39"/>
      <c r="R181" s="39"/>
      <c r="S181" s="10">
        <f t="shared" si="43"/>
        <v>0</v>
      </c>
      <c r="T181" s="10">
        <v>100000</v>
      </c>
      <c r="U181" s="10">
        <f t="shared" si="45"/>
        <v>0</v>
      </c>
      <c r="V181" s="4"/>
      <c r="Y181" s="4"/>
    </row>
    <row r="182" spans="2:25" ht="18.75" hidden="1">
      <c r="B182" s="58"/>
      <c r="C182" s="60"/>
      <c r="D182" s="52"/>
      <c r="E182" s="63"/>
      <c r="F182" s="8">
        <v>0.16666666666666666</v>
      </c>
      <c r="G182" s="67"/>
      <c r="H182" s="68"/>
      <c r="I182" s="35"/>
      <c r="J182" s="9" t="str">
        <f t="shared" si="39"/>
        <v/>
      </c>
      <c r="K182" s="39"/>
      <c r="L182" s="39"/>
      <c r="M182" s="39"/>
      <c r="N182" s="39"/>
      <c r="O182" s="39"/>
      <c r="P182" s="39"/>
      <c r="Q182" s="39"/>
      <c r="R182" s="39"/>
      <c r="S182" s="10">
        <f t="shared" si="43"/>
        <v>0</v>
      </c>
      <c r="T182" s="10">
        <v>100000</v>
      </c>
      <c r="U182" s="10">
        <f t="shared" si="45"/>
        <v>0</v>
      </c>
      <c r="V182" s="4"/>
      <c r="W182" s="4"/>
      <c r="X182" s="4"/>
      <c r="Y182" s="4"/>
    </row>
    <row r="183" spans="2:25" ht="18.75" hidden="1">
      <c r="B183" s="58"/>
      <c r="C183" s="60"/>
      <c r="D183" s="52"/>
      <c r="E183" s="63"/>
      <c r="F183" s="8">
        <v>0.25</v>
      </c>
      <c r="G183" s="67"/>
      <c r="H183" s="68"/>
      <c r="I183" s="35"/>
      <c r="J183" s="9" t="str">
        <f t="shared" si="39"/>
        <v/>
      </c>
      <c r="K183" s="39"/>
      <c r="L183" s="39"/>
      <c r="M183" s="39"/>
      <c r="N183" s="39"/>
      <c r="O183" s="39"/>
      <c r="P183" s="39"/>
      <c r="Q183" s="39"/>
      <c r="R183" s="39"/>
      <c r="S183" s="10">
        <f t="shared" si="43"/>
        <v>0</v>
      </c>
      <c r="T183" s="10">
        <v>100000</v>
      </c>
      <c r="U183" s="10">
        <f t="shared" si="45"/>
        <v>0</v>
      </c>
      <c r="V183" s="4"/>
      <c r="Y183" s="4"/>
    </row>
    <row r="184" spans="2:25" ht="18.75" hidden="1">
      <c r="B184" s="58"/>
      <c r="C184" s="61"/>
      <c r="D184" s="53"/>
      <c r="E184" s="69"/>
      <c r="F184" s="14">
        <v>0.33333333333333331</v>
      </c>
      <c r="G184" s="67"/>
      <c r="H184" s="68"/>
      <c r="I184" s="37"/>
      <c r="J184" s="15" t="str">
        <f t="shared" si="39"/>
        <v/>
      </c>
      <c r="K184" s="40"/>
      <c r="L184" s="40"/>
      <c r="M184" s="40"/>
      <c r="N184" s="40"/>
      <c r="O184" s="40"/>
      <c r="P184" s="40"/>
      <c r="Q184" s="40"/>
      <c r="R184" s="40"/>
      <c r="S184" s="16">
        <f t="shared" si="43"/>
        <v>0</v>
      </c>
      <c r="T184" s="16">
        <v>100000</v>
      </c>
      <c r="U184" s="16">
        <f t="shared" si="45"/>
        <v>0</v>
      </c>
      <c r="V184" s="4"/>
      <c r="W184" s="4"/>
      <c r="X184" s="4"/>
      <c r="Y184" s="4"/>
    </row>
    <row r="185" spans="2:25" ht="16.5" hidden="1" customHeight="1">
      <c r="B185" s="58">
        <v>46096</v>
      </c>
      <c r="C185" s="59" t="s">
        <v>15</v>
      </c>
      <c r="D185" s="51"/>
      <c r="E185" s="62" t="s">
        <v>101</v>
      </c>
      <c r="F185" s="5">
        <v>0.41666666666666669</v>
      </c>
      <c r="G185" s="65"/>
      <c r="H185" s="66"/>
      <c r="I185" s="34"/>
      <c r="J185" s="6" t="str">
        <f t="shared" ref="J185:J220" si="46">IFERROR(S185/I185,"")</f>
        <v/>
      </c>
      <c r="K185" s="38"/>
      <c r="L185" s="38"/>
      <c r="M185" s="38"/>
      <c r="N185" s="38"/>
      <c r="O185" s="38"/>
      <c r="P185" s="38"/>
      <c r="Q185" s="38"/>
      <c r="R185" s="38"/>
      <c r="S185" s="7">
        <f>SUM(K185:R185)</f>
        <v>0</v>
      </c>
      <c r="T185" s="7">
        <v>100000</v>
      </c>
      <c r="U185" s="7">
        <f>T185*S185</f>
        <v>0</v>
      </c>
      <c r="V185" s="4"/>
      <c r="W185" s="4"/>
      <c r="X185" s="4"/>
      <c r="Y185" s="4"/>
    </row>
    <row r="186" spans="2:25" ht="18.75" hidden="1">
      <c r="B186" s="58"/>
      <c r="C186" s="60"/>
      <c r="D186" s="52"/>
      <c r="E186" s="63"/>
      <c r="F186" s="8">
        <v>0.5</v>
      </c>
      <c r="G186" s="67"/>
      <c r="H186" s="68"/>
      <c r="I186" s="35"/>
      <c r="J186" s="9" t="str">
        <f t="shared" si="46"/>
        <v/>
      </c>
      <c r="K186" s="39"/>
      <c r="L186" s="39"/>
      <c r="M186" s="39"/>
      <c r="N186" s="39"/>
      <c r="O186" s="39"/>
      <c r="P186" s="39"/>
      <c r="Q186" s="39"/>
      <c r="R186" s="39"/>
      <c r="S186" s="10">
        <f t="shared" ref="S186:S196" si="47">SUM(K186:R186)</f>
        <v>0</v>
      </c>
      <c r="T186" s="10">
        <v>100000</v>
      </c>
      <c r="U186" s="10">
        <f t="shared" ref="U186:U187" si="48">T186*S186</f>
        <v>0</v>
      </c>
      <c r="V186" s="4"/>
      <c r="W186" s="4"/>
      <c r="X186" s="4"/>
      <c r="Y186" s="4"/>
    </row>
    <row r="187" spans="2:25" ht="18.75" hidden="1">
      <c r="B187" s="58"/>
      <c r="C187" s="60"/>
      <c r="D187" s="52"/>
      <c r="E187" s="63"/>
      <c r="F187" s="8">
        <v>0.58333333333333337</v>
      </c>
      <c r="G187" s="67"/>
      <c r="H187" s="68"/>
      <c r="I187" s="35"/>
      <c r="J187" s="9" t="str">
        <f t="shared" si="46"/>
        <v/>
      </c>
      <c r="K187" s="39"/>
      <c r="L187" s="39"/>
      <c r="M187" s="39"/>
      <c r="N187" s="39"/>
      <c r="O187" s="39"/>
      <c r="P187" s="39"/>
      <c r="Q187" s="39"/>
      <c r="R187" s="39"/>
      <c r="S187" s="10">
        <f t="shared" si="47"/>
        <v>0</v>
      </c>
      <c r="T187" s="10">
        <v>100000</v>
      </c>
      <c r="U187" s="10">
        <f t="shared" si="48"/>
        <v>0</v>
      </c>
      <c r="V187" s="4"/>
      <c r="W187" s="4"/>
      <c r="X187" s="4"/>
      <c r="Y187" s="4"/>
    </row>
    <row r="188" spans="2:25" ht="18.75" hidden="1">
      <c r="B188" s="58"/>
      <c r="C188" s="60"/>
      <c r="D188" s="52"/>
      <c r="E188" s="63"/>
      <c r="F188" s="8">
        <v>0.66666666666666663</v>
      </c>
      <c r="G188" s="67"/>
      <c r="H188" s="68"/>
      <c r="I188" s="35"/>
      <c r="J188" s="9" t="str">
        <f t="shared" si="46"/>
        <v/>
      </c>
      <c r="K188" s="39"/>
      <c r="L188" s="39"/>
      <c r="M188" s="39"/>
      <c r="N188" s="39"/>
      <c r="O188" s="39"/>
      <c r="P188" s="39"/>
      <c r="Q188" s="39"/>
      <c r="R188" s="39"/>
      <c r="S188" s="10">
        <f t="shared" si="47"/>
        <v>0</v>
      </c>
      <c r="T188" s="10">
        <v>100000</v>
      </c>
      <c r="U188" s="10">
        <f>T188*S188</f>
        <v>0</v>
      </c>
      <c r="V188" s="4"/>
      <c r="W188" s="4"/>
      <c r="X188" s="4"/>
      <c r="Y188" s="4"/>
    </row>
    <row r="189" spans="2:25" ht="18.75" hidden="1">
      <c r="B189" s="58"/>
      <c r="C189" s="60"/>
      <c r="D189" s="52"/>
      <c r="E189" s="63"/>
      <c r="F189" s="8">
        <v>0.75</v>
      </c>
      <c r="G189" s="67"/>
      <c r="H189" s="68"/>
      <c r="I189" s="35"/>
      <c r="J189" s="9" t="str">
        <f t="shared" si="46"/>
        <v/>
      </c>
      <c r="K189" s="39"/>
      <c r="L189" s="39"/>
      <c r="M189" s="39"/>
      <c r="N189" s="39"/>
      <c r="O189" s="39"/>
      <c r="P189" s="39"/>
      <c r="Q189" s="39"/>
      <c r="R189" s="39"/>
      <c r="S189" s="10">
        <f t="shared" si="47"/>
        <v>0</v>
      </c>
      <c r="T189" s="10">
        <v>100000</v>
      </c>
      <c r="U189" s="10">
        <f t="shared" ref="U189:U196" si="49">T189*S189</f>
        <v>0</v>
      </c>
      <c r="V189" s="4"/>
      <c r="W189" s="4"/>
      <c r="X189" s="11"/>
      <c r="Y189" s="4"/>
    </row>
    <row r="190" spans="2:25" ht="18.75" hidden="1">
      <c r="B190" s="58"/>
      <c r="C190" s="60"/>
      <c r="D190" s="53"/>
      <c r="E190" s="64"/>
      <c r="F190" s="12">
        <v>0.83333333333333337</v>
      </c>
      <c r="G190" s="67"/>
      <c r="H190" s="68"/>
      <c r="I190" s="36"/>
      <c r="J190" s="9" t="str">
        <f t="shared" si="46"/>
        <v/>
      </c>
      <c r="K190" s="41"/>
      <c r="L190" s="41"/>
      <c r="M190" s="41"/>
      <c r="N190" s="41"/>
      <c r="O190" s="41"/>
      <c r="P190" s="41"/>
      <c r="Q190" s="41"/>
      <c r="R190" s="41"/>
      <c r="S190" s="13">
        <f t="shared" si="47"/>
        <v>0</v>
      </c>
      <c r="T190" s="13">
        <v>100000</v>
      </c>
      <c r="U190" s="13">
        <f t="shared" si="49"/>
        <v>0</v>
      </c>
      <c r="V190" s="4"/>
      <c r="Y190" s="4"/>
    </row>
    <row r="191" spans="2:25" ht="18.75" hidden="1">
      <c r="B191" s="58"/>
      <c r="C191" s="60"/>
      <c r="D191" s="51"/>
      <c r="E191" s="62" t="s">
        <v>102</v>
      </c>
      <c r="F191" s="5">
        <v>0.91666666666666663</v>
      </c>
      <c r="G191" s="65"/>
      <c r="H191" s="66"/>
      <c r="I191" s="34"/>
      <c r="J191" s="6" t="str">
        <f t="shared" si="46"/>
        <v/>
      </c>
      <c r="K191" s="38"/>
      <c r="L191" s="38"/>
      <c r="M191" s="38"/>
      <c r="N191" s="38"/>
      <c r="O191" s="38"/>
      <c r="P191" s="38"/>
      <c r="Q191" s="38"/>
      <c r="R191" s="38"/>
      <c r="S191" s="7">
        <f t="shared" si="47"/>
        <v>0</v>
      </c>
      <c r="T191" s="7">
        <v>100000</v>
      </c>
      <c r="U191" s="7">
        <f t="shared" si="49"/>
        <v>0</v>
      </c>
      <c r="V191" s="4"/>
      <c r="Y191" s="4"/>
    </row>
    <row r="192" spans="2:25" ht="18.75" hidden="1">
      <c r="B192" s="58"/>
      <c r="C192" s="60"/>
      <c r="D192" s="52"/>
      <c r="E192" s="63"/>
      <c r="F192" s="8">
        <v>1</v>
      </c>
      <c r="G192" s="67"/>
      <c r="H192" s="68"/>
      <c r="I192" s="35"/>
      <c r="J192" s="9" t="str">
        <f t="shared" si="46"/>
        <v/>
      </c>
      <c r="K192" s="39"/>
      <c r="L192" s="39"/>
      <c r="M192" s="39"/>
      <c r="N192" s="39"/>
      <c r="O192" s="39"/>
      <c r="P192" s="39"/>
      <c r="Q192" s="39"/>
      <c r="R192" s="39"/>
      <c r="S192" s="10">
        <f t="shared" si="47"/>
        <v>0</v>
      </c>
      <c r="T192" s="10">
        <v>100000</v>
      </c>
      <c r="U192" s="10">
        <f t="shared" si="49"/>
        <v>0</v>
      </c>
      <c r="V192" s="4"/>
      <c r="Y192" s="4"/>
    </row>
    <row r="193" spans="2:25" ht="18.75" hidden="1">
      <c r="B193" s="58"/>
      <c r="C193" s="60"/>
      <c r="D193" s="52"/>
      <c r="E193" s="63"/>
      <c r="F193" s="8">
        <v>8.3333333333333329E-2</v>
      </c>
      <c r="G193" s="67"/>
      <c r="H193" s="68"/>
      <c r="I193" s="35"/>
      <c r="J193" s="9" t="str">
        <f t="shared" si="46"/>
        <v/>
      </c>
      <c r="K193" s="39"/>
      <c r="L193" s="39"/>
      <c r="M193" s="39"/>
      <c r="N193" s="39"/>
      <c r="O193" s="39"/>
      <c r="P193" s="39"/>
      <c r="Q193" s="39"/>
      <c r="R193" s="39"/>
      <c r="S193" s="10">
        <f t="shared" si="47"/>
        <v>0</v>
      </c>
      <c r="T193" s="10">
        <v>100000</v>
      </c>
      <c r="U193" s="10">
        <f t="shared" si="49"/>
        <v>0</v>
      </c>
      <c r="V193" s="4"/>
      <c r="Y193" s="4"/>
    </row>
    <row r="194" spans="2:25" ht="18.75" hidden="1">
      <c r="B194" s="58"/>
      <c r="C194" s="60"/>
      <c r="D194" s="52"/>
      <c r="E194" s="63"/>
      <c r="F194" s="8">
        <v>0.16666666666666666</v>
      </c>
      <c r="G194" s="67"/>
      <c r="H194" s="68"/>
      <c r="I194" s="35"/>
      <c r="J194" s="9" t="str">
        <f t="shared" si="46"/>
        <v/>
      </c>
      <c r="K194" s="39"/>
      <c r="L194" s="39"/>
      <c r="M194" s="39"/>
      <c r="N194" s="39"/>
      <c r="O194" s="39"/>
      <c r="P194" s="39"/>
      <c r="Q194" s="39"/>
      <c r="R194" s="39"/>
      <c r="S194" s="10">
        <f t="shared" si="47"/>
        <v>0</v>
      </c>
      <c r="T194" s="10">
        <v>100000</v>
      </c>
      <c r="U194" s="10">
        <f t="shared" si="49"/>
        <v>0</v>
      </c>
      <c r="V194" s="4"/>
      <c r="W194" s="4"/>
      <c r="X194" s="4"/>
      <c r="Y194" s="4"/>
    </row>
    <row r="195" spans="2:25" ht="18.75" hidden="1">
      <c r="B195" s="58"/>
      <c r="C195" s="60"/>
      <c r="D195" s="52"/>
      <c r="E195" s="63"/>
      <c r="F195" s="8">
        <v>0.25</v>
      </c>
      <c r="G195" s="67"/>
      <c r="H195" s="68"/>
      <c r="I195" s="35"/>
      <c r="J195" s="9" t="str">
        <f t="shared" si="46"/>
        <v/>
      </c>
      <c r="K195" s="39"/>
      <c r="L195" s="39"/>
      <c r="M195" s="39"/>
      <c r="N195" s="39"/>
      <c r="O195" s="39"/>
      <c r="P195" s="39"/>
      <c r="Q195" s="39"/>
      <c r="R195" s="39"/>
      <c r="S195" s="10">
        <f t="shared" si="47"/>
        <v>0</v>
      </c>
      <c r="T195" s="10">
        <v>100000</v>
      </c>
      <c r="U195" s="10">
        <f t="shared" si="49"/>
        <v>0</v>
      </c>
      <c r="V195" s="4"/>
      <c r="Y195" s="4"/>
    </row>
    <row r="196" spans="2:25" ht="18.75" hidden="1">
      <c r="B196" s="58"/>
      <c r="C196" s="61"/>
      <c r="D196" s="53"/>
      <c r="E196" s="69"/>
      <c r="F196" s="14">
        <v>0.33333333333333331</v>
      </c>
      <c r="G196" s="67"/>
      <c r="H196" s="68"/>
      <c r="I196" s="37"/>
      <c r="J196" s="15" t="str">
        <f t="shared" si="46"/>
        <v/>
      </c>
      <c r="K196" s="40"/>
      <c r="L196" s="40"/>
      <c r="M196" s="40"/>
      <c r="N196" s="40"/>
      <c r="O196" s="40"/>
      <c r="P196" s="40"/>
      <c r="Q196" s="40"/>
      <c r="R196" s="40"/>
      <c r="S196" s="16">
        <f t="shared" si="47"/>
        <v>0</v>
      </c>
      <c r="T196" s="16">
        <v>100000</v>
      </c>
      <c r="U196" s="16">
        <f t="shared" si="49"/>
        <v>0</v>
      </c>
      <c r="V196" s="4"/>
      <c r="W196" s="4"/>
      <c r="X196" s="4"/>
      <c r="Y196" s="4"/>
    </row>
    <row r="197" spans="2:25" ht="16.5" customHeight="1">
      <c r="B197" s="58">
        <v>46097</v>
      </c>
      <c r="C197" s="59" t="s">
        <v>15</v>
      </c>
      <c r="D197" s="51"/>
      <c r="E197" s="62" t="s">
        <v>101</v>
      </c>
      <c r="F197" s="5">
        <v>0.41666666666666669</v>
      </c>
      <c r="G197" s="65"/>
      <c r="H197" s="66"/>
      <c r="I197" s="34"/>
      <c r="J197" s="6" t="str">
        <f t="shared" si="46"/>
        <v/>
      </c>
      <c r="K197" s="38"/>
      <c r="L197" s="38"/>
      <c r="M197" s="38"/>
      <c r="N197" s="38"/>
      <c r="O197" s="38"/>
      <c r="P197" s="38"/>
      <c r="Q197" s="38"/>
      <c r="R197" s="38"/>
      <c r="S197" s="7">
        <f>SUM(K197:R197)</f>
        <v>0</v>
      </c>
      <c r="T197" s="7">
        <v>100000</v>
      </c>
      <c r="U197" s="7">
        <f>T197*S197</f>
        <v>0</v>
      </c>
      <c r="V197" s="4"/>
      <c r="W197" s="4"/>
      <c r="X197" s="4"/>
      <c r="Y197" s="4"/>
    </row>
    <row r="198" spans="2:25" ht="18.75">
      <c r="B198" s="58"/>
      <c r="C198" s="60"/>
      <c r="D198" s="52"/>
      <c r="E198" s="63"/>
      <c r="F198" s="8">
        <v>0.5</v>
      </c>
      <c r="G198" s="67"/>
      <c r="H198" s="68"/>
      <c r="I198" s="35"/>
      <c r="J198" s="9" t="str">
        <f t="shared" si="46"/>
        <v/>
      </c>
      <c r="K198" s="39"/>
      <c r="L198" s="39"/>
      <c r="M198" s="39"/>
      <c r="N198" s="39"/>
      <c r="O198" s="39"/>
      <c r="P198" s="39"/>
      <c r="Q198" s="39"/>
      <c r="R198" s="39"/>
      <c r="S198" s="10">
        <f t="shared" ref="S198:S208" si="50">SUM(K198:R198)</f>
        <v>0</v>
      </c>
      <c r="T198" s="10">
        <v>100000</v>
      </c>
      <c r="U198" s="10">
        <f t="shared" ref="U198:U199" si="51">T198*S198</f>
        <v>0</v>
      </c>
      <c r="V198" s="4"/>
      <c r="W198" s="4"/>
      <c r="X198" s="4"/>
      <c r="Y198" s="4"/>
    </row>
    <row r="199" spans="2:25" ht="18.75">
      <c r="B199" s="58"/>
      <c r="C199" s="60"/>
      <c r="D199" s="52"/>
      <c r="E199" s="63"/>
      <c r="F199" s="8">
        <v>0.58333333333333337</v>
      </c>
      <c r="G199" s="67"/>
      <c r="H199" s="68"/>
      <c r="I199" s="35"/>
      <c r="J199" s="9" t="str">
        <f t="shared" si="46"/>
        <v/>
      </c>
      <c r="K199" s="39"/>
      <c r="L199" s="39"/>
      <c r="M199" s="39"/>
      <c r="N199" s="39"/>
      <c r="O199" s="39"/>
      <c r="P199" s="39"/>
      <c r="Q199" s="39"/>
      <c r="R199" s="39"/>
      <c r="S199" s="10">
        <f t="shared" si="50"/>
        <v>0</v>
      </c>
      <c r="T199" s="10">
        <v>100000</v>
      </c>
      <c r="U199" s="10">
        <f t="shared" si="51"/>
        <v>0</v>
      </c>
      <c r="V199" s="4"/>
      <c r="W199" s="4"/>
      <c r="X199" s="4"/>
      <c r="Y199" s="4"/>
    </row>
    <row r="200" spans="2:25" ht="18.75">
      <c r="B200" s="58"/>
      <c r="C200" s="60"/>
      <c r="D200" s="52"/>
      <c r="E200" s="63"/>
      <c r="F200" s="8">
        <v>0.66666666666666663</v>
      </c>
      <c r="G200" s="67"/>
      <c r="H200" s="68"/>
      <c r="I200" s="35"/>
      <c r="J200" s="9" t="str">
        <f t="shared" si="46"/>
        <v/>
      </c>
      <c r="K200" s="39"/>
      <c r="L200" s="39"/>
      <c r="M200" s="39"/>
      <c r="N200" s="39"/>
      <c r="O200" s="39"/>
      <c r="P200" s="39"/>
      <c r="Q200" s="39"/>
      <c r="R200" s="39"/>
      <c r="S200" s="10">
        <f t="shared" si="50"/>
        <v>0</v>
      </c>
      <c r="T200" s="10">
        <v>100000</v>
      </c>
      <c r="U200" s="10">
        <f>T200*S200</f>
        <v>0</v>
      </c>
      <c r="V200" s="4"/>
      <c r="W200" s="4"/>
      <c r="X200" s="4"/>
      <c r="Y200" s="4"/>
    </row>
    <row r="201" spans="2:25" ht="18.75">
      <c r="B201" s="58"/>
      <c r="C201" s="60"/>
      <c r="D201" s="52"/>
      <c r="E201" s="63"/>
      <c r="F201" s="8">
        <v>0.75</v>
      </c>
      <c r="G201" s="67"/>
      <c r="H201" s="68"/>
      <c r="I201" s="35"/>
      <c r="J201" s="9" t="str">
        <f t="shared" si="46"/>
        <v/>
      </c>
      <c r="K201" s="39"/>
      <c r="L201" s="39"/>
      <c r="M201" s="39"/>
      <c r="N201" s="39"/>
      <c r="O201" s="39"/>
      <c r="P201" s="39"/>
      <c r="Q201" s="39"/>
      <c r="R201" s="39"/>
      <c r="S201" s="10">
        <f t="shared" si="50"/>
        <v>0</v>
      </c>
      <c r="T201" s="10">
        <v>100000</v>
      </c>
      <c r="U201" s="10">
        <f t="shared" ref="U201:U208" si="52">T201*S201</f>
        <v>0</v>
      </c>
      <c r="V201" s="4"/>
      <c r="W201" s="4"/>
      <c r="X201" s="11"/>
      <c r="Y201" s="4"/>
    </row>
    <row r="202" spans="2:25" ht="18.75">
      <c r="B202" s="58"/>
      <c r="C202" s="60"/>
      <c r="D202" s="53"/>
      <c r="E202" s="64"/>
      <c r="F202" s="12">
        <v>0.83333333333333337</v>
      </c>
      <c r="G202" s="67"/>
      <c r="H202" s="68"/>
      <c r="I202" s="36"/>
      <c r="J202" s="9" t="str">
        <f t="shared" si="46"/>
        <v/>
      </c>
      <c r="K202" s="41"/>
      <c r="L202" s="41"/>
      <c r="M202" s="41"/>
      <c r="N202" s="41"/>
      <c r="O202" s="41"/>
      <c r="P202" s="41"/>
      <c r="Q202" s="41"/>
      <c r="R202" s="41"/>
      <c r="S202" s="13">
        <f t="shared" si="50"/>
        <v>0</v>
      </c>
      <c r="T202" s="13">
        <v>100000</v>
      </c>
      <c r="U202" s="13">
        <f t="shared" si="52"/>
        <v>0</v>
      </c>
      <c r="V202" s="4"/>
      <c r="Y202" s="4"/>
    </row>
    <row r="203" spans="2:25" ht="18.75">
      <c r="B203" s="58"/>
      <c r="C203" s="60"/>
      <c r="D203" s="51"/>
      <c r="E203" s="62" t="s">
        <v>102</v>
      </c>
      <c r="F203" s="5">
        <v>0.91666666666666663</v>
      </c>
      <c r="G203" s="65"/>
      <c r="H203" s="66"/>
      <c r="I203" s="34"/>
      <c r="J203" s="6" t="str">
        <f t="shared" si="46"/>
        <v/>
      </c>
      <c r="K203" s="38"/>
      <c r="L203" s="38"/>
      <c r="M203" s="38"/>
      <c r="N203" s="38"/>
      <c r="O203" s="38"/>
      <c r="P203" s="38"/>
      <c r="Q203" s="38"/>
      <c r="R203" s="38"/>
      <c r="S203" s="7">
        <f t="shared" si="50"/>
        <v>0</v>
      </c>
      <c r="T203" s="7">
        <v>100000</v>
      </c>
      <c r="U203" s="7">
        <f t="shared" si="52"/>
        <v>0</v>
      </c>
      <c r="V203" s="4"/>
      <c r="Y203" s="4"/>
    </row>
    <row r="204" spans="2:25" ht="18.75">
      <c r="B204" s="58"/>
      <c r="C204" s="60"/>
      <c r="D204" s="52"/>
      <c r="E204" s="63"/>
      <c r="F204" s="8">
        <v>1</v>
      </c>
      <c r="G204" s="67"/>
      <c r="H204" s="68"/>
      <c r="I204" s="35"/>
      <c r="J204" s="9" t="str">
        <f t="shared" si="46"/>
        <v/>
      </c>
      <c r="K204" s="39"/>
      <c r="L204" s="39"/>
      <c r="M204" s="39"/>
      <c r="N204" s="39"/>
      <c r="O204" s="39"/>
      <c r="P204" s="39"/>
      <c r="Q204" s="39"/>
      <c r="R204" s="39"/>
      <c r="S204" s="10">
        <f t="shared" si="50"/>
        <v>0</v>
      </c>
      <c r="T204" s="10">
        <v>100000</v>
      </c>
      <c r="U204" s="10">
        <f t="shared" si="52"/>
        <v>0</v>
      </c>
      <c r="V204" s="4"/>
      <c r="Y204" s="4"/>
    </row>
    <row r="205" spans="2:25" ht="18.75">
      <c r="B205" s="58"/>
      <c r="C205" s="60"/>
      <c r="D205" s="52"/>
      <c r="E205" s="63"/>
      <c r="F205" s="8">
        <v>8.3333333333333329E-2</v>
      </c>
      <c r="G205" s="67"/>
      <c r="H205" s="68"/>
      <c r="I205" s="35"/>
      <c r="J205" s="9" t="str">
        <f t="shared" si="46"/>
        <v/>
      </c>
      <c r="K205" s="39"/>
      <c r="L205" s="39"/>
      <c r="M205" s="39"/>
      <c r="N205" s="39"/>
      <c r="O205" s="39"/>
      <c r="P205" s="39"/>
      <c r="Q205" s="39"/>
      <c r="R205" s="39"/>
      <c r="S205" s="10">
        <f t="shared" si="50"/>
        <v>0</v>
      </c>
      <c r="T205" s="10">
        <v>100000</v>
      </c>
      <c r="U205" s="10">
        <f t="shared" si="52"/>
        <v>0</v>
      </c>
      <c r="V205" s="4"/>
      <c r="Y205" s="4"/>
    </row>
    <row r="206" spans="2:25" ht="18.75">
      <c r="B206" s="58"/>
      <c r="C206" s="60"/>
      <c r="D206" s="52"/>
      <c r="E206" s="63"/>
      <c r="F206" s="8">
        <v>0.16666666666666666</v>
      </c>
      <c r="G206" s="67"/>
      <c r="H206" s="68"/>
      <c r="I206" s="35"/>
      <c r="J206" s="9" t="str">
        <f t="shared" si="46"/>
        <v/>
      </c>
      <c r="K206" s="39"/>
      <c r="L206" s="39"/>
      <c r="M206" s="39"/>
      <c r="N206" s="39"/>
      <c r="O206" s="39"/>
      <c r="P206" s="39"/>
      <c r="Q206" s="39"/>
      <c r="R206" s="39"/>
      <c r="S206" s="10">
        <f t="shared" si="50"/>
        <v>0</v>
      </c>
      <c r="T206" s="10">
        <v>100000</v>
      </c>
      <c r="U206" s="10">
        <f t="shared" si="52"/>
        <v>0</v>
      </c>
      <c r="V206" s="4"/>
      <c r="W206" s="4"/>
      <c r="X206" s="4"/>
      <c r="Y206" s="4"/>
    </row>
    <row r="207" spans="2:25" ht="18.75">
      <c r="B207" s="58"/>
      <c r="C207" s="60"/>
      <c r="D207" s="52"/>
      <c r="E207" s="63"/>
      <c r="F207" s="8">
        <v>0.25</v>
      </c>
      <c r="G207" s="67"/>
      <c r="H207" s="68"/>
      <c r="I207" s="35"/>
      <c r="J207" s="9" t="str">
        <f t="shared" si="46"/>
        <v/>
      </c>
      <c r="K207" s="39"/>
      <c r="L207" s="39"/>
      <c r="M207" s="39"/>
      <c r="N207" s="39"/>
      <c r="O207" s="39"/>
      <c r="P207" s="39"/>
      <c r="Q207" s="39"/>
      <c r="R207" s="39"/>
      <c r="S207" s="10">
        <f t="shared" si="50"/>
        <v>0</v>
      </c>
      <c r="T207" s="10">
        <v>100000</v>
      </c>
      <c r="U207" s="10">
        <f t="shared" si="52"/>
        <v>0</v>
      </c>
      <c r="V207" s="4"/>
      <c r="Y207" s="4"/>
    </row>
    <row r="208" spans="2:25" ht="18.75">
      <c r="B208" s="58"/>
      <c r="C208" s="61"/>
      <c r="D208" s="53"/>
      <c r="E208" s="69"/>
      <c r="F208" s="14">
        <v>0.33333333333333331</v>
      </c>
      <c r="G208" s="67"/>
      <c r="H208" s="68"/>
      <c r="I208" s="37"/>
      <c r="J208" s="15" t="str">
        <f t="shared" si="46"/>
        <v/>
      </c>
      <c r="K208" s="40"/>
      <c r="L208" s="40"/>
      <c r="M208" s="40"/>
      <c r="N208" s="40"/>
      <c r="O208" s="40"/>
      <c r="P208" s="40"/>
      <c r="Q208" s="40"/>
      <c r="R208" s="40"/>
      <c r="S208" s="16">
        <f t="shared" si="50"/>
        <v>0</v>
      </c>
      <c r="T208" s="16">
        <v>100000</v>
      </c>
      <c r="U208" s="16">
        <f t="shared" si="52"/>
        <v>0</v>
      </c>
      <c r="V208" s="4"/>
      <c r="W208" s="4"/>
      <c r="X208" s="4"/>
      <c r="Y208" s="4"/>
    </row>
    <row r="209" spans="2:25" ht="16.5" customHeight="1">
      <c r="B209" s="58">
        <v>46098</v>
      </c>
      <c r="C209" s="59" t="s">
        <v>15</v>
      </c>
      <c r="D209" s="51"/>
      <c r="E209" s="62" t="s">
        <v>101</v>
      </c>
      <c r="F209" s="5">
        <v>0.41666666666666669</v>
      </c>
      <c r="G209" s="65"/>
      <c r="H209" s="66"/>
      <c r="I209" s="34"/>
      <c r="J209" s="6" t="str">
        <f t="shared" si="46"/>
        <v/>
      </c>
      <c r="K209" s="38"/>
      <c r="L209" s="38"/>
      <c r="M209" s="38"/>
      <c r="N209" s="38"/>
      <c r="O209" s="38"/>
      <c r="P209" s="38"/>
      <c r="Q209" s="38"/>
      <c r="R209" s="38"/>
      <c r="S209" s="7">
        <f>SUM(K209:R209)</f>
        <v>0</v>
      </c>
      <c r="T209" s="7">
        <v>100000</v>
      </c>
      <c r="U209" s="7">
        <f>T209*S209</f>
        <v>0</v>
      </c>
      <c r="V209" s="4"/>
      <c r="W209" s="4"/>
      <c r="X209" s="4"/>
      <c r="Y209" s="4"/>
    </row>
    <row r="210" spans="2:25" ht="18.75">
      <c r="B210" s="58"/>
      <c r="C210" s="60"/>
      <c r="D210" s="52"/>
      <c r="E210" s="63"/>
      <c r="F210" s="8">
        <v>0.5</v>
      </c>
      <c r="G210" s="67"/>
      <c r="H210" s="68"/>
      <c r="I210" s="35"/>
      <c r="J210" s="9" t="str">
        <f t="shared" si="46"/>
        <v/>
      </c>
      <c r="K210" s="39"/>
      <c r="L210" s="39"/>
      <c r="M210" s="39"/>
      <c r="N210" s="39"/>
      <c r="O210" s="39"/>
      <c r="P210" s="39"/>
      <c r="Q210" s="39"/>
      <c r="R210" s="39"/>
      <c r="S210" s="10">
        <f t="shared" ref="S210:S220" si="53">SUM(K210:R210)</f>
        <v>0</v>
      </c>
      <c r="T210" s="10">
        <v>100000</v>
      </c>
      <c r="U210" s="10">
        <f t="shared" ref="U210:U211" si="54">T210*S210</f>
        <v>0</v>
      </c>
      <c r="V210" s="4"/>
      <c r="W210" s="4"/>
      <c r="X210" s="4"/>
      <c r="Y210" s="4"/>
    </row>
    <row r="211" spans="2:25" ht="18.75">
      <c r="B211" s="58"/>
      <c r="C211" s="60"/>
      <c r="D211" s="52"/>
      <c r="E211" s="63"/>
      <c r="F211" s="8">
        <v>0.58333333333333337</v>
      </c>
      <c r="G211" s="67"/>
      <c r="H211" s="68"/>
      <c r="I211" s="35"/>
      <c r="J211" s="9" t="str">
        <f t="shared" si="46"/>
        <v/>
      </c>
      <c r="K211" s="39"/>
      <c r="L211" s="39"/>
      <c r="M211" s="39"/>
      <c r="N211" s="39"/>
      <c r="O211" s="39"/>
      <c r="P211" s="39"/>
      <c r="Q211" s="39"/>
      <c r="R211" s="39"/>
      <c r="S211" s="10">
        <f t="shared" si="53"/>
        <v>0</v>
      </c>
      <c r="T211" s="10">
        <v>100000</v>
      </c>
      <c r="U211" s="10">
        <f t="shared" si="54"/>
        <v>0</v>
      </c>
      <c r="V211" s="4"/>
      <c r="W211" s="4"/>
      <c r="X211" s="4"/>
      <c r="Y211" s="4"/>
    </row>
    <row r="212" spans="2:25" ht="18.75">
      <c r="B212" s="58"/>
      <c r="C212" s="60"/>
      <c r="D212" s="52"/>
      <c r="E212" s="63"/>
      <c r="F212" s="8">
        <v>0.66666666666666663</v>
      </c>
      <c r="G212" s="67"/>
      <c r="H212" s="68"/>
      <c r="I212" s="35"/>
      <c r="J212" s="9" t="str">
        <f t="shared" si="46"/>
        <v/>
      </c>
      <c r="K212" s="39"/>
      <c r="L212" s="39"/>
      <c r="M212" s="39"/>
      <c r="N212" s="39"/>
      <c r="O212" s="39"/>
      <c r="P212" s="39"/>
      <c r="Q212" s="39"/>
      <c r="R212" s="39"/>
      <c r="S212" s="10">
        <f t="shared" si="53"/>
        <v>0</v>
      </c>
      <c r="T212" s="10">
        <v>100000</v>
      </c>
      <c r="U212" s="10">
        <f>T212*S212</f>
        <v>0</v>
      </c>
      <c r="V212" s="4"/>
      <c r="W212" s="4"/>
      <c r="X212" s="4"/>
      <c r="Y212" s="4"/>
    </row>
    <row r="213" spans="2:25" ht="18.75">
      <c r="B213" s="58"/>
      <c r="C213" s="60"/>
      <c r="D213" s="52"/>
      <c r="E213" s="63"/>
      <c r="F213" s="8">
        <v>0.75</v>
      </c>
      <c r="G213" s="67"/>
      <c r="H213" s="68"/>
      <c r="I213" s="35"/>
      <c r="J213" s="9" t="str">
        <f t="shared" si="46"/>
        <v/>
      </c>
      <c r="K213" s="39"/>
      <c r="L213" s="39"/>
      <c r="M213" s="39"/>
      <c r="N213" s="39"/>
      <c r="O213" s="39"/>
      <c r="P213" s="39"/>
      <c r="Q213" s="39"/>
      <c r="R213" s="39"/>
      <c r="S213" s="10">
        <f t="shared" si="53"/>
        <v>0</v>
      </c>
      <c r="T213" s="10">
        <v>100000</v>
      </c>
      <c r="U213" s="10">
        <f t="shared" ref="U213:U220" si="55">T213*S213</f>
        <v>0</v>
      </c>
      <c r="V213" s="4"/>
      <c r="W213" s="4"/>
      <c r="X213" s="11"/>
      <c r="Y213" s="4"/>
    </row>
    <row r="214" spans="2:25" ht="18.75">
      <c r="B214" s="58"/>
      <c r="C214" s="60"/>
      <c r="D214" s="53"/>
      <c r="E214" s="64"/>
      <c r="F214" s="12">
        <v>0.83333333333333337</v>
      </c>
      <c r="G214" s="67"/>
      <c r="H214" s="68"/>
      <c r="I214" s="36"/>
      <c r="J214" s="9" t="str">
        <f t="shared" si="46"/>
        <v/>
      </c>
      <c r="K214" s="41"/>
      <c r="L214" s="41"/>
      <c r="M214" s="41"/>
      <c r="N214" s="41"/>
      <c r="O214" s="41"/>
      <c r="P214" s="41"/>
      <c r="Q214" s="41"/>
      <c r="R214" s="41"/>
      <c r="S214" s="13">
        <f t="shared" si="53"/>
        <v>0</v>
      </c>
      <c r="T214" s="13">
        <v>100000</v>
      </c>
      <c r="U214" s="13">
        <f t="shared" si="55"/>
        <v>0</v>
      </c>
      <c r="V214" s="4"/>
      <c r="Y214" s="4"/>
    </row>
    <row r="215" spans="2:25" ht="18.75">
      <c r="B215" s="58"/>
      <c r="C215" s="60"/>
      <c r="D215" s="51"/>
      <c r="E215" s="62" t="s">
        <v>102</v>
      </c>
      <c r="F215" s="5">
        <v>0.91666666666666663</v>
      </c>
      <c r="G215" s="65"/>
      <c r="H215" s="66"/>
      <c r="I215" s="34"/>
      <c r="J215" s="6" t="str">
        <f t="shared" si="46"/>
        <v/>
      </c>
      <c r="K215" s="38"/>
      <c r="L215" s="38"/>
      <c r="M215" s="38"/>
      <c r="N215" s="38"/>
      <c r="O215" s="38"/>
      <c r="P215" s="38"/>
      <c r="Q215" s="38"/>
      <c r="R215" s="38"/>
      <c r="S215" s="7">
        <f t="shared" si="53"/>
        <v>0</v>
      </c>
      <c r="T215" s="7">
        <v>100000</v>
      </c>
      <c r="U215" s="7">
        <f t="shared" si="55"/>
        <v>0</v>
      </c>
      <c r="V215" s="4"/>
      <c r="Y215" s="4"/>
    </row>
    <row r="216" spans="2:25" ht="18.75">
      <c r="B216" s="58"/>
      <c r="C216" s="60"/>
      <c r="D216" s="52"/>
      <c r="E216" s="63"/>
      <c r="F216" s="8">
        <v>1</v>
      </c>
      <c r="G216" s="67"/>
      <c r="H216" s="68"/>
      <c r="I216" s="35"/>
      <c r="J216" s="9" t="str">
        <f t="shared" si="46"/>
        <v/>
      </c>
      <c r="K216" s="39"/>
      <c r="L216" s="39"/>
      <c r="M216" s="39"/>
      <c r="N216" s="39"/>
      <c r="O216" s="39"/>
      <c r="P216" s="39"/>
      <c r="Q216" s="39"/>
      <c r="R216" s="39"/>
      <c r="S216" s="10">
        <f t="shared" si="53"/>
        <v>0</v>
      </c>
      <c r="T216" s="10">
        <v>100000</v>
      </c>
      <c r="U216" s="10">
        <f t="shared" si="55"/>
        <v>0</v>
      </c>
      <c r="V216" s="4"/>
      <c r="Y216" s="4"/>
    </row>
    <row r="217" spans="2:25" ht="18.75">
      <c r="B217" s="58"/>
      <c r="C217" s="60"/>
      <c r="D217" s="52"/>
      <c r="E217" s="63"/>
      <c r="F217" s="8">
        <v>8.3333333333333329E-2</v>
      </c>
      <c r="G217" s="67"/>
      <c r="H217" s="68"/>
      <c r="I217" s="35"/>
      <c r="J217" s="9" t="str">
        <f t="shared" si="46"/>
        <v/>
      </c>
      <c r="K217" s="39"/>
      <c r="L217" s="39"/>
      <c r="M217" s="39"/>
      <c r="N217" s="39"/>
      <c r="O217" s="39"/>
      <c r="P217" s="39"/>
      <c r="Q217" s="39"/>
      <c r="R217" s="39"/>
      <c r="S217" s="10">
        <f t="shared" si="53"/>
        <v>0</v>
      </c>
      <c r="T217" s="10">
        <v>100000</v>
      </c>
      <c r="U217" s="10">
        <f t="shared" si="55"/>
        <v>0</v>
      </c>
      <c r="V217" s="4"/>
      <c r="Y217" s="4"/>
    </row>
    <row r="218" spans="2:25" ht="18.75">
      <c r="B218" s="58"/>
      <c r="C218" s="60"/>
      <c r="D218" s="52"/>
      <c r="E218" s="63"/>
      <c r="F218" s="8">
        <v>0.16666666666666666</v>
      </c>
      <c r="G218" s="67"/>
      <c r="H218" s="68"/>
      <c r="I218" s="35"/>
      <c r="J218" s="9" t="str">
        <f t="shared" si="46"/>
        <v/>
      </c>
      <c r="K218" s="39"/>
      <c r="L218" s="39"/>
      <c r="M218" s="39"/>
      <c r="N218" s="39"/>
      <c r="O218" s="39"/>
      <c r="P218" s="39"/>
      <c r="Q218" s="39"/>
      <c r="R218" s="39"/>
      <c r="S218" s="10">
        <f t="shared" si="53"/>
        <v>0</v>
      </c>
      <c r="T218" s="10">
        <v>100000</v>
      </c>
      <c r="U218" s="10">
        <f t="shared" si="55"/>
        <v>0</v>
      </c>
      <c r="V218" s="4"/>
      <c r="W218" s="4"/>
      <c r="X218" s="4"/>
      <c r="Y218" s="4"/>
    </row>
    <row r="219" spans="2:25" ht="18.75">
      <c r="B219" s="58"/>
      <c r="C219" s="60"/>
      <c r="D219" s="52"/>
      <c r="E219" s="63"/>
      <c r="F219" s="8">
        <v>0.25</v>
      </c>
      <c r="G219" s="67"/>
      <c r="H219" s="68"/>
      <c r="I219" s="35"/>
      <c r="J219" s="9" t="str">
        <f t="shared" si="46"/>
        <v/>
      </c>
      <c r="K219" s="39"/>
      <c r="L219" s="39"/>
      <c r="M219" s="39"/>
      <c r="N219" s="39"/>
      <c r="O219" s="39"/>
      <c r="P219" s="39"/>
      <c r="Q219" s="39"/>
      <c r="R219" s="39"/>
      <c r="S219" s="10">
        <f t="shared" si="53"/>
        <v>0</v>
      </c>
      <c r="T219" s="10">
        <v>100000</v>
      </c>
      <c r="U219" s="10">
        <f t="shared" si="55"/>
        <v>0</v>
      </c>
      <c r="V219" s="4"/>
      <c r="Y219" s="4"/>
    </row>
    <row r="220" spans="2:25" ht="18.75">
      <c r="B220" s="58"/>
      <c r="C220" s="61"/>
      <c r="D220" s="53"/>
      <c r="E220" s="69"/>
      <c r="F220" s="14">
        <v>0.33333333333333331</v>
      </c>
      <c r="G220" s="67"/>
      <c r="H220" s="68"/>
      <c r="I220" s="37"/>
      <c r="J220" s="15" t="str">
        <f t="shared" si="46"/>
        <v/>
      </c>
      <c r="K220" s="40"/>
      <c r="L220" s="40"/>
      <c r="M220" s="40"/>
      <c r="N220" s="40"/>
      <c r="O220" s="40"/>
      <c r="P220" s="40"/>
      <c r="Q220" s="40"/>
      <c r="R220" s="40"/>
      <c r="S220" s="16">
        <f t="shared" si="53"/>
        <v>0</v>
      </c>
      <c r="T220" s="16">
        <v>100000</v>
      </c>
      <c r="U220" s="16">
        <f t="shared" si="55"/>
        <v>0</v>
      </c>
      <c r="V220" s="4"/>
      <c r="W220" s="4"/>
      <c r="X220" s="4"/>
      <c r="Y220" s="4"/>
    </row>
    <row r="221" spans="2:25" ht="16.5" customHeight="1">
      <c r="B221" s="58">
        <v>46099</v>
      </c>
      <c r="C221" s="59" t="s">
        <v>15</v>
      </c>
      <c r="D221" s="51"/>
      <c r="E221" s="62" t="s">
        <v>101</v>
      </c>
      <c r="F221" s="5">
        <v>0.41666666666666669</v>
      </c>
      <c r="G221" s="65"/>
      <c r="H221" s="66"/>
      <c r="I221" s="34"/>
      <c r="J221" s="6" t="str">
        <f t="shared" ref="J221:J284" si="56">IFERROR(S221/I221,"")</f>
        <v/>
      </c>
      <c r="K221" s="38"/>
      <c r="L221" s="38"/>
      <c r="M221" s="38"/>
      <c r="N221" s="38"/>
      <c r="O221" s="38"/>
      <c r="P221" s="38"/>
      <c r="Q221" s="38"/>
      <c r="R221" s="38"/>
      <c r="S221" s="7">
        <f>SUM(K221:R221)</f>
        <v>0</v>
      </c>
      <c r="T221" s="7">
        <v>100000</v>
      </c>
      <c r="U221" s="7">
        <f>T221*S221</f>
        <v>0</v>
      </c>
      <c r="V221" s="4"/>
      <c r="W221" s="4"/>
      <c r="X221" s="4"/>
      <c r="Y221" s="4"/>
    </row>
    <row r="222" spans="2:25" ht="18.75">
      <c r="B222" s="58"/>
      <c r="C222" s="60"/>
      <c r="D222" s="52"/>
      <c r="E222" s="63"/>
      <c r="F222" s="8">
        <v>0.5</v>
      </c>
      <c r="G222" s="67"/>
      <c r="H222" s="68"/>
      <c r="I222" s="35"/>
      <c r="J222" s="9" t="str">
        <f t="shared" si="56"/>
        <v/>
      </c>
      <c r="K222" s="39"/>
      <c r="L222" s="39"/>
      <c r="M222" s="39"/>
      <c r="N222" s="39"/>
      <c r="O222" s="39"/>
      <c r="P222" s="39"/>
      <c r="Q222" s="39"/>
      <c r="R222" s="39"/>
      <c r="S222" s="10">
        <f t="shared" ref="S222:S232" si="57">SUM(K222:R222)</f>
        <v>0</v>
      </c>
      <c r="T222" s="10">
        <v>100000</v>
      </c>
      <c r="U222" s="10">
        <f t="shared" ref="U222:U223" si="58">T222*S222</f>
        <v>0</v>
      </c>
      <c r="V222" s="4"/>
      <c r="W222" s="4"/>
      <c r="X222" s="4"/>
      <c r="Y222" s="4"/>
    </row>
    <row r="223" spans="2:25" ht="18.75">
      <c r="B223" s="58"/>
      <c r="C223" s="60"/>
      <c r="D223" s="52"/>
      <c r="E223" s="63"/>
      <c r="F223" s="8">
        <v>0.58333333333333337</v>
      </c>
      <c r="G223" s="67"/>
      <c r="H223" s="68"/>
      <c r="I223" s="35"/>
      <c r="J223" s="9" t="str">
        <f t="shared" si="56"/>
        <v/>
      </c>
      <c r="K223" s="39"/>
      <c r="L223" s="39"/>
      <c r="M223" s="39"/>
      <c r="N223" s="39"/>
      <c r="O223" s="39"/>
      <c r="P223" s="39"/>
      <c r="Q223" s="39"/>
      <c r="R223" s="39"/>
      <c r="S223" s="10">
        <f t="shared" si="57"/>
        <v>0</v>
      </c>
      <c r="T223" s="10">
        <v>100000</v>
      </c>
      <c r="U223" s="10">
        <f t="shared" si="58"/>
        <v>0</v>
      </c>
      <c r="V223" s="4"/>
      <c r="W223" s="4"/>
      <c r="X223" s="4"/>
      <c r="Y223" s="4"/>
    </row>
    <row r="224" spans="2:25" ht="18.75">
      <c r="B224" s="58"/>
      <c r="C224" s="60"/>
      <c r="D224" s="52"/>
      <c r="E224" s="63"/>
      <c r="F224" s="8">
        <v>0.66666666666666663</v>
      </c>
      <c r="G224" s="67"/>
      <c r="H224" s="68"/>
      <c r="I224" s="35"/>
      <c r="J224" s="9" t="str">
        <f t="shared" si="56"/>
        <v/>
      </c>
      <c r="K224" s="39"/>
      <c r="L224" s="39"/>
      <c r="M224" s="39"/>
      <c r="N224" s="39"/>
      <c r="O224" s="39"/>
      <c r="P224" s="39"/>
      <c r="Q224" s="39"/>
      <c r="R224" s="39"/>
      <c r="S224" s="10">
        <f t="shared" si="57"/>
        <v>0</v>
      </c>
      <c r="T224" s="10">
        <v>100000</v>
      </c>
      <c r="U224" s="10">
        <f>T224*S224</f>
        <v>0</v>
      </c>
      <c r="V224" s="4"/>
      <c r="W224" s="4"/>
      <c r="X224" s="4"/>
      <c r="Y224" s="4"/>
    </row>
    <row r="225" spans="2:25" ht="18.75">
      <c r="B225" s="58"/>
      <c r="C225" s="60"/>
      <c r="D225" s="52"/>
      <c r="E225" s="63"/>
      <c r="F225" s="8">
        <v>0.75</v>
      </c>
      <c r="G225" s="67"/>
      <c r="H225" s="68"/>
      <c r="I225" s="35"/>
      <c r="J225" s="9" t="str">
        <f t="shared" si="56"/>
        <v/>
      </c>
      <c r="K225" s="39"/>
      <c r="L225" s="39"/>
      <c r="M225" s="39"/>
      <c r="N225" s="39"/>
      <c r="O225" s="39"/>
      <c r="P225" s="39"/>
      <c r="Q225" s="39"/>
      <c r="R225" s="39"/>
      <c r="S225" s="10">
        <f t="shared" si="57"/>
        <v>0</v>
      </c>
      <c r="T225" s="10">
        <v>100000</v>
      </c>
      <c r="U225" s="10">
        <f t="shared" ref="U225:U232" si="59">T225*S225</f>
        <v>0</v>
      </c>
      <c r="V225" s="4"/>
      <c r="W225" s="4"/>
      <c r="X225" s="11"/>
      <c r="Y225" s="4"/>
    </row>
    <row r="226" spans="2:25" ht="18.75">
      <c r="B226" s="58"/>
      <c r="C226" s="60"/>
      <c r="D226" s="53"/>
      <c r="E226" s="64"/>
      <c r="F226" s="12">
        <v>0.83333333333333337</v>
      </c>
      <c r="G226" s="67"/>
      <c r="H226" s="68"/>
      <c r="I226" s="36"/>
      <c r="J226" s="9" t="str">
        <f t="shared" si="56"/>
        <v/>
      </c>
      <c r="K226" s="41"/>
      <c r="L226" s="41"/>
      <c r="M226" s="41"/>
      <c r="N226" s="41"/>
      <c r="O226" s="41"/>
      <c r="P226" s="41"/>
      <c r="Q226" s="41"/>
      <c r="R226" s="41"/>
      <c r="S226" s="13">
        <f t="shared" si="57"/>
        <v>0</v>
      </c>
      <c r="T226" s="13">
        <v>100000</v>
      </c>
      <c r="U226" s="13">
        <f t="shared" si="59"/>
        <v>0</v>
      </c>
      <c r="V226" s="4"/>
      <c r="Y226" s="4"/>
    </row>
    <row r="227" spans="2:25" ht="18.75">
      <c r="B227" s="58"/>
      <c r="C227" s="60"/>
      <c r="D227" s="51"/>
      <c r="E227" s="62" t="s">
        <v>102</v>
      </c>
      <c r="F227" s="5">
        <v>0.91666666666666663</v>
      </c>
      <c r="G227" s="65"/>
      <c r="H227" s="66"/>
      <c r="I227" s="34"/>
      <c r="J227" s="6" t="str">
        <f t="shared" si="56"/>
        <v/>
      </c>
      <c r="K227" s="38"/>
      <c r="L227" s="38"/>
      <c r="M227" s="38"/>
      <c r="N227" s="38"/>
      <c r="O227" s="38"/>
      <c r="P227" s="38"/>
      <c r="Q227" s="38"/>
      <c r="R227" s="38"/>
      <c r="S227" s="7">
        <f t="shared" si="57"/>
        <v>0</v>
      </c>
      <c r="T227" s="7">
        <v>100000</v>
      </c>
      <c r="U227" s="7">
        <f t="shared" si="59"/>
        <v>0</v>
      </c>
      <c r="V227" s="4"/>
      <c r="Y227" s="4"/>
    </row>
    <row r="228" spans="2:25" ht="18.75">
      <c r="B228" s="58"/>
      <c r="C228" s="60"/>
      <c r="D228" s="52"/>
      <c r="E228" s="63"/>
      <c r="F228" s="8">
        <v>1</v>
      </c>
      <c r="G228" s="67"/>
      <c r="H228" s="68"/>
      <c r="I228" s="35"/>
      <c r="J228" s="9" t="str">
        <f t="shared" si="56"/>
        <v/>
      </c>
      <c r="K228" s="39"/>
      <c r="L228" s="39"/>
      <c r="M228" s="39"/>
      <c r="N228" s="39"/>
      <c r="O228" s="39"/>
      <c r="P228" s="39"/>
      <c r="Q228" s="39"/>
      <c r="R228" s="39"/>
      <c r="S228" s="10">
        <f t="shared" si="57"/>
        <v>0</v>
      </c>
      <c r="T228" s="10">
        <v>100000</v>
      </c>
      <c r="U228" s="10">
        <f t="shared" si="59"/>
        <v>0</v>
      </c>
      <c r="V228" s="4"/>
      <c r="Y228" s="4"/>
    </row>
    <row r="229" spans="2:25" ht="18.75">
      <c r="B229" s="58"/>
      <c r="C229" s="60"/>
      <c r="D229" s="52"/>
      <c r="E229" s="63"/>
      <c r="F229" s="8">
        <v>8.3333333333333329E-2</v>
      </c>
      <c r="G229" s="67"/>
      <c r="H229" s="68"/>
      <c r="I229" s="35"/>
      <c r="J229" s="9" t="str">
        <f t="shared" si="56"/>
        <v/>
      </c>
      <c r="K229" s="39"/>
      <c r="L229" s="39"/>
      <c r="M229" s="39"/>
      <c r="N229" s="39"/>
      <c r="O229" s="39"/>
      <c r="P229" s="39"/>
      <c r="Q229" s="39"/>
      <c r="R229" s="39"/>
      <c r="S229" s="10">
        <f t="shared" si="57"/>
        <v>0</v>
      </c>
      <c r="T229" s="10">
        <v>100000</v>
      </c>
      <c r="U229" s="10">
        <f t="shared" si="59"/>
        <v>0</v>
      </c>
      <c r="V229" s="4"/>
      <c r="Y229" s="4"/>
    </row>
    <row r="230" spans="2:25" ht="18.75">
      <c r="B230" s="58"/>
      <c r="C230" s="60"/>
      <c r="D230" s="52"/>
      <c r="E230" s="63"/>
      <c r="F230" s="8">
        <v>0.16666666666666666</v>
      </c>
      <c r="G230" s="67"/>
      <c r="H230" s="68"/>
      <c r="I230" s="35"/>
      <c r="J230" s="9" t="str">
        <f t="shared" si="56"/>
        <v/>
      </c>
      <c r="K230" s="39"/>
      <c r="L230" s="39"/>
      <c r="M230" s="39"/>
      <c r="N230" s="39"/>
      <c r="O230" s="39"/>
      <c r="P230" s="39"/>
      <c r="Q230" s="39"/>
      <c r="R230" s="39"/>
      <c r="S230" s="10">
        <f t="shared" si="57"/>
        <v>0</v>
      </c>
      <c r="T230" s="10">
        <v>100000</v>
      </c>
      <c r="U230" s="10">
        <f t="shared" si="59"/>
        <v>0</v>
      </c>
      <c r="V230" s="4"/>
      <c r="W230" s="4"/>
      <c r="X230" s="4"/>
      <c r="Y230" s="4"/>
    </row>
    <row r="231" spans="2:25" ht="18.75">
      <c r="B231" s="58"/>
      <c r="C231" s="60"/>
      <c r="D231" s="52"/>
      <c r="E231" s="63"/>
      <c r="F231" s="8">
        <v>0.25</v>
      </c>
      <c r="G231" s="67"/>
      <c r="H231" s="68"/>
      <c r="I231" s="35"/>
      <c r="J231" s="9" t="str">
        <f t="shared" si="56"/>
        <v/>
      </c>
      <c r="K231" s="39"/>
      <c r="L231" s="39"/>
      <c r="M231" s="39"/>
      <c r="N231" s="39"/>
      <c r="O231" s="39"/>
      <c r="P231" s="39"/>
      <c r="Q231" s="39"/>
      <c r="R231" s="39"/>
      <c r="S231" s="10">
        <f t="shared" si="57"/>
        <v>0</v>
      </c>
      <c r="T231" s="10">
        <v>100000</v>
      </c>
      <c r="U231" s="10">
        <f t="shared" si="59"/>
        <v>0</v>
      </c>
      <c r="V231" s="4"/>
      <c r="Y231" s="4"/>
    </row>
    <row r="232" spans="2:25" ht="18.75">
      <c r="B232" s="58"/>
      <c r="C232" s="61"/>
      <c r="D232" s="53"/>
      <c r="E232" s="69"/>
      <c r="F232" s="14">
        <v>0.33333333333333331</v>
      </c>
      <c r="G232" s="67"/>
      <c r="H232" s="68"/>
      <c r="I232" s="37"/>
      <c r="J232" s="15" t="str">
        <f t="shared" si="56"/>
        <v/>
      </c>
      <c r="K232" s="40"/>
      <c r="L232" s="40"/>
      <c r="M232" s="40"/>
      <c r="N232" s="40"/>
      <c r="O232" s="40"/>
      <c r="P232" s="40"/>
      <c r="Q232" s="40"/>
      <c r="R232" s="40"/>
      <c r="S232" s="16">
        <f t="shared" si="57"/>
        <v>0</v>
      </c>
      <c r="T232" s="16">
        <v>100000</v>
      </c>
      <c r="U232" s="16">
        <f t="shared" si="59"/>
        <v>0</v>
      </c>
      <c r="V232" s="4"/>
      <c r="W232" s="4"/>
      <c r="X232" s="4"/>
      <c r="Y232" s="4"/>
    </row>
    <row r="233" spans="2:25" ht="16.5" customHeight="1">
      <c r="B233" s="58">
        <v>46100</v>
      </c>
      <c r="C233" s="59" t="s">
        <v>15</v>
      </c>
      <c r="D233" s="51"/>
      <c r="E233" s="62" t="s">
        <v>101</v>
      </c>
      <c r="F233" s="5">
        <v>0.41666666666666669</v>
      </c>
      <c r="G233" s="65"/>
      <c r="H233" s="66"/>
      <c r="I233" s="34"/>
      <c r="J233" s="6" t="str">
        <f t="shared" si="56"/>
        <v/>
      </c>
      <c r="K233" s="38"/>
      <c r="L233" s="38"/>
      <c r="M233" s="38"/>
      <c r="N233" s="38"/>
      <c r="O233" s="38"/>
      <c r="P233" s="38"/>
      <c r="Q233" s="38"/>
      <c r="R233" s="38"/>
      <c r="S233" s="7">
        <f>SUM(K233:R233)</f>
        <v>0</v>
      </c>
      <c r="T233" s="7">
        <v>100000</v>
      </c>
      <c r="U233" s="7">
        <f>T233*S233</f>
        <v>0</v>
      </c>
      <c r="V233" s="4"/>
      <c r="W233" s="4"/>
      <c r="X233" s="4"/>
      <c r="Y233" s="4"/>
    </row>
    <row r="234" spans="2:25" ht="18.75">
      <c r="B234" s="58"/>
      <c r="C234" s="60"/>
      <c r="D234" s="52"/>
      <c r="E234" s="63"/>
      <c r="F234" s="8">
        <v>0.5</v>
      </c>
      <c r="G234" s="67"/>
      <c r="H234" s="68"/>
      <c r="I234" s="35"/>
      <c r="J234" s="9" t="str">
        <f t="shared" si="56"/>
        <v/>
      </c>
      <c r="K234" s="39"/>
      <c r="L234" s="39"/>
      <c r="M234" s="39"/>
      <c r="N234" s="39"/>
      <c r="O234" s="39"/>
      <c r="P234" s="39"/>
      <c r="Q234" s="39"/>
      <c r="R234" s="39"/>
      <c r="S234" s="10">
        <f t="shared" ref="S234:S244" si="60">SUM(K234:R234)</f>
        <v>0</v>
      </c>
      <c r="T234" s="10">
        <v>100000</v>
      </c>
      <c r="U234" s="10">
        <f t="shared" ref="U234:U235" si="61">T234*S234</f>
        <v>0</v>
      </c>
      <c r="V234" s="4"/>
      <c r="W234" s="4"/>
      <c r="X234" s="4"/>
      <c r="Y234" s="4"/>
    </row>
    <row r="235" spans="2:25" ht="18.75">
      <c r="B235" s="58"/>
      <c r="C235" s="60"/>
      <c r="D235" s="52"/>
      <c r="E235" s="63"/>
      <c r="F235" s="8">
        <v>0.58333333333333337</v>
      </c>
      <c r="G235" s="67"/>
      <c r="H235" s="68"/>
      <c r="I235" s="35"/>
      <c r="J235" s="9" t="str">
        <f t="shared" si="56"/>
        <v/>
      </c>
      <c r="K235" s="39"/>
      <c r="L235" s="39"/>
      <c r="M235" s="39"/>
      <c r="N235" s="39"/>
      <c r="O235" s="39"/>
      <c r="P235" s="39"/>
      <c r="Q235" s="39"/>
      <c r="R235" s="39"/>
      <c r="S235" s="10">
        <f t="shared" si="60"/>
        <v>0</v>
      </c>
      <c r="T235" s="10">
        <v>100000</v>
      </c>
      <c r="U235" s="10">
        <f t="shared" si="61"/>
        <v>0</v>
      </c>
      <c r="V235" s="4"/>
      <c r="W235" s="4"/>
      <c r="X235" s="4"/>
      <c r="Y235" s="4"/>
    </row>
    <row r="236" spans="2:25" ht="18.75">
      <c r="B236" s="58"/>
      <c r="C236" s="60"/>
      <c r="D236" s="52"/>
      <c r="E236" s="63"/>
      <c r="F236" s="8">
        <v>0.66666666666666663</v>
      </c>
      <c r="G236" s="67"/>
      <c r="H236" s="68"/>
      <c r="I236" s="35"/>
      <c r="J236" s="9" t="str">
        <f t="shared" si="56"/>
        <v/>
      </c>
      <c r="K236" s="39"/>
      <c r="L236" s="39"/>
      <c r="M236" s="39"/>
      <c r="N236" s="39"/>
      <c r="O236" s="39"/>
      <c r="P236" s="39"/>
      <c r="Q236" s="39"/>
      <c r="R236" s="39"/>
      <c r="S236" s="10">
        <f t="shared" si="60"/>
        <v>0</v>
      </c>
      <c r="T236" s="10">
        <v>100000</v>
      </c>
      <c r="U236" s="10">
        <f>T236*S236</f>
        <v>0</v>
      </c>
      <c r="V236" s="4"/>
      <c r="W236" s="4"/>
      <c r="X236" s="4"/>
      <c r="Y236" s="4"/>
    </row>
    <row r="237" spans="2:25" ht="18.75">
      <c r="B237" s="58"/>
      <c r="C237" s="60"/>
      <c r="D237" s="52"/>
      <c r="E237" s="63"/>
      <c r="F237" s="8">
        <v>0.75</v>
      </c>
      <c r="G237" s="67"/>
      <c r="H237" s="68"/>
      <c r="I237" s="35"/>
      <c r="J237" s="9" t="str">
        <f t="shared" si="56"/>
        <v/>
      </c>
      <c r="K237" s="39"/>
      <c r="L237" s="39"/>
      <c r="M237" s="39"/>
      <c r="N237" s="39"/>
      <c r="O237" s="39"/>
      <c r="P237" s="39"/>
      <c r="Q237" s="39"/>
      <c r="R237" s="39"/>
      <c r="S237" s="10">
        <f t="shared" si="60"/>
        <v>0</v>
      </c>
      <c r="T237" s="10">
        <v>100000</v>
      </c>
      <c r="U237" s="10">
        <f t="shared" ref="U237:U244" si="62">T237*S237</f>
        <v>0</v>
      </c>
      <c r="V237" s="4"/>
      <c r="W237" s="4"/>
      <c r="X237" s="11"/>
      <c r="Y237" s="4"/>
    </row>
    <row r="238" spans="2:25" ht="18.75">
      <c r="B238" s="58"/>
      <c r="C238" s="60"/>
      <c r="D238" s="53"/>
      <c r="E238" s="64"/>
      <c r="F238" s="12">
        <v>0.83333333333333337</v>
      </c>
      <c r="G238" s="67"/>
      <c r="H238" s="68"/>
      <c r="I238" s="36"/>
      <c r="J238" s="9" t="str">
        <f t="shared" si="56"/>
        <v/>
      </c>
      <c r="K238" s="41"/>
      <c r="L238" s="41"/>
      <c r="M238" s="41"/>
      <c r="N238" s="41"/>
      <c r="O238" s="41"/>
      <c r="P238" s="41"/>
      <c r="Q238" s="41"/>
      <c r="R238" s="41"/>
      <c r="S238" s="13">
        <f t="shared" si="60"/>
        <v>0</v>
      </c>
      <c r="T238" s="13">
        <v>100000</v>
      </c>
      <c r="U238" s="13">
        <f t="shared" si="62"/>
        <v>0</v>
      </c>
      <c r="V238" s="4"/>
      <c r="Y238" s="4"/>
    </row>
    <row r="239" spans="2:25" ht="18.75">
      <c r="B239" s="58"/>
      <c r="C239" s="60"/>
      <c r="D239" s="51"/>
      <c r="E239" s="62" t="s">
        <v>102</v>
      </c>
      <c r="F239" s="5">
        <v>0.91666666666666663</v>
      </c>
      <c r="G239" s="65"/>
      <c r="H239" s="66"/>
      <c r="I239" s="34"/>
      <c r="J239" s="6" t="str">
        <f t="shared" si="56"/>
        <v/>
      </c>
      <c r="K239" s="38"/>
      <c r="L239" s="38"/>
      <c r="M239" s="38"/>
      <c r="N239" s="38"/>
      <c r="O239" s="38"/>
      <c r="P239" s="38"/>
      <c r="Q239" s="38"/>
      <c r="R239" s="38"/>
      <c r="S239" s="7">
        <f t="shared" si="60"/>
        <v>0</v>
      </c>
      <c r="T239" s="7">
        <v>100000</v>
      </c>
      <c r="U239" s="7">
        <f t="shared" si="62"/>
        <v>0</v>
      </c>
      <c r="V239" s="4"/>
      <c r="Y239" s="4"/>
    </row>
    <row r="240" spans="2:25" ht="18.75">
      <c r="B240" s="58"/>
      <c r="C240" s="60"/>
      <c r="D240" s="52"/>
      <c r="E240" s="63"/>
      <c r="F240" s="8">
        <v>1</v>
      </c>
      <c r="G240" s="67"/>
      <c r="H240" s="68"/>
      <c r="I240" s="35"/>
      <c r="J240" s="9" t="str">
        <f t="shared" si="56"/>
        <v/>
      </c>
      <c r="K240" s="39"/>
      <c r="L240" s="39"/>
      <c r="M240" s="39"/>
      <c r="N240" s="39"/>
      <c r="O240" s="39"/>
      <c r="P240" s="39"/>
      <c r="Q240" s="39"/>
      <c r="R240" s="39"/>
      <c r="S240" s="10">
        <f t="shared" si="60"/>
        <v>0</v>
      </c>
      <c r="T240" s="10">
        <v>100000</v>
      </c>
      <c r="U240" s="10">
        <f t="shared" si="62"/>
        <v>0</v>
      </c>
      <c r="V240" s="4"/>
      <c r="Y240" s="4"/>
    </row>
    <row r="241" spans="2:25" ht="18.75">
      <c r="B241" s="58"/>
      <c r="C241" s="60"/>
      <c r="D241" s="52"/>
      <c r="E241" s="63"/>
      <c r="F241" s="8">
        <v>8.3333333333333329E-2</v>
      </c>
      <c r="G241" s="67"/>
      <c r="H241" s="68"/>
      <c r="I241" s="35"/>
      <c r="J241" s="9" t="str">
        <f t="shared" si="56"/>
        <v/>
      </c>
      <c r="K241" s="39"/>
      <c r="L241" s="39"/>
      <c r="M241" s="39"/>
      <c r="N241" s="39"/>
      <c r="O241" s="39"/>
      <c r="P241" s="39"/>
      <c r="Q241" s="39"/>
      <c r="R241" s="39"/>
      <c r="S241" s="10">
        <f t="shared" si="60"/>
        <v>0</v>
      </c>
      <c r="T241" s="10">
        <v>100000</v>
      </c>
      <c r="U241" s="10">
        <f t="shared" si="62"/>
        <v>0</v>
      </c>
      <c r="V241" s="4"/>
      <c r="Y241" s="4"/>
    </row>
    <row r="242" spans="2:25" ht="18.75">
      <c r="B242" s="58"/>
      <c r="C242" s="60"/>
      <c r="D242" s="52"/>
      <c r="E242" s="63"/>
      <c r="F242" s="8">
        <v>0.16666666666666666</v>
      </c>
      <c r="G242" s="67"/>
      <c r="H242" s="68"/>
      <c r="I242" s="35"/>
      <c r="J242" s="9" t="str">
        <f t="shared" si="56"/>
        <v/>
      </c>
      <c r="K242" s="39"/>
      <c r="L242" s="39"/>
      <c r="M242" s="39"/>
      <c r="N242" s="39"/>
      <c r="O242" s="39"/>
      <c r="P242" s="39"/>
      <c r="Q242" s="39"/>
      <c r="R242" s="39"/>
      <c r="S242" s="10">
        <f t="shared" si="60"/>
        <v>0</v>
      </c>
      <c r="T242" s="10">
        <v>100000</v>
      </c>
      <c r="U242" s="10">
        <f t="shared" si="62"/>
        <v>0</v>
      </c>
      <c r="V242" s="4"/>
      <c r="W242" s="4"/>
      <c r="X242" s="4"/>
      <c r="Y242" s="4"/>
    </row>
    <row r="243" spans="2:25" ht="18.75">
      <c r="B243" s="58"/>
      <c r="C243" s="60"/>
      <c r="D243" s="52"/>
      <c r="E243" s="63"/>
      <c r="F243" s="8">
        <v>0.25</v>
      </c>
      <c r="G243" s="67"/>
      <c r="H243" s="68"/>
      <c r="I243" s="35"/>
      <c r="J243" s="9" t="str">
        <f t="shared" si="56"/>
        <v/>
      </c>
      <c r="K243" s="39"/>
      <c r="L243" s="39"/>
      <c r="M243" s="39"/>
      <c r="N243" s="39"/>
      <c r="O243" s="39"/>
      <c r="P243" s="39"/>
      <c r="Q243" s="39"/>
      <c r="R243" s="39"/>
      <c r="S243" s="10">
        <f t="shared" si="60"/>
        <v>0</v>
      </c>
      <c r="T243" s="10">
        <v>100000</v>
      </c>
      <c r="U243" s="10">
        <f t="shared" si="62"/>
        <v>0</v>
      </c>
      <c r="V243" s="4"/>
      <c r="Y243" s="4"/>
    </row>
    <row r="244" spans="2:25" ht="18.75">
      <c r="B244" s="58"/>
      <c r="C244" s="61"/>
      <c r="D244" s="53"/>
      <c r="E244" s="69"/>
      <c r="F244" s="14">
        <v>0.33333333333333331</v>
      </c>
      <c r="G244" s="67"/>
      <c r="H244" s="68"/>
      <c r="I244" s="37"/>
      <c r="J244" s="15" t="str">
        <f t="shared" si="56"/>
        <v/>
      </c>
      <c r="K244" s="40"/>
      <c r="L244" s="40"/>
      <c r="M244" s="40"/>
      <c r="N244" s="40"/>
      <c r="O244" s="40"/>
      <c r="P244" s="40"/>
      <c r="Q244" s="40"/>
      <c r="R244" s="40"/>
      <c r="S244" s="16">
        <f t="shared" si="60"/>
        <v>0</v>
      </c>
      <c r="T244" s="16">
        <v>100000</v>
      </c>
      <c r="U244" s="16">
        <f t="shared" si="62"/>
        <v>0</v>
      </c>
      <c r="V244" s="4"/>
      <c r="W244" s="4"/>
      <c r="X244" s="4"/>
      <c r="Y244" s="4"/>
    </row>
    <row r="245" spans="2:25" ht="16.5" customHeight="1">
      <c r="B245" s="58">
        <v>46101</v>
      </c>
      <c r="C245" s="59" t="s">
        <v>15</v>
      </c>
      <c r="D245" s="51"/>
      <c r="E245" s="62" t="s">
        <v>101</v>
      </c>
      <c r="F245" s="5">
        <v>0.41666666666666669</v>
      </c>
      <c r="G245" s="65"/>
      <c r="H245" s="66"/>
      <c r="I245" s="34"/>
      <c r="J245" s="6" t="str">
        <f t="shared" si="56"/>
        <v/>
      </c>
      <c r="K245" s="38"/>
      <c r="L245" s="38"/>
      <c r="M245" s="38"/>
      <c r="N245" s="38"/>
      <c r="O245" s="38"/>
      <c r="P245" s="38"/>
      <c r="Q245" s="38"/>
      <c r="R245" s="38"/>
      <c r="S245" s="7">
        <f>SUM(K245:R245)</f>
        <v>0</v>
      </c>
      <c r="T245" s="7">
        <v>100000</v>
      </c>
      <c r="U245" s="7">
        <f>T245*S245</f>
        <v>0</v>
      </c>
      <c r="V245" s="4"/>
      <c r="W245" s="4"/>
      <c r="X245" s="4"/>
      <c r="Y245" s="4"/>
    </row>
    <row r="246" spans="2:25" ht="18.75">
      <c r="B246" s="58"/>
      <c r="C246" s="60"/>
      <c r="D246" s="52"/>
      <c r="E246" s="63"/>
      <c r="F246" s="8">
        <v>0.5</v>
      </c>
      <c r="G246" s="67"/>
      <c r="H246" s="68"/>
      <c r="I246" s="35"/>
      <c r="J246" s="9" t="str">
        <f t="shared" si="56"/>
        <v/>
      </c>
      <c r="K246" s="39"/>
      <c r="L246" s="39"/>
      <c r="M246" s="39"/>
      <c r="N246" s="39"/>
      <c r="O246" s="39"/>
      <c r="P246" s="39"/>
      <c r="Q246" s="39"/>
      <c r="R246" s="39"/>
      <c r="S246" s="10">
        <f t="shared" ref="S246:S256" si="63">SUM(K246:R246)</f>
        <v>0</v>
      </c>
      <c r="T246" s="10">
        <v>100000</v>
      </c>
      <c r="U246" s="10">
        <f t="shared" ref="U246:U247" si="64">T246*S246</f>
        <v>0</v>
      </c>
      <c r="V246" s="4"/>
      <c r="W246" s="4"/>
      <c r="X246" s="4"/>
      <c r="Y246" s="4"/>
    </row>
    <row r="247" spans="2:25" ht="18.75">
      <c r="B247" s="58"/>
      <c r="C247" s="60"/>
      <c r="D247" s="52"/>
      <c r="E247" s="63"/>
      <c r="F247" s="8">
        <v>0.58333333333333337</v>
      </c>
      <c r="G247" s="67"/>
      <c r="H247" s="68"/>
      <c r="I247" s="35"/>
      <c r="J247" s="9" t="str">
        <f t="shared" si="56"/>
        <v/>
      </c>
      <c r="K247" s="39"/>
      <c r="L247" s="39"/>
      <c r="M247" s="39"/>
      <c r="N247" s="39"/>
      <c r="O247" s="39"/>
      <c r="P247" s="39"/>
      <c r="Q247" s="39"/>
      <c r="R247" s="39"/>
      <c r="S247" s="10">
        <f t="shared" si="63"/>
        <v>0</v>
      </c>
      <c r="T247" s="10">
        <v>100000</v>
      </c>
      <c r="U247" s="10">
        <f t="shared" si="64"/>
        <v>0</v>
      </c>
      <c r="V247" s="4"/>
      <c r="W247" s="4"/>
      <c r="X247" s="4"/>
      <c r="Y247" s="4"/>
    </row>
    <row r="248" spans="2:25" ht="18.75">
      <c r="B248" s="58"/>
      <c r="C248" s="60"/>
      <c r="D248" s="52"/>
      <c r="E248" s="63"/>
      <c r="F248" s="8">
        <v>0.66666666666666663</v>
      </c>
      <c r="G248" s="67"/>
      <c r="H248" s="68"/>
      <c r="I248" s="35"/>
      <c r="J248" s="9" t="str">
        <f t="shared" si="56"/>
        <v/>
      </c>
      <c r="K248" s="39"/>
      <c r="L248" s="39"/>
      <c r="M248" s="39"/>
      <c r="N248" s="39"/>
      <c r="O248" s="39"/>
      <c r="P248" s="39"/>
      <c r="Q248" s="39"/>
      <c r="R248" s="39"/>
      <c r="S248" s="10">
        <f t="shared" si="63"/>
        <v>0</v>
      </c>
      <c r="T248" s="10">
        <v>100000</v>
      </c>
      <c r="U248" s="10">
        <f>T248*S248</f>
        <v>0</v>
      </c>
      <c r="V248" s="4"/>
      <c r="W248" s="4"/>
      <c r="X248" s="4"/>
      <c r="Y248" s="4"/>
    </row>
    <row r="249" spans="2:25" ht="18.75">
      <c r="B249" s="58"/>
      <c r="C249" s="60"/>
      <c r="D249" s="52"/>
      <c r="E249" s="63"/>
      <c r="F249" s="8">
        <v>0.75</v>
      </c>
      <c r="G249" s="67"/>
      <c r="H249" s="68"/>
      <c r="I249" s="35"/>
      <c r="J249" s="9" t="str">
        <f t="shared" si="56"/>
        <v/>
      </c>
      <c r="K249" s="39"/>
      <c r="L249" s="39"/>
      <c r="M249" s="39"/>
      <c r="N249" s="39"/>
      <c r="O249" s="39"/>
      <c r="P249" s="39"/>
      <c r="Q249" s="39"/>
      <c r="R249" s="39"/>
      <c r="S249" s="10">
        <f t="shared" si="63"/>
        <v>0</v>
      </c>
      <c r="T249" s="10">
        <v>100000</v>
      </c>
      <c r="U249" s="10">
        <f t="shared" ref="U249:U256" si="65">T249*S249</f>
        <v>0</v>
      </c>
      <c r="V249" s="4"/>
      <c r="W249" s="4"/>
      <c r="X249" s="11"/>
      <c r="Y249" s="4"/>
    </row>
    <row r="250" spans="2:25" ht="18.75">
      <c r="B250" s="58"/>
      <c r="C250" s="60"/>
      <c r="D250" s="53"/>
      <c r="E250" s="64"/>
      <c r="F250" s="12">
        <v>0.83333333333333337</v>
      </c>
      <c r="G250" s="67"/>
      <c r="H250" s="68"/>
      <c r="I250" s="36"/>
      <c r="J250" s="9" t="str">
        <f t="shared" si="56"/>
        <v/>
      </c>
      <c r="K250" s="41"/>
      <c r="L250" s="41"/>
      <c r="M250" s="41"/>
      <c r="N250" s="41"/>
      <c r="O250" s="41"/>
      <c r="P250" s="41"/>
      <c r="Q250" s="41"/>
      <c r="R250" s="41"/>
      <c r="S250" s="13">
        <f t="shared" si="63"/>
        <v>0</v>
      </c>
      <c r="T250" s="13">
        <v>100000</v>
      </c>
      <c r="U250" s="13">
        <f t="shared" si="65"/>
        <v>0</v>
      </c>
      <c r="V250" s="4"/>
      <c r="Y250" s="4"/>
    </row>
    <row r="251" spans="2:25" ht="18.75">
      <c r="B251" s="58"/>
      <c r="C251" s="60"/>
      <c r="D251" s="51"/>
      <c r="E251" s="62" t="s">
        <v>102</v>
      </c>
      <c r="F251" s="5">
        <v>0.91666666666666663</v>
      </c>
      <c r="G251" s="65"/>
      <c r="H251" s="66"/>
      <c r="I251" s="34"/>
      <c r="J251" s="6" t="str">
        <f t="shared" si="56"/>
        <v/>
      </c>
      <c r="K251" s="38"/>
      <c r="L251" s="38"/>
      <c r="M251" s="38"/>
      <c r="N251" s="38"/>
      <c r="O251" s="38"/>
      <c r="P251" s="38"/>
      <c r="Q251" s="38"/>
      <c r="R251" s="38"/>
      <c r="S251" s="7">
        <f t="shared" si="63"/>
        <v>0</v>
      </c>
      <c r="T251" s="7">
        <v>100000</v>
      </c>
      <c r="U251" s="7">
        <f t="shared" si="65"/>
        <v>0</v>
      </c>
      <c r="V251" s="4"/>
      <c r="Y251" s="4"/>
    </row>
    <row r="252" spans="2:25" ht="18.75">
      <c r="B252" s="58"/>
      <c r="C252" s="60"/>
      <c r="D252" s="52"/>
      <c r="E252" s="63"/>
      <c r="F252" s="8">
        <v>1</v>
      </c>
      <c r="G252" s="67"/>
      <c r="H252" s="68"/>
      <c r="I252" s="35"/>
      <c r="J252" s="9" t="str">
        <f t="shared" si="56"/>
        <v/>
      </c>
      <c r="K252" s="39"/>
      <c r="L252" s="39"/>
      <c r="M252" s="39"/>
      <c r="N252" s="39"/>
      <c r="O252" s="39"/>
      <c r="P252" s="39"/>
      <c r="Q252" s="39"/>
      <c r="R252" s="39"/>
      <c r="S252" s="10">
        <f t="shared" si="63"/>
        <v>0</v>
      </c>
      <c r="T252" s="10">
        <v>100000</v>
      </c>
      <c r="U252" s="10">
        <f t="shared" si="65"/>
        <v>0</v>
      </c>
      <c r="V252" s="4"/>
      <c r="Y252" s="4"/>
    </row>
    <row r="253" spans="2:25" ht="18.75">
      <c r="B253" s="58"/>
      <c r="C253" s="60"/>
      <c r="D253" s="52"/>
      <c r="E253" s="63"/>
      <c r="F253" s="8">
        <v>8.3333333333333329E-2</v>
      </c>
      <c r="G253" s="67"/>
      <c r="H253" s="68"/>
      <c r="I253" s="35"/>
      <c r="J253" s="9" t="str">
        <f t="shared" si="56"/>
        <v/>
      </c>
      <c r="K253" s="39"/>
      <c r="L253" s="39"/>
      <c r="M253" s="39"/>
      <c r="N253" s="39"/>
      <c r="O253" s="39"/>
      <c r="P253" s="39"/>
      <c r="Q253" s="39"/>
      <c r="R253" s="39"/>
      <c r="S253" s="10">
        <f t="shared" si="63"/>
        <v>0</v>
      </c>
      <c r="T253" s="10">
        <v>100000</v>
      </c>
      <c r="U253" s="10">
        <f t="shared" si="65"/>
        <v>0</v>
      </c>
      <c r="V253" s="4"/>
      <c r="Y253" s="4"/>
    </row>
    <row r="254" spans="2:25" ht="18.75">
      <c r="B254" s="58"/>
      <c r="C254" s="60"/>
      <c r="D254" s="52"/>
      <c r="E254" s="63"/>
      <c r="F254" s="8">
        <v>0.16666666666666666</v>
      </c>
      <c r="G254" s="67"/>
      <c r="H254" s="68"/>
      <c r="I254" s="35"/>
      <c r="J254" s="9" t="str">
        <f t="shared" si="56"/>
        <v/>
      </c>
      <c r="K254" s="39"/>
      <c r="L254" s="39"/>
      <c r="M254" s="39"/>
      <c r="N254" s="39"/>
      <c r="O254" s="39"/>
      <c r="P254" s="39"/>
      <c r="Q254" s="39"/>
      <c r="R254" s="39"/>
      <c r="S254" s="10">
        <f t="shared" si="63"/>
        <v>0</v>
      </c>
      <c r="T254" s="10">
        <v>100000</v>
      </c>
      <c r="U254" s="10">
        <f t="shared" si="65"/>
        <v>0</v>
      </c>
      <c r="V254" s="4"/>
      <c r="W254" s="4"/>
      <c r="X254" s="4"/>
      <c r="Y254" s="4"/>
    </row>
    <row r="255" spans="2:25" ht="18.75">
      <c r="B255" s="58"/>
      <c r="C255" s="60"/>
      <c r="D255" s="52"/>
      <c r="E255" s="63"/>
      <c r="F255" s="8">
        <v>0.25</v>
      </c>
      <c r="G255" s="67"/>
      <c r="H255" s="68"/>
      <c r="I255" s="35"/>
      <c r="J255" s="9" t="str">
        <f t="shared" si="56"/>
        <v/>
      </c>
      <c r="K255" s="39"/>
      <c r="L255" s="39"/>
      <c r="M255" s="39"/>
      <c r="N255" s="39"/>
      <c r="O255" s="39"/>
      <c r="P255" s="39"/>
      <c r="Q255" s="39"/>
      <c r="R255" s="39"/>
      <c r="S255" s="10">
        <f t="shared" si="63"/>
        <v>0</v>
      </c>
      <c r="T255" s="10">
        <v>100000</v>
      </c>
      <c r="U255" s="10">
        <f t="shared" si="65"/>
        <v>0</v>
      </c>
      <c r="V255" s="4"/>
      <c r="Y255" s="4"/>
    </row>
    <row r="256" spans="2:25" ht="18.75">
      <c r="B256" s="58"/>
      <c r="C256" s="61"/>
      <c r="D256" s="53"/>
      <c r="E256" s="69"/>
      <c r="F256" s="14">
        <v>0.33333333333333331</v>
      </c>
      <c r="G256" s="67"/>
      <c r="H256" s="68"/>
      <c r="I256" s="37"/>
      <c r="J256" s="15" t="str">
        <f t="shared" si="56"/>
        <v/>
      </c>
      <c r="K256" s="40"/>
      <c r="L256" s="40"/>
      <c r="M256" s="40"/>
      <c r="N256" s="40"/>
      <c r="O256" s="40"/>
      <c r="P256" s="40"/>
      <c r="Q256" s="40"/>
      <c r="R256" s="40"/>
      <c r="S256" s="16">
        <f t="shared" si="63"/>
        <v>0</v>
      </c>
      <c r="T256" s="16">
        <v>100000</v>
      </c>
      <c r="U256" s="16">
        <f t="shared" si="65"/>
        <v>0</v>
      </c>
      <c r="V256" s="4"/>
      <c r="W256" s="4"/>
      <c r="X256" s="4"/>
      <c r="Y256" s="4"/>
    </row>
    <row r="257" spans="2:25" ht="16.5" customHeight="1">
      <c r="B257" s="58">
        <v>46102</v>
      </c>
      <c r="C257" s="59" t="s">
        <v>15</v>
      </c>
      <c r="D257" s="51"/>
      <c r="E257" s="62" t="s">
        <v>101</v>
      </c>
      <c r="F257" s="5">
        <v>0.41666666666666669</v>
      </c>
      <c r="G257" s="65"/>
      <c r="H257" s="66"/>
      <c r="I257" s="34"/>
      <c r="J257" s="6" t="str">
        <f t="shared" si="56"/>
        <v/>
      </c>
      <c r="K257" s="38"/>
      <c r="L257" s="38"/>
      <c r="M257" s="38"/>
      <c r="N257" s="38"/>
      <c r="O257" s="38"/>
      <c r="P257" s="38"/>
      <c r="Q257" s="38"/>
      <c r="R257" s="38"/>
      <c r="S257" s="7">
        <f>SUM(K257:R257)</f>
        <v>0</v>
      </c>
      <c r="T257" s="7">
        <v>100000</v>
      </c>
      <c r="U257" s="7">
        <f>T257*S257</f>
        <v>0</v>
      </c>
      <c r="V257" s="4"/>
      <c r="W257" s="4"/>
      <c r="X257" s="4"/>
      <c r="Y257" s="4"/>
    </row>
    <row r="258" spans="2:25" ht="18.75">
      <c r="B258" s="58"/>
      <c r="C258" s="60"/>
      <c r="D258" s="52"/>
      <c r="E258" s="63"/>
      <c r="F258" s="8">
        <v>0.5</v>
      </c>
      <c r="G258" s="67"/>
      <c r="H258" s="68"/>
      <c r="I258" s="35"/>
      <c r="J258" s="9" t="str">
        <f t="shared" si="56"/>
        <v/>
      </c>
      <c r="K258" s="39"/>
      <c r="L258" s="39"/>
      <c r="M258" s="39"/>
      <c r="N258" s="39"/>
      <c r="O258" s="39"/>
      <c r="P258" s="39"/>
      <c r="Q258" s="39"/>
      <c r="R258" s="39"/>
      <c r="S258" s="10">
        <f t="shared" ref="S258:S268" si="66">SUM(K258:R258)</f>
        <v>0</v>
      </c>
      <c r="T258" s="10">
        <v>100000</v>
      </c>
      <c r="U258" s="10">
        <f t="shared" ref="U258:U259" si="67">T258*S258</f>
        <v>0</v>
      </c>
      <c r="V258" s="4"/>
      <c r="W258" s="4"/>
      <c r="X258" s="4"/>
      <c r="Y258" s="4"/>
    </row>
    <row r="259" spans="2:25" ht="18.75">
      <c r="B259" s="58"/>
      <c r="C259" s="60"/>
      <c r="D259" s="52"/>
      <c r="E259" s="63"/>
      <c r="F259" s="8">
        <v>0.58333333333333337</v>
      </c>
      <c r="G259" s="67"/>
      <c r="H259" s="68"/>
      <c r="I259" s="35"/>
      <c r="J259" s="9" t="str">
        <f t="shared" si="56"/>
        <v/>
      </c>
      <c r="K259" s="39"/>
      <c r="L259" s="39"/>
      <c r="M259" s="39"/>
      <c r="N259" s="39"/>
      <c r="O259" s="39"/>
      <c r="P259" s="39"/>
      <c r="Q259" s="39"/>
      <c r="R259" s="39"/>
      <c r="S259" s="10">
        <f t="shared" si="66"/>
        <v>0</v>
      </c>
      <c r="T259" s="10">
        <v>100000</v>
      </c>
      <c r="U259" s="10">
        <f t="shared" si="67"/>
        <v>0</v>
      </c>
      <c r="V259" s="4"/>
      <c r="W259" s="4"/>
      <c r="X259" s="4"/>
      <c r="Y259" s="4"/>
    </row>
    <row r="260" spans="2:25" ht="18.75">
      <c r="B260" s="58"/>
      <c r="C260" s="60"/>
      <c r="D260" s="52"/>
      <c r="E260" s="63"/>
      <c r="F260" s="8">
        <v>0.66666666666666663</v>
      </c>
      <c r="G260" s="67"/>
      <c r="H260" s="68"/>
      <c r="I260" s="35"/>
      <c r="J260" s="9" t="str">
        <f t="shared" si="56"/>
        <v/>
      </c>
      <c r="K260" s="39"/>
      <c r="L260" s="39"/>
      <c r="M260" s="39"/>
      <c r="N260" s="39"/>
      <c r="O260" s="39"/>
      <c r="P260" s="39"/>
      <c r="Q260" s="39"/>
      <c r="R260" s="39"/>
      <c r="S260" s="10">
        <f t="shared" si="66"/>
        <v>0</v>
      </c>
      <c r="T260" s="10">
        <v>100000</v>
      </c>
      <c r="U260" s="10">
        <f>T260*S260</f>
        <v>0</v>
      </c>
      <c r="V260" s="4"/>
      <c r="W260" s="4"/>
      <c r="X260" s="4"/>
      <c r="Y260" s="4"/>
    </row>
    <row r="261" spans="2:25" ht="18.75">
      <c r="B261" s="58"/>
      <c r="C261" s="60"/>
      <c r="D261" s="52"/>
      <c r="E261" s="63"/>
      <c r="F261" s="8">
        <v>0.75</v>
      </c>
      <c r="G261" s="67"/>
      <c r="H261" s="68"/>
      <c r="I261" s="35"/>
      <c r="J261" s="9" t="str">
        <f t="shared" si="56"/>
        <v/>
      </c>
      <c r="K261" s="39"/>
      <c r="L261" s="39"/>
      <c r="M261" s="39"/>
      <c r="N261" s="39"/>
      <c r="O261" s="39"/>
      <c r="P261" s="39"/>
      <c r="Q261" s="39"/>
      <c r="R261" s="39"/>
      <c r="S261" s="10">
        <f t="shared" si="66"/>
        <v>0</v>
      </c>
      <c r="T261" s="10">
        <v>100000</v>
      </c>
      <c r="U261" s="10">
        <f t="shared" ref="U261:U268" si="68">T261*S261</f>
        <v>0</v>
      </c>
      <c r="V261" s="4"/>
      <c r="W261" s="4"/>
      <c r="X261" s="11"/>
      <c r="Y261" s="4"/>
    </row>
    <row r="262" spans="2:25" ht="18.75">
      <c r="B262" s="58"/>
      <c r="C262" s="60"/>
      <c r="D262" s="53"/>
      <c r="E262" s="64"/>
      <c r="F262" s="12">
        <v>0.83333333333333337</v>
      </c>
      <c r="G262" s="67"/>
      <c r="H262" s="68"/>
      <c r="I262" s="36"/>
      <c r="J262" s="9" t="str">
        <f t="shared" si="56"/>
        <v/>
      </c>
      <c r="K262" s="41"/>
      <c r="L262" s="41"/>
      <c r="M262" s="41"/>
      <c r="N262" s="41"/>
      <c r="O262" s="41"/>
      <c r="P262" s="41"/>
      <c r="Q262" s="41"/>
      <c r="R262" s="41"/>
      <c r="S262" s="13">
        <f t="shared" si="66"/>
        <v>0</v>
      </c>
      <c r="T262" s="13">
        <v>100000</v>
      </c>
      <c r="U262" s="13">
        <f t="shared" si="68"/>
        <v>0</v>
      </c>
      <c r="V262" s="4"/>
      <c r="Y262" s="4"/>
    </row>
    <row r="263" spans="2:25" ht="18.75">
      <c r="B263" s="58"/>
      <c r="C263" s="60"/>
      <c r="D263" s="51"/>
      <c r="E263" s="62" t="s">
        <v>102</v>
      </c>
      <c r="F263" s="5">
        <v>0.91666666666666663</v>
      </c>
      <c r="G263" s="65"/>
      <c r="H263" s="66"/>
      <c r="I263" s="34"/>
      <c r="J263" s="6" t="str">
        <f t="shared" si="56"/>
        <v/>
      </c>
      <c r="K263" s="38"/>
      <c r="L263" s="38"/>
      <c r="M263" s="38"/>
      <c r="N263" s="38"/>
      <c r="O263" s="38"/>
      <c r="P263" s="38"/>
      <c r="Q263" s="38"/>
      <c r="R263" s="38"/>
      <c r="S263" s="7">
        <f t="shared" si="66"/>
        <v>0</v>
      </c>
      <c r="T263" s="7">
        <v>100000</v>
      </c>
      <c r="U263" s="7">
        <f t="shared" si="68"/>
        <v>0</v>
      </c>
      <c r="V263" s="4"/>
      <c r="Y263" s="4"/>
    </row>
    <row r="264" spans="2:25" ht="18.75">
      <c r="B264" s="58"/>
      <c r="C264" s="60"/>
      <c r="D264" s="52"/>
      <c r="E264" s="63"/>
      <c r="F264" s="8">
        <v>1</v>
      </c>
      <c r="G264" s="67"/>
      <c r="H264" s="68"/>
      <c r="I264" s="35"/>
      <c r="J264" s="9" t="str">
        <f t="shared" si="56"/>
        <v/>
      </c>
      <c r="K264" s="39"/>
      <c r="L264" s="39"/>
      <c r="M264" s="39"/>
      <c r="N264" s="39"/>
      <c r="O264" s="39"/>
      <c r="P264" s="39"/>
      <c r="Q264" s="39"/>
      <c r="R264" s="39"/>
      <c r="S264" s="10">
        <f t="shared" si="66"/>
        <v>0</v>
      </c>
      <c r="T264" s="10">
        <v>100000</v>
      </c>
      <c r="U264" s="10">
        <f t="shared" si="68"/>
        <v>0</v>
      </c>
      <c r="V264" s="4"/>
      <c r="Y264" s="4"/>
    </row>
    <row r="265" spans="2:25" ht="18.75">
      <c r="B265" s="58"/>
      <c r="C265" s="60"/>
      <c r="D265" s="52"/>
      <c r="E265" s="63"/>
      <c r="F265" s="8">
        <v>8.3333333333333329E-2</v>
      </c>
      <c r="G265" s="67"/>
      <c r="H265" s="68"/>
      <c r="I265" s="35"/>
      <c r="J265" s="9" t="str">
        <f t="shared" si="56"/>
        <v/>
      </c>
      <c r="K265" s="39"/>
      <c r="L265" s="39"/>
      <c r="M265" s="39"/>
      <c r="N265" s="39"/>
      <c r="O265" s="39"/>
      <c r="P265" s="39"/>
      <c r="Q265" s="39"/>
      <c r="R265" s="39"/>
      <c r="S265" s="10">
        <f t="shared" si="66"/>
        <v>0</v>
      </c>
      <c r="T265" s="10">
        <v>100000</v>
      </c>
      <c r="U265" s="10">
        <f t="shared" si="68"/>
        <v>0</v>
      </c>
      <c r="V265" s="4"/>
      <c r="Y265" s="4"/>
    </row>
    <row r="266" spans="2:25" ht="18.75">
      <c r="B266" s="58"/>
      <c r="C266" s="60"/>
      <c r="D266" s="52"/>
      <c r="E266" s="63"/>
      <c r="F266" s="8">
        <v>0.16666666666666666</v>
      </c>
      <c r="G266" s="67"/>
      <c r="H266" s="68"/>
      <c r="I266" s="35"/>
      <c r="J266" s="9" t="str">
        <f t="shared" si="56"/>
        <v/>
      </c>
      <c r="K266" s="39"/>
      <c r="L266" s="39"/>
      <c r="M266" s="39"/>
      <c r="N266" s="39"/>
      <c r="O266" s="39"/>
      <c r="P266" s="39"/>
      <c r="Q266" s="39"/>
      <c r="R266" s="39"/>
      <c r="S266" s="10">
        <f t="shared" si="66"/>
        <v>0</v>
      </c>
      <c r="T266" s="10">
        <v>100000</v>
      </c>
      <c r="U266" s="10">
        <f t="shared" si="68"/>
        <v>0</v>
      </c>
      <c r="V266" s="4"/>
      <c r="W266" s="4"/>
      <c r="X266" s="4"/>
      <c r="Y266" s="4"/>
    </row>
    <row r="267" spans="2:25" ht="18.75">
      <c r="B267" s="58"/>
      <c r="C267" s="60"/>
      <c r="D267" s="52"/>
      <c r="E267" s="63"/>
      <c r="F267" s="8">
        <v>0.25</v>
      </c>
      <c r="G267" s="67"/>
      <c r="H267" s="68"/>
      <c r="I267" s="35"/>
      <c r="J267" s="9" t="str">
        <f t="shared" si="56"/>
        <v/>
      </c>
      <c r="K267" s="39"/>
      <c r="L267" s="39"/>
      <c r="M267" s="39"/>
      <c r="N267" s="39"/>
      <c r="O267" s="39"/>
      <c r="P267" s="39"/>
      <c r="Q267" s="39"/>
      <c r="R267" s="39"/>
      <c r="S267" s="10">
        <f t="shared" si="66"/>
        <v>0</v>
      </c>
      <c r="T267" s="10">
        <v>100000</v>
      </c>
      <c r="U267" s="10">
        <f t="shared" si="68"/>
        <v>0</v>
      </c>
      <c r="V267" s="4"/>
      <c r="Y267" s="4"/>
    </row>
    <row r="268" spans="2:25" ht="18.75">
      <c r="B268" s="58"/>
      <c r="C268" s="61"/>
      <c r="D268" s="53"/>
      <c r="E268" s="69"/>
      <c r="F268" s="14">
        <v>0.33333333333333331</v>
      </c>
      <c r="G268" s="67"/>
      <c r="H268" s="68"/>
      <c r="I268" s="37"/>
      <c r="J268" s="15" t="str">
        <f t="shared" si="56"/>
        <v/>
      </c>
      <c r="K268" s="40"/>
      <c r="L268" s="40"/>
      <c r="M268" s="40"/>
      <c r="N268" s="40"/>
      <c r="O268" s="40"/>
      <c r="P268" s="40"/>
      <c r="Q268" s="40"/>
      <c r="R268" s="40"/>
      <c r="S268" s="16">
        <f t="shared" si="66"/>
        <v>0</v>
      </c>
      <c r="T268" s="16">
        <v>100000</v>
      </c>
      <c r="U268" s="16">
        <f t="shared" si="68"/>
        <v>0</v>
      </c>
      <c r="V268" s="4"/>
      <c r="W268" s="4"/>
      <c r="X268" s="4"/>
      <c r="Y268" s="4"/>
    </row>
    <row r="269" spans="2:25" ht="16.5" customHeight="1">
      <c r="B269" s="58">
        <v>46103</v>
      </c>
      <c r="C269" s="59" t="s">
        <v>15</v>
      </c>
      <c r="D269" s="51"/>
      <c r="E269" s="62" t="s">
        <v>101</v>
      </c>
      <c r="F269" s="5">
        <v>0.41666666666666669</v>
      </c>
      <c r="G269" s="65"/>
      <c r="H269" s="66"/>
      <c r="I269" s="34"/>
      <c r="J269" s="6" t="str">
        <f t="shared" si="56"/>
        <v/>
      </c>
      <c r="K269" s="38"/>
      <c r="L269" s="38"/>
      <c r="M269" s="38"/>
      <c r="N269" s="38"/>
      <c r="O269" s="38"/>
      <c r="P269" s="38"/>
      <c r="Q269" s="38"/>
      <c r="R269" s="38"/>
      <c r="S269" s="7">
        <f>SUM(K269:R269)</f>
        <v>0</v>
      </c>
      <c r="T269" s="7">
        <v>100000</v>
      </c>
      <c r="U269" s="7">
        <f>T269*S269</f>
        <v>0</v>
      </c>
      <c r="V269" s="4"/>
      <c r="W269" s="4"/>
      <c r="X269" s="4"/>
      <c r="Y269" s="4"/>
    </row>
    <row r="270" spans="2:25" ht="18.75">
      <c r="B270" s="58"/>
      <c r="C270" s="60"/>
      <c r="D270" s="52"/>
      <c r="E270" s="63"/>
      <c r="F270" s="8">
        <v>0.5</v>
      </c>
      <c r="G270" s="67"/>
      <c r="H270" s="68"/>
      <c r="I270" s="35"/>
      <c r="J270" s="9" t="str">
        <f t="shared" si="56"/>
        <v/>
      </c>
      <c r="K270" s="39"/>
      <c r="L270" s="39"/>
      <c r="M270" s="39"/>
      <c r="N270" s="39"/>
      <c r="O270" s="39"/>
      <c r="P270" s="39"/>
      <c r="Q270" s="39"/>
      <c r="R270" s="39"/>
      <c r="S270" s="10">
        <f t="shared" ref="S270:S280" si="69">SUM(K270:R270)</f>
        <v>0</v>
      </c>
      <c r="T270" s="10">
        <v>100000</v>
      </c>
      <c r="U270" s="10">
        <f t="shared" ref="U270:U271" si="70">T270*S270</f>
        <v>0</v>
      </c>
      <c r="V270" s="4"/>
      <c r="W270" s="4"/>
      <c r="X270" s="4"/>
      <c r="Y270" s="4"/>
    </row>
    <row r="271" spans="2:25" ht="18.75">
      <c r="B271" s="58"/>
      <c r="C271" s="60"/>
      <c r="D271" s="52"/>
      <c r="E271" s="63"/>
      <c r="F271" s="8">
        <v>0.58333333333333337</v>
      </c>
      <c r="G271" s="67"/>
      <c r="H271" s="68"/>
      <c r="I271" s="35"/>
      <c r="J271" s="9" t="str">
        <f t="shared" si="56"/>
        <v/>
      </c>
      <c r="K271" s="39"/>
      <c r="L271" s="39"/>
      <c r="M271" s="39"/>
      <c r="N271" s="39"/>
      <c r="O271" s="39"/>
      <c r="P271" s="39"/>
      <c r="Q271" s="39"/>
      <c r="R271" s="39"/>
      <c r="S271" s="10">
        <f t="shared" si="69"/>
        <v>0</v>
      </c>
      <c r="T271" s="10">
        <v>100000</v>
      </c>
      <c r="U271" s="10">
        <f t="shared" si="70"/>
        <v>0</v>
      </c>
      <c r="V271" s="4"/>
      <c r="W271" s="4"/>
      <c r="X271" s="4"/>
      <c r="Y271" s="4"/>
    </row>
    <row r="272" spans="2:25" ht="18.75">
      <c r="B272" s="58"/>
      <c r="C272" s="60"/>
      <c r="D272" s="52"/>
      <c r="E272" s="63"/>
      <c r="F272" s="8">
        <v>0.66666666666666663</v>
      </c>
      <c r="G272" s="67"/>
      <c r="H272" s="68"/>
      <c r="I272" s="35"/>
      <c r="J272" s="9" t="str">
        <f t="shared" si="56"/>
        <v/>
      </c>
      <c r="K272" s="39"/>
      <c r="L272" s="39"/>
      <c r="M272" s="39"/>
      <c r="N272" s="39"/>
      <c r="O272" s="39"/>
      <c r="P272" s="39"/>
      <c r="Q272" s="39"/>
      <c r="R272" s="39"/>
      <c r="S272" s="10">
        <f t="shared" si="69"/>
        <v>0</v>
      </c>
      <c r="T272" s="10">
        <v>100000</v>
      </c>
      <c r="U272" s="10">
        <f>T272*S272</f>
        <v>0</v>
      </c>
      <c r="V272" s="4"/>
      <c r="W272" s="4"/>
      <c r="X272" s="4"/>
      <c r="Y272" s="4"/>
    </row>
    <row r="273" spans="2:25" ht="18.75">
      <c r="B273" s="58"/>
      <c r="C273" s="60"/>
      <c r="D273" s="52"/>
      <c r="E273" s="63"/>
      <c r="F273" s="8">
        <v>0.75</v>
      </c>
      <c r="G273" s="67"/>
      <c r="H273" s="68"/>
      <c r="I273" s="35"/>
      <c r="J273" s="9" t="str">
        <f t="shared" si="56"/>
        <v/>
      </c>
      <c r="K273" s="39"/>
      <c r="L273" s="39"/>
      <c r="M273" s="39"/>
      <c r="N273" s="39"/>
      <c r="O273" s="39"/>
      <c r="P273" s="39"/>
      <c r="Q273" s="39"/>
      <c r="R273" s="39"/>
      <c r="S273" s="10">
        <f t="shared" si="69"/>
        <v>0</v>
      </c>
      <c r="T273" s="10">
        <v>100000</v>
      </c>
      <c r="U273" s="10">
        <f t="shared" ref="U273:U280" si="71">T273*S273</f>
        <v>0</v>
      </c>
      <c r="V273" s="4"/>
      <c r="W273" s="4"/>
      <c r="X273" s="11"/>
      <c r="Y273" s="4"/>
    </row>
    <row r="274" spans="2:25" ht="18.75">
      <c r="B274" s="58"/>
      <c r="C274" s="60"/>
      <c r="D274" s="53"/>
      <c r="E274" s="64"/>
      <c r="F274" s="12">
        <v>0.83333333333333337</v>
      </c>
      <c r="G274" s="67"/>
      <c r="H274" s="68"/>
      <c r="I274" s="36"/>
      <c r="J274" s="9" t="str">
        <f t="shared" si="56"/>
        <v/>
      </c>
      <c r="K274" s="41"/>
      <c r="L274" s="41"/>
      <c r="M274" s="41"/>
      <c r="N274" s="41"/>
      <c r="O274" s="41"/>
      <c r="P274" s="41"/>
      <c r="Q274" s="41"/>
      <c r="R274" s="41"/>
      <c r="S274" s="13">
        <f t="shared" si="69"/>
        <v>0</v>
      </c>
      <c r="T274" s="13">
        <v>100000</v>
      </c>
      <c r="U274" s="13">
        <f t="shared" si="71"/>
        <v>0</v>
      </c>
      <c r="V274" s="4"/>
      <c r="Y274" s="4"/>
    </row>
    <row r="275" spans="2:25" ht="18.75">
      <c r="B275" s="58"/>
      <c r="C275" s="60"/>
      <c r="D275" s="51"/>
      <c r="E275" s="62" t="s">
        <v>102</v>
      </c>
      <c r="F275" s="5">
        <v>0.91666666666666663</v>
      </c>
      <c r="G275" s="65"/>
      <c r="H275" s="66"/>
      <c r="I275" s="34"/>
      <c r="J275" s="6" t="str">
        <f t="shared" si="56"/>
        <v/>
      </c>
      <c r="K275" s="38"/>
      <c r="L275" s="38"/>
      <c r="M275" s="38"/>
      <c r="N275" s="38"/>
      <c r="O275" s="38"/>
      <c r="P275" s="38"/>
      <c r="Q275" s="38"/>
      <c r="R275" s="38"/>
      <c r="S275" s="7">
        <f t="shared" si="69"/>
        <v>0</v>
      </c>
      <c r="T275" s="7">
        <v>100000</v>
      </c>
      <c r="U275" s="7">
        <f t="shared" si="71"/>
        <v>0</v>
      </c>
      <c r="V275" s="4"/>
      <c r="Y275" s="4"/>
    </row>
    <row r="276" spans="2:25" ht="18.75">
      <c r="B276" s="58"/>
      <c r="C276" s="60"/>
      <c r="D276" s="52"/>
      <c r="E276" s="63"/>
      <c r="F276" s="8">
        <v>1</v>
      </c>
      <c r="G276" s="67"/>
      <c r="H276" s="68"/>
      <c r="I276" s="35"/>
      <c r="J276" s="9" t="str">
        <f t="shared" si="56"/>
        <v/>
      </c>
      <c r="K276" s="39"/>
      <c r="L276" s="39"/>
      <c r="M276" s="39"/>
      <c r="N276" s="39"/>
      <c r="O276" s="39"/>
      <c r="P276" s="39"/>
      <c r="Q276" s="39"/>
      <c r="R276" s="39"/>
      <c r="S276" s="10">
        <f t="shared" si="69"/>
        <v>0</v>
      </c>
      <c r="T276" s="10">
        <v>100000</v>
      </c>
      <c r="U276" s="10">
        <f t="shared" si="71"/>
        <v>0</v>
      </c>
      <c r="V276" s="4"/>
      <c r="Y276" s="4"/>
    </row>
    <row r="277" spans="2:25" ht="18.75">
      <c r="B277" s="58"/>
      <c r="C277" s="60"/>
      <c r="D277" s="52"/>
      <c r="E277" s="63"/>
      <c r="F277" s="8">
        <v>8.3333333333333329E-2</v>
      </c>
      <c r="G277" s="67"/>
      <c r="H277" s="68"/>
      <c r="I277" s="35"/>
      <c r="J277" s="9" t="str">
        <f t="shared" si="56"/>
        <v/>
      </c>
      <c r="K277" s="39"/>
      <c r="L277" s="39"/>
      <c r="M277" s="39"/>
      <c r="N277" s="39"/>
      <c r="O277" s="39"/>
      <c r="P277" s="39"/>
      <c r="Q277" s="39"/>
      <c r="R277" s="39"/>
      <c r="S277" s="10">
        <f t="shared" si="69"/>
        <v>0</v>
      </c>
      <c r="T277" s="10">
        <v>100000</v>
      </c>
      <c r="U277" s="10">
        <f t="shared" si="71"/>
        <v>0</v>
      </c>
      <c r="V277" s="4"/>
      <c r="Y277" s="4"/>
    </row>
    <row r="278" spans="2:25" ht="18.75">
      <c r="B278" s="58"/>
      <c r="C278" s="60"/>
      <c r="D278" s="52"/>
      <c r="E278" s="63"/>
      <c r="F278" s="8">
        <v>0.16666666666666666</v>
      </c>
      <c r="G278" s="67"/>
      <c r="H278" s="68"/>
      <c r="I278" s="35"/>
      <c r="J278" s="9" t="str">
        <f t="shared" si="56"/>
        <v/>
      </c>
      <c r="K278" s="39"/>
      <c r="L278" s="39"/>
      <c r="M278" s="39"/>
      <c r="N278" s="39"/>
      <c r="O278" s="39"/>
      <c r="P278" s="39"/>
      <c r="Q278" s="39"/>
      <c r="R278" s="39"/>
      <c r="S278" s="10">
        <f t="shared" si="69"/>
        <v>0</v>
      </c>
      <c r="T278" s="10">
        <v>100000</v>
      </c>
      <c r="U278" s="10">
        <f t="shared" si="71"/>
        <v>0</v>
      </c>
      <c r="V278" s="4"/>
      <c r="W278" s="4"/>
      <c r="X278" s="4"/>
      <c r="Y278" s="4"/>
    </row>
    <row r="279" spans="2:25" ht="18.75">
      <c r="B279" s="58"/>
      <c r="C279" s="60"/>
      <c r="D279" s="52"/>
      <c r="E279" s="63"/>
      <c r="F279" s="8">
        <v>0.25</v>
      </c>
      <c r="G279" s="67"/>
      <c r="H279" s="68"/>
      <c r="I279" s="35"/>
      <c r="J279" s="9" t="str">
        <f t="shared" si="56"/>
        <v/>
      </c>
      <c r="K279" s="39"/>
      <c r="L279" s="39"/>
      <c r="M279" s="39"/>
      <c r="N279" s="39"/>
      <c r="O279" s="39"/>
      <c r="P279" s="39"/>
      <c r="Q279" s="39"/>
      <c r="R279" s="39"/>
      <c r="S279" s="10">
        <f t="shared" si="69"/>
        <v>0</v>
      </c>
      <c r="T279" s="10">
        <v>100000</v>
      </c>
      <c r="U279" s="10">
        <f t="shared" si="71"/>
        <v>0</v>
      </c>
      <c r="V279" s="4"/>
      <c r="Y279" s="4"/>
    </row>
    <row r="280" spans="2:25" ht="18.75">
      <c r="B280" s="58"/>
      <c r="C280" s="61"/>
      <c r="D280" s="53"/>
      <c r="E280" s="69"/>
      <c r="F280" s="14">
        <v>0.33333333333333331</v>
      </c>
      <c r="G280" s="67"/>
      <c r="H280" s="68"/>
      <c r="I280" s="37"/>
      <c r="J280" s="15" t="str">
        <f t="shared" si="56"/>
        <v/>
      </c>
      <c r="K280" s="40"/>
      <c r="L280" s="40"/>
      <c r="M280" s="40"/>
      <c r="N280" s="40"/>
      <c r="O280" s="40"/>
      <c r="P280" s="40"/>
      <c r="Q280" s="40"/>
      <c r="R280" s="40"/>
      <c r="S280" s="16">
        <f t="shared" si="69"/>
        <v>0</v>
      </c>
      <c r="T280" s="16">
        <v>100000</v>
      </c>
      <c r="U280" s="16">
        <f t="shared" si="71"/>
        <v>0</v>
      </c>
      <c r="V280" s="4"/>
      <c r="W280" s="4"/>
      <c r="X280" s="4"/>
      <c r="Y280" s="4"/>
    </row>
    <row r="281" spans="2:25" ht="16.5" customHeight="1">
      <c r="B281" s="58">
        <v>46104</v>
      </c>
      <c r="C281" s="59" t="s">
        <v>15</v>
      </c>
      <c r="D281" s="51"/>
      <c r="E281" s="62" t="s">
        <v>101</v>
      </c>
      <c r="F281" s="5">
        <v>0.41666666666666669</v>
      </c>
      <c r="G281" s="65"/>
      <c r="H281" s="66"/>
      <c r="I281" s="34"/>
      <c r="J281" s="6" t="str">
        <f t="shared" si="56"/>
        <v/>
      </c>
      <c r="K281" s="38"/>
      <c r="L281" s="38"/>
      <c r="M281" s="38"/>
      <c r="N281" s="38"/>
      <c r="O281" s="38"/>
      <c r="P281" s="38"/>
      <c r="Q281" s="38"/>
      <c r="R281" s="38"/>
      <c r="S281" s="7">
        <f>SUM(K281:R281)</f>
        <v>0</v>
      </c>
      <c r="T281" s="7">
        <v>100000</v>
      </c>
      <c r="U281" s="7">
        <f>T281*S281</f>
        <v>0</v>
      </c>
      <c r="V281" s="4"/>
      <c r="W281" s="4"/>
      <c r="X281" s="4"/>
      <c r="Y281" s="4"/>
    </row>
    <row r="282" spans="2:25" ht="18.75">
      <c r="B282" s="58"/>
      <c r="C282" s="60"/>
      <c r="D282" s="52"/>
      <c r="E282" s="63"/>
      <c r="F282" s="8">
        <v>0.5</v>
      </c>
      <c r="G282" s="67"/>
      <c r="H282" s="68"/>
      <c r="I282" s="35"/>
      <c r="J282" s="9" t="str">
        <f t="shared" si="56"/>
        <v/>
      </c>
      <c r="K282" s="39"/>
      <c r="L282" s="39"/>
      <c r="M282" s="39"/>
      <c r="N282" s="39"/>
      <c r="O282" s="39"/>
      <c r="P282" s="39"/>
      <c r="Q282" s="39"/>
      <c r="R282" s="39"/>
      <c r="S282" s="10">
        <f t="shared" ref="S282:S292" si="72">SUM(K282:R282)</f>
        <v>0</v>
      </c>
      <c r="T282" s="10">
        <v>100000</v>
      </c>
      <c r="U282" s="10">
        <f t="shared" ref="U282:U283" si="73">T282*S282</f>
        <v>0</v>
      </c>
      <c r="V282" s="4"/>
      <c r="W282" s="4"/>
      <c r="X282" s="4"/>
      <c r="Y282" s="4"/>
    </row>
    <row r="283" spans="2:25" ht="18.75">
      <c r="B283" s="58"/>
      <c r="C283" s="60"/>
      <c r="D283" s="52"/>
      <c r="E283" s="63"/>
      <c r="F283" s="8">
        <v>0.58333333333333337</v>
      </c>
      <c r="G283" s="67"/>
      <c r="H283" s="68"/>
      <c r="I283" s="35"/>
      <c r="J283" s="9" t="str">
        <f t="shared" si="56"/>
        <v/>
      </c>
      <c r="K283" s="39"/>
      <c r="L283" s="39"/>
      <c r="M283" s="39"/>
      <c r="N283" s="39"/>
      <c r="O283" s="39"/>
      <c r="P283" s="39"/>
      <c r="Q283" s="39"/>
      <c r="R283" s="39"/>
      <c r="S283" s="10">
        <f t="shared" si="72"/>
        <v>0</v>
      </c>
      <c r="T283" s="10">
        <v>100000</v>
      </c>
      <c r="U283" s="10">
        <f t="shared" si="73"/>
        <v>0</v>
      </c>
      <c r="V283" s="4"/>
      <c r="W283" s="4"/>
      <c r="X283" s="4"/>
      <c r="Y283" s="4"/>
    </row>
    <row r="284" spans="2:25" ht="18.75">
      <c r="B284" s="58"/>
      <c r="C284" s="60"/>
      <c r="D284" s="52"/>
      <c r="E284" s="63"/>
      <c r="F284" s="8">
        <v>0.66666666666666663</v>
      </c>
      <c r="G284" s="67"/>
      <c r="H284" s="68"/>
      <c r="I284" s="35"/>
      <c r="J284" s="9" t="str">
        <f t="shared" si="56"/>
        <v/>
      </c>
      <c r="K284" s="39"/>
      <c r="L284" s="39"/>
      <c r="M284" s="39"/>
      <c r="N284" s="39"/>
      <c r="O284" s="39"/>
      <c r="P284" s="39"/>
      <c r="Q284" s="39"/>
      <c r="R284" s="39"/>
      <c r="S284" s="10">
        <f t="shared" si="72"/>
        <v>0</v>
      </c>
      <c r="T284" s="10">
        <v>100000</v>
      </c>
      <c r="U284" s="10">
        <f>T284*S284</f>
        <v>0</v>
      </c>
      <c r="V284" s="4"/>
      <c r="W284" s="4"/>
      <c r="X284" s="4"/>
      <c r="Y284" s="4"/>
    </row>
    <row r="285" spans="2:25" ht="18.75">
      <c r="B285" s="58"/>
      <c r="C285" s="60"/>
      <c r="D285" s="52"/>
      <c r="E285" s="63"/>
      <c r="F285" s="8">
        <v>0.75</v>
      </c>
      <c r="G285" s="67"/>
      <c r="H285" s="68"/>
      <c r="I285" s="35"/>
      <c r="J285" s="9" t="str">
        <f t="shared" ref="J285:J292" si="74">IFERROR(S285/I285,"")</f>
        <v/>
      </c>
      <c r="K285" s="39"/>
      <c r="L285" s="39"/>
      <c r="M285" s="39"/>
      <c r="N285" s="39"/>
      <c r="O285" s="39"/>
      <c r="P285" s="39"/>
      <c r="Q285" s="39"/>
      <c r="R285" s="39"/>
      <c r="S285" s="10">
        <f t="shared" si="72"/>
        <v>0</v>
      </c>
      <c r="T285" s="10">
        <v>100000</v>
      </c>
      <c r="U285" s="10">
        <f t="shared" ref="U285:U292" si="75">T285*S285</f>
        <v>0</v>
      </c>
      <c r="V285" s="4"/>
      <c r="W285" s="4"/>
      <c r="X285" s="11"/>
      <c r="Y285" s="4"/>
    </row>
    <row r="286" spans="2:25" ht="18.75">
      <c r="B286" s="58"/>
      <c r="C286" s="60"/>
      <c r="D286" s="53"/>
      <c r="E286" s="64"/>
      <c r="F286" s="12">
        <v>0.83333333333333337</v>
      </c>
      <c r="G286" s="67"/>
      <c r="H286" s="68"/>
      <c r="I286" s="36"/>
      <c r="J286" s="9" t="str">
        <f t="shared" si="74"/>
        <v/>
      </c>
      <c r="K286" s="41"/>
      <c r="L286" s="41"/>
      <c r="M286" s="41"/>
      <c r="N286" s="41"/>
      <c r="O286" s="41"/>
      <c r="P286" s="41"/>
      <c r="Q286" s="41"/>
      <c r="R286" s="41"/>
      <c r="S286" s="13">
        <f t="shared" si="72"/>
        <v>0</v>
      </c>
      <c r="T286" s="13">
        <v>100000</v>
      </c>
      <c r="U286" s="13">
        <f t="shared" si="75"/>
        <v>0</v>
      </c>
      <c r="V286" s="4"/>
      <c r="Y286" s="4"/>
    </row>
    <row r="287" spans="2:25" ht="18.75">
      <c r="B287" s="58"/>
      <c r="C287" s="60"/>
      <c r="D287" s="51"/>
      <c r="E287" s="62" t="s">
        <v>102</v>
      </c>
      <c r="F287" s="5">
        <v>0.91666666666666663</v>
      </c>
      <c r="G287" s="65"/>
      <c r="H287" s="66"/>
      <c r="I287" s="34"/>
      <c r="J287" s="6" t="str">
        <f t="shared" si="74"/>
        <v/>
      </c>
      <c r="K287" s="38"/>
      <c r="L287" s="38"/>
      <c r="M287" s="38"/>
      <c r="N287" s="38"/>
      <c r="O287" s="38"/>
      <c r="P287" s="38"/>
      <c r="Q287" s="38"/>
      <c r="R287" s="38"/>
      <c r="S287" s="7">
        <f t="shared" si="72"/>
        <v>0</v>
      </c>
      <c r="T287" s="7">
        <v>100000</v>
      </c>
      <c r="U287" s="7">
        <f t="shared" si="75"/>
        <v>0</v>
      </c>
      <c r="V287" s="4"/>
      <c r="Y287" s="4"/>
    </row>
    <row r="288" spans="2:25" ht="18.75">
      <c r="B288" s="58"/>
      <c r="C288" s="60"/>
      <c r="D288" s="52"/>
      <c r="E288" s="63"/>
      <c r="F288" s="8">
        <v>1</v>
      </c>
      <c r="G288" s="67"/>
      <c r="H288" s="68"/>
      <c r="I288" s="35"/>
      <c r="J288" s="9" t="str">
        <f t="shared" si="74"/>
        <v/>
      </c>
      <c r="K288" s="39"/>
      <c r="L288" s="39"/>
      <c r="M288" s="39"/>
      <c r="N288" s="39"/>
      <c r="O288" s="39"/>
      <c r="P288" s="39"/>
      <c r="Q288" s="39"/>
      <c r="R288" s="39"/>
      <c r="S288" s="10">
        <f t="shared" si="72"/>
        <v>0</v>
      </c>
      <c r="T288" s="10">
        <v>100000</v>
      </c>
      <c r="U288" s="10">
        <f t="shared" si="75"/>
        <v>0</v>
      </c>
      <c r="V288" s="4"/>
      <c r="Y288" s="4"/>
    </row>
    <row r="289" spans="2:25" ht="18.75">
      <c r="B289" s="58"/>
      <c r="C289" s="60"/>
      <c r="D289" s="52"/>
      <c r="E289" s="63"/>
      <c r="F289" s="8">
        <v>8.3333333333333329E-2</v>
      </c>
      <c r="G289" s="67"/>
      <c r="H289" s="68"/>
      <c r="I289" s="35"/>
      <c r="J289" s="9" t="str">
        <f t="shared" si="74"/>
        <v/>
      </c>
      <c r="K289" s="39"/>
      <c r="L289" s="39"/>
      <c r="M289" s="39"/>
      <c r="N289" s="39"/>
      <c r="O289" s="39"/>
      <c r="P289" s="39"/>
      <c r="Q289" s="39"/>
      <c r="R289" s="39"/>
      <c r="S289" s="10">
        <f t="shared" si="72"/>
        <v>0</v>
      </c>
      <c r="T289" s="10">
        <v>100000</v>
      </c>
      <c r="U289" s="10">
        <f t="shared" si="75"/>
        <v>0</v>
      </c>
      <c r="V289" s="4"/>
      <c r="Y289" s="4"/>
    </row>
    <row r="290" spans="2:25" ht="18.75">
      <c r="B290" s="58"/>
      <c r="C290" s="60"/>
      <c r="D290" s="52"/>
      <c r="E290" s="63"/>
      <c r="F290" s="8">
        <v>0.16666666666666666</v>
      </c>
      <c r="G290" s="67"/>
      <c r="H290" s="68"/>
      <c r="I290" s="35"/>
      <c r="J290" s="9" t="str">
        <f t="shared" si="74"/>
        <v/>
      </c>
      <c r="K290" s="39"/>
      <c r="L290" s="39"/>
      <c r="M290" s="39"/>
      <c r="N290" s="39"/>
      <c r="O290" s="39"/>
      <c r="P290" s="39"/>
      <c r="Q290" s="39"/>
      <c r="R290" s="39"/>
      <c r="S290" s="10">
        <f t="shared" si="72"/>
        <v>0</v>
      </c>
      <c r="T290" s="10">
        <v>100000</v>
      </c>
      <c r="U290" s="10">
        <f t="shared" si="75"/>
        <v>0</v>
      </c>
      <c r="V290" s="4"/>
      <c r="W290" s="4"/>
      <c r="X290" s="4"/>
      <c r="Y290" s="4"/>
    </row>
    <row r="291" spans="2:25" ht="18.75">
      <c r="B291" s="58"/>
      <c r="C291" s="60"/>
      <c r="D291" s="52"/>
      <c r="E291" s="63"/>
      <c r="F291" s="8">
        <v>0.25</v>
      </c>
      <c r="G291" s="67"/>
      <c r="H291" s="68"/>
      <c r="I291" s="35"/>
      <c r="J291" s="9" t="str">
        <f t="shared" si="74"/>
        <v/>
      </c>
      <c r="K291" s="39"/>
      <c r="L291" s="39"/>
      <c r="M291" s="39"/>
      <c r="N291" s="39"/>
      <c r="O291" s="39"/>
      <c r="P291" s="39"/>
      <c r="Q291" s="39"/>
      <c r="R291" s="39"/>
      <c r="S291" s="10">
        <f t="shared" si="72"/>
        <v>0</v>
      </c>
      <c r="T291" s="10">
        <v>100000</v>
      </c>
      <c r="U291" s="10">
        <f t="shared" si="75"/>
        <v>0</v>
      </c>
      <c r="V291" s="4"/>
      <c r="Y291" s="4"/>
    </row>
    <row r="292" spans="2:25" ht="18.75">
      <c r="B292" s="58"/>
      <c r="C292" s="61"/>
      <c r="D292" s="53"/>
      <c r="E292" s="69"/>
      <c r="F292" s="14">
        <v>0.33333333333333331</v>
      </c>
      <c r="G292" s="67"/>
      <c r="H292" s="68"/>
      <c r="I292" s="37"/>
      <c r="J292" s="15" t="str">
        <f t="shared" si="74"/>
        <v/>
      </c>
      <c r="K292" s="40"/>
      <c r="L292" s="40"/>
      <c r="M292" s="40"/>
      <c r="N292" s="40"/>
      <c r="O292" s="40"/>
      <c r="P292" s="40"/>
      <c r="Q292" s="40"/>
      <c r="R292" s="40"/>
      <c r="S292" s="16">
        <f t="shared" si="72"/>
        <v>0</v>
      </c>
      <c r="T292" s="16">
        <v>100000</v>
      </c>
      <c r="U292" s="16">
        <f t="shared" si="75"/>
        <v>0</v>
      </c>
      <c r="V292" s="4"/>
      <c r="W292" s="4"/>
      <c r="X292" s="4"/>
      <c r="Y292" s="4"/>
    </row>
  </sheetData>
  <mergeCells count="386">
    <mergeCell ref="B281:B292"/>
    <mergeCell ref="C281:C292"/>
    <mergeCell ref="E281:E286"/>
    <mergeCell ref="G281:H281"/>
    <mergeCell ref="G282:H282"/>
    <mergeCell ref="G283:H283"/>
    <mergeCell ref="G284:H284"/>
    <mergeCell ref="G285:H285"/>
    <mergeCell ref="G286:H286"/>
    <mergeCell ref="E287:E292"/>
    <mergeCell ref="G287:H287"/>
    <mergeCell ref="G288:H288"/>
    <mergeCell ref="G289:H289"/>
    <mergeCell ref="G290:H290"/>
    <mergeCell ref="G291:H291"/>
    <mergeCell ref="G292:H292"/>
    <mergeCell ref="B269:B280"/>
    <mergeCell ref="C269:C280"/>
    <mergeCell ref="E269:E274"/>
    <mergeCell ref="G269:H269"/>
    <mergeCell ref="G270:H270"/>
    <mergeCell ref="G271:H271"/>
    <mergeCell ref="G272:H272"/>
    <mergeCell ref="G273:H273"/>
    <mergeCell ref="G274:H274"/>
    <mergeCell ref="E275:E280"/>
    <mergeCell ref="G275:H275"/>
    <mergeCell ref="G276:H276"/>
    <mergeCell ref="G277:H277"/>
    <mergeCell ref="G278:H278"/>
    <mergeCell ref="G279:H279"/>
    <mergeCell ref="G280:H280"/>
    <mergeCell ref="B257:B268"/>
    <mergeCell ref="C257:C268"/>
    <mergeCell ref="E257:E262"/>
    <mergeCell ref="G257:H257"/>
    <mergeCell ref="G258:H258"/>
    <mergeCell ref="G259:H259"/>
    <mergeCell ref="G260:H260"/>
    <mergeCell ref="G261:H261"/>
    <mergeCell ref="G262:H262"/>
    <mergeCell ref="E263:E268"/>
    <mergeCell ref="G263:H263"/>
    <mergeCell ref="G264:H264"/>
    <mergeCell ref="G265:H265"/>
    <mergeCell ref="G266:H266"/>
    <mergeCell ref="G267:H267"/>
    <mergeCell ref="G268:H268"/>
    <mergeCell ref="B245:B256"/>
    <mergeCell ref="C245:C256"/>
    <mergeCell ref="E245:E250"/>
    <mergeCell ref="G245:H245"/>
    <mergeCell ref="G246:H246"/>
    <mergeCell ref="G247:H247"/>
    <mergeCell ref="G248:H248"/>
    <mergeCell ref="G249:H249"/>
    <mergeCell ref="G250:H250"/>
    <mergeCell ref="E251:E256"/>
    <mergeCell ref="G251:H251"/>
    <mergeCell ref="G252:H252"/>
    <mergeCell ref="G253:H253"/>
    <mergeCell ref="G254:H254"/>
    <mergeCell ref="G255:H255"/>
    <mergeCell ref="G256:H256"/>
    <mergeCell ref="B233:B244"/>
    <mergeCell ref="C233:C244"/>
    <mergeCell ref="E233:E238"/>
    <mergeCell ref="G233:H233"/>
    <mergeCell ref="G234:H234"/>
    <mergeCell ref="G235:H235"/>
    <mergeCell ref="G236:H236"/>
    <mergeCell ref="G237:H237"/>
    <mergeCell ref="G238:H238"/>
    <mergeCell ref="E239:E244"/>
    <mergeCell ref="G239:H239"/>
    <mergeCell ref="G240:H240"/>
    <mergeCell ref="G241:H241"/>
    <mergeCell ref="G242:H242"/>
    <mergeCell ref="G243:H243"/>
    <mergeCell ref="G244:H244"/>
    <mergeCell ref="B221:B232"/>
    <mergeCell ref="C221:C232"/>
    <mergeCell ref="E221:E226"/>
    <mergeCell ref="G221:H221"/>
    <mergeCell ref="G222:H222"/>
    <mergeCell ref="G223:H223"/>
    <mergeCell ref="G224:H224"/>
    <mergeCell ref="G225:H225"/>
    <mergeCell ref="G226:H226"/>
    <mergeCell ref="E227:E232"/>
    <mergeCell ref="G227:H227"/>
    <mergeCell ref="G228:H228"/>
    <mergeCell ref="G229:H229"/>
    <mergeCell ref="G230:H230"/>
    <mergeCell ref="G231:H231"/>
    <mergeCell ref="G232:H232"/>
    <mergeCell ref="B209:B220"/>
    <mergeCell ref="C209:C220"/>
    <mergeCell ref="E209:E214"/>
    <mergeCell ref="G209:H209"/>
    <mergeCell ref="G210:H210"/>
    <mergeCell ref="G211:H211"/>
    <mergeCell ref="G212:H212"/>
    <mergeCell ref="G213:H213"/>
    <mergeCell ref="G214:H214"/>
    <mergeCell ref="E215:E220"/>
    <mergeCell ref="G215:H215"/>
    <mergeCell ref="G216:H216"/>
    <mergeCell ref="G217:H217"/>
    <mergeCell ref="G218:H218"/>
    <mergeCell ref="G219:H219"/>
    <mergeCell ref="G220:H220"/>
    <mergeCell ref="B197:B208"/>
    <mergeCell ref="C197:C208"/>
    <mergeCell ref="E197:E202"/>
    <mergeCell ref="G197:H197"/>
    <mergeCell ref="G198:H198"/>
    <mergeCell ref="G199:H199"/>
    <mergeCell ref="G200:H200"/>
    <mergeCell ref="G201:H201"/>
    <mergeCell ref="G202:H202"/>
    <mergeCell ref="E203:E208"/>
    <mergeCell ref="G203:H203"/>
    <mergeCell ref="G204:H204"/>
    <mergeCell ref="G205:H205"/>
    <mergeCell ref="G206:H206"/>
    <mergeCell ref="G207:H207"/>
    <mergeCell ref="G208:H208"/>
    <mergeCell ref="B185:B196"/>
    <mergeCell ref="C185:C196"/>
    <mergeCell ref="E185:E190"/>
    <mergeCell ref="G185:H185"/>
    <mergeCell ref="G186:H186"/>
    <mergeCell ref="G187:H187"/>
    <mergeCell ref="G188:H188"/>
    <mergeCell ref="G189:H189"/>
    <mergeCell ref="G190:H190"/>
    <mergeCell ref="E191:E196"/>
    <mergeCell ref="G191:H191"/>
    <mergeCell ref="G192:H192"/>
    <mergeCell ref="G193:H193"/>
    <mergeCell ref="G194:H194"/>
    <mergeCell ref="G195:H195"/>
    <mergeCell ref="G196:H196"/>
    <mergeCell ref="B4:U4"/>
    <mergeCell ref="B8:U8"/>
    <mergeCell ref="B2:U2"/>
    <mergeCell ref="B17:B28"/>
    <mergeCell ref="C17:C28"/>
    <mergeCell ref="E17:E22"/>
    <mergeCell ref="E23:E28"/>
    <mergeCell ref="S14:U14"/>
    <mergeCell ref="B15:B16"/>
    <mergeCell ref="C15:C16"/>
    <mergeCell ref="E15:E16"/>
    <mergeCell ref="F15:F16"/>
    <mergeCell ref="I15:J15"/>
    <mergeCell ref="K15:S15"/>
    <mergeCell ref="T15:U15"/>
    <mergeCell ref="E59:E64"/>
    <mergeCell ref="B65:B76"/>
    <mergeCell ref="C65:C76"/>
    <mergeCell ref="E65:E70"/>
    <mergeCell ref="E71:E76"/>
    <mergeCell ref="B29:B40"/>
    <mergeCell ref="C29:C40"/>
    <mergeCell ref="E29:E34"/>
    <mergeCell ref="E35:E40"/>
    <mergeCell ref="B41:B52"/>
    <mergeCell ref="C41:C52"/>
    <mergeCell ref="E41:E46"/>
    <mergeCell ref="E47:E52"/>
    <mergeCell ref="B125:B136"/>
    <mergeCell ref="C125:C136"/>
    <mergeCell ref="E125:E130"/>
    <mergeCell ref="E131:E136"/>
    <mergeCell ref="D15:D16"/>
    <mergeCell ref="B101:B112"/>
    <mergeCell ref="C101:C112"/>
    <mergeCell ref="E101:E106"/>
    <mergeCell ref="E107:E112"/>
    <mergeCell ref="B113:B124"/>
    <mergeCell ref="C113:C124"/>
    <mergeCell ref="E113:E118"/>
    <mergeCell ref="E119:E124"/>
    <mergeCell ref="B77:B88"/>
    <mergeCell ref="C77:C88"/>
    <mergeCell ref="E77:E82"/>
    <mergeCell ref="E83:E88"/>
    <mergeCell ref="B89:B100"/>
    <mergeCell ref="C89:C100"/>
    <mergeCell ref="E89:E94"/>
    <mergeCell ref="E95:E100"/>
    <mergeCell ref="B53:B64"/>
    <mergeCell ref="C53:C64"/>
    <mergeCell ref="E53:E58"/>
    <mergeCell ref="G30:H30"/>
    <mergeCell ref="G31:H31"/>
    <mergeCell ref="G32:H32"/>
    <mergeCell ref="G33:H33"/>
    <mergeCell ref="G34:H34"/>
    <mergeCell ref="G15:H16"/>
    <mergeCell ref="G17:H17"/>
    <mergeCell ref="G18:H18"/>
    <mergeCell ref="G19:H19"/>
    <mergeCell ref="G20:H20"/>
    <mergeCell ref="G21:H21"/>
    <mergeCell ref="G22:H22"/>
    <mergeCell ref="G23:H23"/>
    <mergeCell ref="G24:H24"/>
    <mergeCell ref="G25:H25"/>
    <mergeCell ref="G26:H26"/>
    <mergeCell ref="G27:H27"/>
    <mergeCell ref="G28:H28"/>
    <mergeCell ref="G29:H29"/>
    <mergeCell ref="G40:H40"/>
    <mergeCell ref="G41:H41"/>
    <mergeCell ref="G42:H42"/>
    <mergeCell ref="G43:H43"/>
    <mergeCell ref="G44:H44"/>
    <mergeCell ref="G35:H35"/>
    <mergeCell ref="G36:H36"/>
    <mergeCell ref="G37:H37"/>
    <mergeCell ref="G38:H38"/>
    <mergeCell ref="G39:H39"/>
    <mergeCell ref="G50:H50"/>
    <mergeCell ref="G51:H51"/>
    <mergeCell ref="G52:H52"/>
    <mergeCell ref="G53:H53"/>
    <mergeCell ref="G54:H54"/>
    <mergeCell ref="G45:H45"/>
    <mergeCell ref="G46:H46"/>
    <mergeCell ref="G47:H47"/>
    <mergeCell ref="G48:H48"/>
    <mergeCell ref="G49:H49"/>
    <mergeCell ref="G60:H60"/>
    <mergeCell ref="G61:H61"/>
    <mergeCell ref="G62:H62"/>
    <mergeCell ref="G63:H63"/>
    <mergeCell ref="G64:H64"/>
    <mergeCell ref="G55:H55"/>
    <mergeCell ref="G56:H56"/>
    <mergeCell ref="G57:H57"/>
    <mergeCell ref="G58:H58"/>
    <mergeCell ref="G59:H59"/>
    <mergeCell ref="G70:H70"/>
    <mergeCell ref="G71:H71"/>
    <mergeCell ref="G72:H72"/>
    <mergeCell ref="G73:H73"/>
    <mergeCell ref="G74:H74"/>
    <mergeCell ref="G65:H65"/>
    <mergeCell ref="G66:H66"/>
    <mergeCell ref="G67:H67"/>
    <mergeCell ref="G68:H68"/>
    <mergeCell ref="G69:H69"/>
    <mergeCell ref="G80:H80"/>
    <mergeCell ref="G81:H81"/>
    <mergeCell ref="G82:H82"/>
    <mergeCell ref="G83:H83"/>
    <mergeCell ref="G84:H84"/>
    <mergeCell ref="G75:H75"/>
    <mergeCell ref="G76:H76"/>
    <mergeCell ref="G77:H77"/>
    <mergeCell ref="G78:H78"/>
    <mergeCell ref="G79:H79"/>
    <mergeCell ref="G90:H90"/>
    <mergeCell ref="G91:H91"/>
    <mergeCell ref="G92:H92"/>
    <mergeCell ref="G93:H93"/>
    <mergeCell ref="G94:H94"/>
    <mergeCell ref="G85:H85"/>
    <mergeCell ref="G86:H86"/>
    <mergeCell ref="G87:H87"/>
    <mergeCell ref="G88:H88"/>
    <mergeCell ref="G89:H89"/>
    <mergeCell ref="G100:H100"/>
    <mergeCell ref="G101:H101"/>
    <mergeCell ref="G102:H102"/>
    <mergeCell ref="G103:H103"/>
    <mergeCell ref="G104:H104"/>
    <mergeCell ref="G95:H95"/>
    <mergeCell ref="G96:H96"/>
    <mergeCell ref="G97:H97"/>
    <mergeCell ref="G98:H98"/>
    <mergeCell ref="G99:H99"/>
    <mergeCell ref="G117:H117"/>
    <mergeCell ref="G118:H118"/>
    <mergeCell ref="G119:H119"/>
    <mergeCell ref="G110:H110"/>
    <mergeCell ref="G111:H111"/>
    <mergeCell ref="G112:H112"/>
    <mergeCell ref="G113:H113"/>
    <mergeCell ref="G114:H114"/>
    <mergeCell ref="G105:H105"/>
    <mergeCell ref="G106:H106"/>
    <mergeCell ref="G107:H107"/>
    <mergeCell ref="G108:H108"/>
    <mergeCell ref="G109:H109"/>
    <mergeCell ref="G135:H135"/>
    <mergeCell ref="G136:H136"/>
    <mergeCell ref="D6:J6"/>
    <mergeCell ref="M6:U6"/>
    <mergeCell ref="D7:K7"/>
    <mergeCell ref="M7:U7"/>
    <mergeCell ref="B13:U13"/>
    <mergeCell ref="G130:H130"/>
    <mergeCell ref="G131:H131"/>
    <mergeCell ref="G132:H132"/>
    <mergeCell ref="G133:H133"/>
    <mergeCell ref="G134:H134"/>
    <mergeCell ref="G125:H125"/>
    <mergeCell ref="G126:H126"/>
    <mergeCell ref="G127:H127"/>
    <mergeCell ref="G128:H128"/>
    <mergeCell ref="G129:H129"/>
    <mergeCell ref="G120:H120"/>
    <mergeCell ref="G121:H121"/>
    <mergeCell ref="G122:H122"/>
    <mergeCell ref="G123:H123"/>
    <mergeCell ref="G124:H124"/>
    <mergeCell ref="G115:H115"/>
    <mergeCell ref="G116:H116"/>
    <mergeCell ref="G147:H147"/>
    <mergeCell ref="G148:H148"/>
    <mergeCell ref="B137:B148"/>
    <mergeCell ref="C137:C148"/>
    <mergeCell ref="E137:E142"/>
    <mergeCell ref="G137:H137"/>
    <mergeCell ref="G138:H138"/>
    <mergeCell ref="G139:H139"/>
    <mergeCell ref="G140:H140"/>
    <mergeCell ref="G141:H141"/>
    <mergeCell ref="G142:H142"/>
    <mergeCell ref="E143:E148"/>
    <mergeCell ref="G143:H143"/>
    <mergeCell ref="G144:H144"/>
    <mergeCell ref="G145:H145"/>
    <mergeCell ref="G146:H146"/>
    <mergeCell ref="B149:B160"/>
    <mergeCell ref="C149:C160"/>
    <mergeCell ref="E149:E154"/>
    <mergeCell ref="G149:H149"/>
    <mergeCell ref="G150:H150"/>
    <mergeCell ref="G151:H151"/>
    <mergeCell ref="G152:H152"/>
    <mergeCell ref="G153:H153"/>
    <mergeCell ref="G154:H154"/>
    <mergeCell ref="E155:E160"/>
    <mergeCell ref="G155:H155"/>
    <mergeCell ref="G156:H156"/>
    <mergeCell ref="G157:H157"/>
    <mergeCell ref="G158:H158"/>
    <mergeCell ref="G159:H159"/>
    <mergeCell ref="G160:H160"/>
    <mergeCell ref="B161:B172"/>
    <mergeCell ref="C161:C172"/>
    <mergeCell ref="E161:E166"/>
    <mergeCell ref="G161:H161"/>
    <mergeCell ref="G162:H162"/>
    <mergeCell ref="G163:H163"/>
    <mergeCell ref="G164:H164"/>
    <mergeCell ref="G165:H165"/>
    <mergeCell ref="G166:H166"/>
    <mergeCell ref="E167:E172"/>
    <mergeCell ref="G167:H167"/>
    <mergeCell ref="G168:H168"/>
    <mergeCell ref="G169:H169"/>
    <mergeCell ref="G170:H170"/>
    <mergeCell ref="G171:H171"/>
    <mergeCell ref="G172:H172"/>
    <mergeCell ref="B173:B184"/>
    <mergeCell ref="C173:C184"/>
    <mergeCell ref="E173:E178"/>
    <mergeCell ref="G173:H173"/>
    <mergeCell ref="G174:H174"/>
    <mergeCell ref="G175:H175"/>
    <mergeCell ref="G176:H176"/>
    <mergeCell ref="G177:H177"/>
    <mergeCell ref="G178:H178"/>
    <mergeCell ref="E179:E184"/>
    <mergeCell ref="G179:H179"/>
    <mergeCell ref="G180:H180"/>
    <mergeCell ref="G181:H181"/>
    <mergeCell ref="G182:H182"/>
    <mergeCell ref="G183:H183"/>
    <mergeCell ref="G184:H184"/>
  </mergeCells>
  <dataValidations count="6">
    <dataValidation type="list" allowBlank="1" showInputMessage="1" showErrorMessage="1" sqref="G17:G22 G29:G34 G41:G46 G53:G58 G65:G70 G137:G142 G77:G82 G101:G106 G113:G118 G125:G130 G89:G94 G149:G154 G161:G166 G173:G178 G185:G190 G197:G202 G209:G214 G221:G226 G233:G238 G245:G250 G257:G262 G269:G274 G281:G286" xr:uid="{12AFEA37-DE9D-4331-8D26-58A87B462F74}">
      <formula1>$C$11:$S$11</formula1>
    </dataValidation>
    <dataValidation type="list" allowBlank="1" showInputMessage="1" showErrorMessage="1" sqref="C125 C17 C29 C41 C53 C65 C77 C89 C101 C113 C137 C149 C161 C173 C185 C197 C209 C221 C233 C245 C257 C269 C281" xr:uid="{34E88085-362B-4A10-BF54-835362F6EE09}">
      <formula1>$X$17:$X$21</formula1>
    </dataValidation>
    <dataValidation type="list" allowBlank="1" showInputMessage="1" showErrorMessage="1" sqref="E17 E23 E29 E41 E53 E65 E77 E89 E101 E113 E125 E137 E35 E47 E59 E71 E83 E95 E107 E119 E131 E143 E149 E155 E161 E167 E173 E179 E185 E191 E197 E203 E209 E215 E221 E227 E233 E239 E245 E251 E257 E263 E269 E275 E281 E287" xr:uid="{217D092B-4D1C-4387-AF95-F593535398E8}">
      <formula1>$X$22:$X$23</formula1>
    </dataValidation>
    <dataValidation type="list" allowBlank="1" showInputMessage="1" showErrorMessage="1" sqref="D17:D292" xr:uid="{0E1E66B1-9B0F-460C-928B-E32F49E51B4F}">
      <formula1>$Z$21:$Z$61</formula1>
    </dataValidation>
    <dataValidation type="list" allowBlank="1" showInputMessage="1" showErrorMessage="1" sqref="G23:H28 G35:H40 G143:H148 G59:H64 G71:H76 G47:H52 G83:H88 G107:H112 G119:H124 G131:H136 G95:H100 G155:H160 G167:H172 G179:H184 G191:H196 G203:H208 G215:H220 G227:H232 G239:H244 G251:H256 G263:H268 G275:H280 G287:H292" xr:uid="{BBCD1210-CEA0-4BC9-94EF-37762961F608}">
      <formula1>$C$12:$S$12</formula1>
    </dataValidation>
    <dataValidation type="list" allowBlank="1" showInputMessage="1" showErrorMessage="1" sqref="C6" xr:uid="{02C5D8BD-F18A-4262-BE87-765D29D27F95}">
      <formula1>$X$2:$X$6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96DA7-E256-4F0F-A2D9-7B8F0AC97C99}">
  <dimension ref="B1:AU304"/>
  <sheetViews>
    <sheetView zoomScale="69" zoomScaleNormal="69" workbookViewId="0">
      <pane ySplit="16" topLeftCell="A263" activePane="bottomLeft" state="frozenSplit"/>
      <selection pane="bottomLeft" activeCell="M269" sqref="M269"/>
    </sheetView>
  </sheetViews>
  <sheetFormatPr defaultColWidth="8.7109375" defaultRowHeight="13.5"/>
  <cols>
    <col min="1" max="1" width="4.140625" style="1" customWidth="1"/>
    <col min="2" max="2" width="16.42578125" style="1" bestFit="1" customWidth="1"/>
    <col min="3" max="3" width="17.42578125" style="1" bestFit="1" customWidth="1"/>
    <col min="4" max="4" width="17.42578125" style="1" customWidth="1"/>
    <col min="5" max="5" width="14.5703125" style="2" customWidth="1"/>
    <col min="6" max="19" width="14.5703125" style="1" customWidth="1"/>
    <col min="20" max="20" width="14.7109375" style="1" hidden="1" customWidth="1"/>
    <col min="21" max="21" width="28.140625" style="1" customWidth="1"/>
    <col min="22" max="22" width="62.7109375" style="1" customWidth="1"/>
    <col min="23" max="23" width="8.7109375" style="1"/>
    <col min="24" max="24" width="17.42578125" style="1" customWidth="1"/>
    <col min="25" max="25" width="8.7109375" style="1" customWidth="1"/>
    <col min="26" max="26" width="21.85546875" style="1" bestFit="1" customWidth="1"/>
    <col min="27" max="47" width="14.5703125" style="1" customWidth="1"/>
    <col min="48" max="16384" width="8.7109375" style="1"/>
  </cols>
  <sheetData>
    <row r="1" spans="2:47" ht="6" customHeight="1"/>
    <row r="2" spans="2:47" ht="35.25">
      <c r="B2" s="86" t="s">
        <v>31</v>
      </c>
      <c r="C2" s="86"/>
      <c r="D2" s="86"/>
      <c r="E2" s="86"/>
      <c r="F2" s="86"/>
      <c r="G2" s="86"/>
      <c r="H2" s="86"/>
      <c r="I2" s="86"/>
      <c r="J2" s="86"/>
      <c r="K2" s="86"/>
      <c r="L2" s="86"/>
      <c r="M2" s="86"/>
      <c r="N2" s="86"/>
      <c r="O2" s="86"/>
      <c r="P2" s="86"/>
      <c r="Q2" s="86"/>
      <c r="R2" s="86"/>
      <c r="S2" s="86"/>
      <c r="T2" s="86"/>
      <c r="U2" s="86"/>
      <c r="V2" s="24"/>
      <c r="W2" s="24"/>
      <c r="X2" s="1" t="s">
        <v>13</v>
      </c>
    </row>
    <row r="3" spans="2:47" ht="15.95" customHeight="1">
      <c r="B3" s="18"/>
      <c r="C3" s="18"/>
      <c r="D3" s="18"/>
      <c r="E3" s="18"/>
      <c r="F3" s="18"/>
      <c r="G3" s="18"/>
      <c r="H3" s="18"/>
      <c r="I3" s="18"/>
      <c r="J3" s="18"/>
      <c r="K3" s="18"/>
      <c r="L3" s="18"/>
      <c r="M3" s="18"/>
      <c r="N3" s="18"/>
      <c r="O3" s="18"/>
      <c r="P3" s="18"/>
      <c r="Q3" s="18"/>
      <c r="R3" s="18"/>
      <c r="S3" s="18"/>
      <c r="T3" s="18"/>
      <c r="U3" s="18"/>
      <c r="V3" s="24"/>
      <c r="W3" s="24"/>
      <c r="X3" s="1" t="s">
        <v>36</v>
      </c>
      <c r="Y3" s="24"/>
      <c r="Z3" s="24"/>
      <c r="AA3" s="24"/>
      <c r="AB3" s="24"/>
      <c r="AC3" s="24"/>
      <c r="AD3" s="24"/>
      <c r="AE3" s="24"/>
      <c r="AF3" s="24"/>
      <c r="AG3" s="24"/>
      <c r="AH3" s="24"/>
      <c r="AI3" s="24"/>
      <c r="AJ3" s="24"/>
      <c r="AK3" s="24"/>
      <c r="AL3" s="24"/>
      <c r="AM3" s="24"/>
      <c r="AN3" s="24"/>
      <c r="AO3" s="24"/>
      <c r="AP3" s="24"/>
      <c r="AQ3" s="24"/>
      <c r="AR3" s="24"/>
      <c r="AS3" s="24"/>
      <c r="AT3" s="24"/>
      <c r="AU3" s="24"/>
    </row>
    <row r="4" spans="2:47" ht="22.5">
      <c r="B4" s="84" t="s">
        <v>92</v>
      </c>
      <c r="C4" s="84"/>
      <c r="D4" s="84"/>
      <c r="E4" s="84"/>
      <c r="F4" s="84"/>
      <c r="G4" s="84"/>
      <c r="H4" s="84"/>
      <c r="I4" s="84"/>
      <c r="J4" s="84"/>
      <c r="K4" s="84"/>
      <c r="L4" s="84"/>
      <c r="M4" s="84"/>
      <c r="N4" s="84"/>
      <c r="O4" s="84"/>
      <c r="P4" s="84"/>
      <c r="Q4" s="84"/>
      <c r="R4" s="84"/>
      <c r="S4" s="84"/>
      <c r="T4" s="84"/>
      <c r="U4" s="84"/>
      <c r="V4" s="24"/>
      <c r="W4" s="24"/>
      <c r="X4" s="1" t="s">
        <v>34</v>
      </c>
      <c r="Y4" s="24"/>
      <c r="Z4" s="24"/>
      <c r="AA4" s="24"/>
      <c r="AB4" s="24"/>
      <c r="AC4" s="24"/>
      <c r="AD4" s="24"/>
      <c r="AE4" s="24"/>
      <c r="AF4" s="24"/>
      <c r="AG4" s="24"/>
      <c r="AH4" s="24"/>
      <c r="AI4" s="24"/>
      <c r="AJ4" s="24"/>
      <c r="AK4" s="24"/>
      <c r="AL4" s="24"/>
      <c r="AM4" s="24"/>
      <c r="AN4" s="24"/>
      <c r="AO4" s="24"/>
      <c r="AP4" s="24"/>
      <c r="AQ4" s="24"/>
      <c r="AR4" s="24"/>
      <c r="AS4" s="24"/>
      <c r="AT4" s="24"/>
      <c r="AU4" s="24"/>
    </row>
    <row r="5" spans="2:47" ht="11.45" customHeight="1">
      <c r="G5" s="3"/>
      <c r="H5" s="3"/>
      <c r="I5" s="3"/>
      <c r="J5" s="3"/>
      <c r="K5" s="3"/>
      <c r="L5" s="3"/>
      <c r="M5" s="3"/>
      <c r="N5" s="3"/>
      <c r="O5" s="3"/>
      <c r="P5" s="3"/>
      <c r="Q5" s="3"/>
      <c r="R5" s="3"/>
      <c r="S5" s="3"/>
      <c r="T5" s="3"/>
      <c r="U5" s="3"/>
      <c r="V5" s="24"/>
      <c r="W5" s="24"/>
      <c r="X5" s="1" t="s">
        <v>35</v>
      </c>
      <c r="Y5" s="24"/>
      <c r="Z5" s="24"/>
      <c r="AA5" s="24"/>
      <c r="AB5" s="24"/>
      <c r="AC5" s="24"/>
      <c r="AD5" s="24"/>
      <c r="AE5" s="24"/>
      <c r="AF5" s="24"/>
      <c r="AG5" s="24"/>
      <c r="AH5" s="24"/>
      <c r="AI5" s="24"/>
      <c r="AJ5" s="24"/>
      <c r="AK5" s="24"/>
      <c r="AL5" s="24"/>
      <c r="AM5" s="24"/>
      <c r="AN5" s="24"/>
      <c r="AO5" s="24"/>
      <c r="AP5" s="24"/>
      <c r="AQ5" s="24"/>
      <c r="AR5" s="24"/>
      <c r="AS5" s="24"/>
      <c r="AT5" s="24"/>
      <c r="AU5" s="24"/>
    </row>
    <row r="6" spans="2:47" ht="24" customHeight="1">
      <c r="B6" s="17" t="s">
        <v>11</v>
      </c>
      <c r="C6" s="42" t="s">
        <v>13</v>
      </c>
      <c r="D6" s="70" t="s">
        <v>91</v>
      </c>
      <c r="E6" s="71"/>
      <c r="F6" s="71"/>
      <c r="G6" s="71"/>
      <c r="H6" s="71"/>
      <c r="I6" s="71"/>
      <c r="J6" s="71"/>
      <c r="K6" s="47"/>
      <c r="L6" s="48" t="s">
        <v>96</v>
      </c>
      <c r="M6" s="72" t="s">
        <v>89</v>
      </c>
      <c r="N6" s="71"/>
      <c r="O6" s="71"/>
      <c r="P6" s="71"/>
      <c r="Q6" s="71"/>
      <c r="R6" s="71"/>
      <c r="S6" s="71"/>
      <c r="T6" s="71"/>
      <c r="U6" s="71"/>
      <c r="V6" s="24"/>
      <c r="W6" s="24"/>
      <c r="X6" s="1" t="s">
        <v>20</v>
      </c>
      <c r="Y6" s="24"/>
      <c r="Z6" s="24"/>
      <c r="AA6" s="24"/>
      <c r="AB6" s="24"/>
      <c r="AC6" s="24"/>
      <c r="AD6" s="24"/>
      <c r="AE6" s="24"/>
      <c r="AF6" s="24"/>
      <c r="AG6" s="24"/>
      <c r="AH6" s="24"/>
      <c r="AI6" s="24"/>
      <c r="AJ6" s="24"/>
      <c r="AK6" s="24"/>
      <c r="AL6" s="24"/>
      <c r="AM6" s="24"/>
      <c r="AN6" s="24"/>
      <c r="AO6" s="24"/>
      <c r="AP6" s="24"/>
      <c r="AQ6" s="24"/>
      <c r="AR6" s="24"/>
      <c r="AS6" s="24"/>
      <c r="AT6" s="24"/>
      <c r="AU6" s="24"/>
    </row>
    <row r="7" spans="2:47" ht="24.95" customHeight="1">
      <c r="C7" s="3"/>
      <c r="D7" s="73" t="s">
        <v>94</v>
      </c>
      <c r="E7" s="73"/>
      <c r="F7" s="73"/>
      <c r="G7" s="73"/>
      <c r="H7" s="73"/>
      <c r="I7" s="73"/>
      <c r="J7" s="73"/>
      <c r="K7" s="73"/>
      <c r="L7" s="3"/>
      <c r="M7" s="73" t="s">
        <v>90</v>
      </c>
      <c r="N7" s="73"/>
      <c r="O7" s="73"/>
      <c r="P7" s="73"/>
      <c r="Q7" s="73"/>
      <c r="R7" s="73"/>
      <c r="S7" s="73"/>
      <c r="T7" s="73"/>
      <c r="U7" s="73"/>
      <c r="V7" s="24"/>
      <c r="W7" s="24"/>
      <c r="Y7" s="24"/>
      <c r="Z7" s="24"/>
      <c r="AA7" s="24"/>
      <c r="AB7" s="24"/>
      <c r="AC7" s="24"/>
      <c r="AD7" s="24"/>
      <c r="AE7" s="24"/>
      <c r="AF7" s="24"/>
      <c r="AG7" s="24"/>
      <c r="AH7" s="24"/>
      <c r="AI7" s="24"/>
      <c r="AJ7" s="24"/>
      <c r="AK7" s="24"/>
      <c r="AL7" s="24"/>
      <c r="AM7" s="24"/>
      <c r="AN7" s="24"/>
      <c r="AO7" s="24"/>
      <c r="AP7" s="24"/>
      <c r="AQ7" s="24"/>
      <c r="AR7" s="24"/>
      <c r="AS7" s="24"/>
      <c r="AT7" s="24"/>
      <c r="AU7" s="24"/>
    </row>
    <row r="8" spans="2:47" ht="22.5">
      <c r="B8" s="85" t="s">
        <v>93</v>
      </c>
      <c r="C8" s="84"/>
      <c r="D8" s="84"/>
      <c r="E8" s="84"/>
      <c r="F8" s="84"/>
      <c r="G8" s="84"/>
      <c r="H8" s="84"/>
      <c r="I8" s="84"/>
      <c r="J8" s="84"/>
      <c r="K8" s="84"/>
      <c r="L8" s="84"/>
      <c r="M8" s="84"/>
      <c r="N8" s="84"/>
      <c r="O8" s="84"/>
      <c r="P8" s="84"/>
      <c r="Q8" s="84"/>
      <c r="R8" s="84"/>
      <c r="S8" s="84"/>
      <c r="T8" s="84"/>
      <c r="U8" s="84"/>
      <c r="V8" s="24"/>
      <c r="W8" s="24"/>
      <c r="Y8" s="24"/>
      <c r="Z8" s="24"/>
      <c r="AA8" s="24"/>
      <c r="AB8" s="24"/>
      <c r="AC8" s="24"/>
      <c r="AD8" s="24"/>
      <c r="AE8" s="24"/>
      <c r="AF8" s="24"/>
      <c r="AG8" s="24"/>
      <c r="AH8" s="24"/>
      <c r="AI8" s="24"/>
      <c r="AJ8" s="24"/>
      <c r="AK8" s="24"/>
      <c r="AL8" s="24"/>
      <c r="AM8" s="24"/>
      <c r="AN8" s="24"/>
      <c r="AO8" s="24"/>
      <c r="AP8" s="24"/>
      <c r="AQ8" s="24"/>
      <c r="AR8" s="24"/>
      <c r="AS8" s="24"/>
      <c r="AT8" s="24"/>
      <c r="AU8" s="24"/>
    </row>
    <row r="9" spans="2:47" ht="8.1" customHeight="1">
      <c r="E9" s="1"/>
      <c r="V9" s="24"/>
      <c r="W9" s="24"/>
      <c r="Y9" s="24"/>
      <c r="Z9" s="24"/>
      <c r="AA9" s="24"/>
      <c r="AB9" s="24"/>
      <c r="AC9" s="24"/>
      <c r="AD9" s="24"/>
      <c r="AE9" s="24"/>
      <c r="AF9" s="24"/>
      <c r="AG9" s="24"/>
      <c r="AH9" s="24"/>
      <c r="AI9" s="24"/>
      <c r="AJ9" s="24"/>
      <c r="AK9" s="24"/>
      <c r="AL9" s="24"/>
      <c r="AM9" s="24"/>
      <c r="AN9" s="24"/>
      <c r="AO9" s="24"/>
      <c r="AP9" s="24"/>
      <c r="AQ9" s="24"/>
      <c r="AR9" s="24"/>
      <c r="AS9" s="24"/>
      <c r="AT9" s="24"/>
      <c r="AU9" s="24"/>
    </row>
    <row r="10" spans="2:47" ht="18.75">
      <c r="B10" s="19" t="s">
        <v>30</v>
      </c>
      <c r="C10" s="19">
        <v>1</v>
      </c>
      <c r="D10" s="20">
        <v>2</v>
      </c>
      <c r="E10" s="20">
        <v>3</v>
      </c>
      <c r="F10" s="19">
        <v>4</v>
      </c>
      <c r="G10" s="20">
        <v>5</v>
      </c>
      <c r="H10" s="20">
        <v>6</v>
      </c>
      <c r="I10" s="19">
        <v>7</v>
      </c>
      <c r="J10" s="20">
        <v>8</v>
      </c>
      <c r="K10" s="20">
        <v>9</v>
      </c>
      <c r="L10" s="19">
        <v>10</v>
      </c>
      <c r="M10" s="20">
        <v>11</v>
      </c>
      <c r="N10" s="20">
        <v>12</v>
      </c>
      <c r="O10" s="19">
        <v>13</v>
      </c>
      <c r="P10" s="20">
        <v>14</v>
      </c>
      <c r="Q10" s="20">
        <v>15</v>
      </c>
      <c r="R10" s="20">
        <v>16</v>
      </c>
      <c r="S10" s="20">
        <v>17</v>
      </c>
      <c r="T10" s="19">
        <v>16</v>
      </c>
      <c r="U10" s="20" t="s">
        <v>32</v>
      </c>
      <c r="V10" s="24"/>
      <c r="W10" s="24"/>
    </row>
    <row r="11" spans="2:47" ht="18.75">
      <c r="B11" s="29" t="s">
        <v>28</v>
      </c>
      <c r="C11" s="31" t="s">
        <v>74</v>
      </c>
      <c r="D11" s="32" t="s">
        <v>75</v>
      </c>
      <c r="E11" s="32" t="s">
        <v>76</v>
      </c>
      <c r="F11" s="32" t="s">
        <v>83</v>
      </c>
      <c r="G11" s="31" t="s">
        <v>79</v>
      </c>
      <c r="H11" s="31" t="s">
        <v>80</v>
      </c>
      <c r="I11" s="31" t="s">
        <v>103</v>
      </c>
      <c r="J11" s="31" t="s">
        <v>104</v>
      </c>
      <c r="K11" s="31" t="s">
        <v>108</v>
      </c>
      <c r="L11" s="31" t="s">
        <v>109</v>
      </c>
      <c r="M11" s="31"/>
      <c r="N11" s="31"/>
      <c r="O11" s="31"/>
      <c r="P11" s="31"/>
      <c r="Q11" s="31"/>
      <c r="R11" s="31"/>
      <c r="S11" s="31"/>
      <c r="T11" s="31"/>
      <c r="U11" s="29"/>
      <c r="V11" s="24"/>
      <c r="W11" s="24"/>
    </row>
    <row r="12" spans="2:47" ht="18.75">
      <c r="B12" s="30" t="s">
        <v>29</v>
      </c>
      <c r="C12" s="33" t="s">
        <v>84</v>
      </c>
      <c r="D12" s="33" t="s">
        <v>81</v>
      </c>
      <c r="E12" s="33" t="s">
        <v>87</v>
      </c>
      <c r="F12" s="33" t="s">
        <v>86</v>
      </c>
      <c r="G12" s="33" t="s">
        <v>85</v>
      </c>
      <c r="H12" s="33" t="s">
        <v>88</v>
      </c>
      <c r="I12" s="33" t="s">
        <v>82</v>
      </c>
      <c r="J12" s="33" t="s">
        <v>83</v>
      </c>
      <c r="K12" s="33" t="s">
        <v>77</v>
      </c>
      <c r="L12" s="33" t="s">
        <v>78</v>
      </c>
      <c r="M12" s="33" t="s">
        <v>105</v>
      </c>
      <c r="N12" s="33" t="s">
        <v>106</v>
      </c>
      <c r="O12" s="33" t="s">
        <v>107</v>
      </c>
      <c r="P12" s="33"/>
      <c r="Q12" s="33"/>
      <c r="R12" s="33"/>
      <c r="S12" s="33"/>
      <c r="T12" s="33"/>
      <c r="U12" s="30"/>
    </row>
    <row r="13" spans="2:47" ht="54.6" customHeight="1">
      <c r="B13" s="74" t="s">
        <v>95</v>
      </c>
      <c r="C13" s="74"/>
      <c r="D13" s="74"/>
      <c r="E13" s="74"/>
      <c r="F13" s="74"/>
      <c r="G13" s="74"/>
      <c r="H13" s="74"/>
      <c r="I13" s="74"/>
      <c r="J13" s="74"/>
      <c r="K13" s="74"/>
      <c r="L13" s="74"/>
      <c r="M13" s="74"/>
      <c r="N13" s="74"/>
      <c r="O13" s="74"/>
      <c r="P13" s="74"/>
      <c r="Q13" s="74"/>
      <c r="R13" s="74"/>
      <c r="S13" s="74"/>
      <c r="T13" s="74"/>
      <c r="U13" s="74"/>
    </row>
    <row r="14" spans="2:47" ht="37.5">
      <c r="B14" s="26" t="s">
        <v>33</v>
      </c>
      <c r="C14" s="25"/>
      <c r="D14" s="49" t="s">
        <v>62</v>
      </c>
      <c r="E14" s="49" t="s">
        <v>63</v>
      </c>
      <c r="F14" s="49"/>
      <c r="G14" s="49" t="s">
        <v>64</v>
      </c>
      <c r="H14" s="49"/>
      <c r="I14" s="50" t="s">
        <v>65</v>
      </c>
      <c r="J14" s="50"/>
      <c r="K14" s="50" t="s">
        <v>66</v>
      </c>
      <c r="L14" s="50" t="s">
        <v>67</v>
      </c>
      <c r="M14" s="50" t="s">
        <v>68</v>
      </c>
      <c r="N14" s="50" t="s">
        <v>69</v>
      </c>
      <c r="O14" s="50" t="s">
        <v>70</v>
      </c>
      <c r="P14" s="50" t="s">
        <v>71</v>
      </c>
      <c r="Q14" s="50" t="s">
        <v>72</v>
      </c>
      <c r="R14" s="50" t="s">
        <v>73</v>
      </c>
      <c r="S14" s="87" t="s">
        <v>97</v>
      </c>
      <c r="T14" s="87"/>
      <c r="U14" s="87"/>
    </row>
    <row r="15" spans="2:47" ht="18.75">
      <c r="B15" s="79" t="s">
        <v>6</v>
      </c>
      <c r="C15" s="79" t="s">
        <v>8</v>
      </c>
      <c r="D15" s="79" t="s">
        <v>37</v>
      </c>
      <c r="E15" s="79" t="s">
        <v>0</v>
      </c>
      <c r="F15" s="79" t="s">
        <v>7</v>
      </c>
      <c r="G15" s="75" t="s">
        <v>1</v>
      </c>
      <c r="H15" s="76"/>
      <c r="I15" s="88" t="s">
        <v>27</v>
      </c>
      <c r="J15" s="89"/>
      <c r="K15" s="90" t="s">
        <v>2</v>
      </c>
      <c r="L15" s="91"/>
      <c r="M15" s="91"/>
      <c r="N15" s="91"/>
      <c r="O15" s="91"/>
      <c r="P15" s="91"/>
      <c r="Q15" s="91"/>
      <c r="R15" s="91"/>
      <c r="S15" s="92"/>
      <c r="T15" s="90"/>
      <c r="U15" s="92"/>
    </row>
    <row r="16" spans="2:47" ht="17.45" customHeight="1">
      <c r="B16" s="80"/>
      <c r="C16" s="80"/>
      <c r="D16" s="80"/>
      <c r="E16" s="80"/>
      <c r="F16" s="80"/>
      <c r="G16" s="77"/>
      <c r="H16" s="78"/>
      <c r="I16" s="21" t="s">
        <v>26</v>
      </c>
      <c r="J16" s="21" t="s">
        <v>27</v>
      </c>
      <c r="K16" s="22" t="s">
        <v>4</v>
      </c>
      <c r="L16" s="22" t="s">
        <v>5</v>
      </c>
      <c r="M16" s="22" t="s">
        <v>19</v>
      </c>
      <c r="N16" s="22" t="s">
        <v>69</v>
      </c>
      <c r="O16" s="22" t="s">
        <v>21</v>
      </c>
      <c r="P16" s="22" t="s">
        <v>22</v>
      </c>
      <c r="Q16" s="22" t="s">
        <v>23</v>
      </c>
      <c r="R16" s="22" t="s">
        <v>20</v>
      </c>
      <c r="S16" s="22" t="s">
        <v>24</v>
      </c>
      <c r="T16" s="22" t="s">
        <v>25</v>
      </c>
      <c r="U16" s="23" t="s">
        <v>3</v>
      </c>
      <c r="W16" s="4"/>
      <c r="X16" s="4"/>
      <c r="Y16" s="4"/>
    </row>
    <row r="17" spans="2:26" ht="16.5" hidden="1" customHeight="1">
      <c r="B17" s="81">
        <v>46082</v>
      </c>
      <c r="C17" s="59" t="s">
        <v>16</v>
      </c>
      <c r="D17" s="51"/>
      <c r="E17" s="62" t="s">
        <v>101</v>
      </c>
      <c r="F17" s="5">
        <v>0.41666666666666669</v>
      </c>
      <c r="G17" s="65"/>
      <c r="H17" s="66"/>
      <c r="I17" s="34"/>
      <c r="J17" s="6" t="str">
        <f>IFERROR(S17/I17,"")</f>
        <v/>
      </c>
      <c r="K17" s="38"/>
      <c r="L17" s="38"/>
      <c r="M17" s="38"/>
      <c r="N17" s="38"/>
      <c r="O17" s="38"/>
      <c r="P17" s="38"/>
      <c r="Q17" s="38"/>
      <c r="R17" s="38"/>
      <c r="S17" s="7">
        <f>SUM(K17:R17)</f>
        <v>0</v>
      </c>
      <c r="T17" s="7">
        <v>100000</v>
      </c>
      <c r="U17" s="7">
        <f>T17*S17</f>
        <v>0</v>
      </c>
      <c r="V17" s="4"/>
      <c r="W17" s="4"/>
      <c r="X17" s="4" t="s">
        <v>14</v>
      </c>
      <c r="Y17" s="4"/>
    </row>
    <row r="18" spans="2:26" ht="18.75" hidden="1">
      <c r="B18" s="82"/>
      <c r="C18" s="60"/>
      <c r="D18" s="52"/>
      <c r="E18" s="63"/>
      <c r="F18" s="8">
        <v>0.5</v>
      </c>
      <c r="G18" s="67"/>
      <c r="H18" s="68"/>
      <c r="I18" s="35"/>
      <c r="J18" s="9" t="str">
        <f>IFERROR(S18/I18,"")</f>
        <v/>
      </c>
      <c r="K18" s="39"/>
      <c r="L18" s="39"/>
      <c r="M18" s="39"/>
      <c r="N18" s="39"/>
      <c r="O18" s="39"/>
      <c r="P18" s="39"/>
      <c r="Q18" s="39"/>
      <c r="R18" s="39"/>
      <c r="S18" s="10">
        <f t="shared" ref="S18:S28" si="0">SUM(K18:R18)</f>
        <v>0</v>
      </c>
      <c r="T18" s="10">
        <v>100000</v>
      </c>
      <c r="U18" s="10">
        <f t="shared" ref="U18:U28" si="1">T18*S18</f>
        <v>0</v>
      </c>
      <c r="V18" s="4"/>
      <c r="W18" s="4"/>
      <c r="X18" s="4" t="s">
        <v>15</v>
      </c>
      <c r="Y18" s="4"/>
    </row>
    <row r="19" spans="2:26" ht="18.75" hidden="1">
      <c r="B19" s="82"/>
      <c r="C19" s="60"/>
      <c r="D19" s="52"/>
      <c r="E19" s="63"/>
      <c r="F19" s="8">
        <v>0.58333333333333337</v>
      </c>
      <c r="G19" s="67"/>
      <c r="H19" s="68"/>
      <c r="I19" s="35"/>
      <c r="J19" s="9" t="str">
        <f t="shared" ref="J19:J82" si="2">IFERROR(S19/I19,"")</f>
        <v/>
      </c>
      <c r="K19" s="39"/>
      <c r="L19" s="39"/>
      <c r="M19" s="39"/>
      <c r="N19" s="39"/>
      <c r="O19" s="39"/>
      <c r="P19" s="39"/>
      <c r="Q19" s="39"/>
      <c r="R19" s="39"/>
      <c r="S19" s="10">
        <f t="shared" si="0"/>
        <v>0</v>
      </c>
      <c r="T19" s="10">
        <v>100000</v>
      </c>
      <c r="U19" s="10">
        <f t="shared" si="1"/>
        <v>0</v>
      </c>
      <c r="V19" s="4"/>
      <c r="W19" s="4"/>
      <c r="X19" s="4" t="s">
        <v>16</v>
      </c>
      <c r="Y19" s="4"/>
    </row>
    <row r="20" spans="2:26" ht="18.75" hidden="1">
      <c r="B20" s="82"/>
      <c r="C20" s="60"/>
      <c r="D20" s="52"/>
      <c r="E20" s="63"/>
      <c r="F20" s="8">
        <v>0.66666666666666663</v>
      </c>
      <c r="G20" s="67"/>
      <c r="H20" s="68"/>
      <c r="I20" s="35"/>
      <c r="J20" s="9" t="str">
        <f t="shared" si="2"/>
        <v/>
      </c>
      <c r="K20" s="39"/>
      <c r="L20" s="39"/>
      <c r="M20" s="39"/>
      <c r="N20" s="39"/>
      <c r="O20" s="39"/>
      <c r="P20" s="39"/>
      <c r="Q20" s="39"/>
      <c r="R20" s="39"/>
      <c r="S20" s="10">
        <f t="shared" si="0"/>
        <v>0</v>
      </c>
      <c r="T20" s="10">
        <v>100000</v>
      </c>
      <c r="U20" s="10">
        <f>T20*S20</f>
        <v>0</v>
      </c>
      <c r="V20" s="4"/>
      <c r="W20" s="4"/>
      <c r="X20" s="4" t="s">
        <v>17</v>
      </c>
      <c r="Y20" s="4"/>
      <c r="Z20" s="28" t="s">
        <v>61</v>
      </c>
    </row>
    <row r="21" spans="2:26" ht="18.75" hidden="1">
      <c r="B21" s="82"/>
      <c r="C21" s="60"/>
      <c r="D21" s="52"/>
      <c r="E21" s="63"/>
      <c r="F21" s="8">
        <v>0.75</v>
      </c>
      <c r="G21" s="67"/>
      <c r="H21" s="68"/>
      <c r="I21" s="35"/>
      <c r="J21" s="9" t="str">
        <f t="shared" si="2"/>
        <v/>
      </c>
      <c r="K21" s="39"/>
      <c r="L21" s="39"/>
      <c r="M21" s="39"/>
      <c r="N21" s="39"/>
      <c r="O21" s="39"/>
      <c r="P21" s="39"/>
      <c r="Q21" s="39"/>
      <c r="R21" s="39"/>
      <c r="S21" s="10">
        <f t="shared" si="0"/>
        <v>0</v>
      </c>
      <c r="T21" s="10">
        <v>100000</v>
      </c>
      <c r="U21" s="10">
        <f t="shared" si="1"/>
        <v>0</v>
      </c>
      <c r="V21" s="4"/>
      <c r="W21" s="4"/>
      <c r="X21" s="11" t="s">
        <v>18</v>
      </c>
      <c r="Y21" s="4"/>
      <c r="Z21" s="43"/>
    </row>
    <row r="22" spans="2:26" ht="27" hidden="1">
      <c r="B22" s="82"/>
      <c r="C22" s="60"/>
      <c r="D22" s="53"/>
      <c r="E22" s="64"/>
      <c r="F22" s="12">
        <v>0.83333333333333337</v>
      </c>
      <c r="G22" s="67"/>
      <c r="H22" s="68"/>
      <c r="I22" s="35"/>
      <c r="J22" s="9" t="str">
        <f t="shared" si="2"/>
        <v/>
      </c>
      <c r="K22" s="40"/>
      <c r="L22" s="40"/>
      <c r="M22" s="40"/>
      <c r="N22" s="40"/>
      <c r="O22" s="40"/>
      <c r="P22" s="40"/>
      <c r="Q22" s="40"/>
      <c r="R22" s="40"/>
      <c r="S22" s="16">
        <f t="shared" si="0"/>
        <v>0</v>
      </c>
      <c r="T22" s="16">
        <v>100000</v>
      </c>
      <c r="U22" s="16">
        <f t="shared" si="1"/>
        <v>0</v>
      </c>
      <c r="V22" s="4"/>
      <c r="X22" s="54" t="s">
        <v>101</v>
      </c>
      <c r="Z22" s="44" t="s">
        <v>46</v>
      </c>
    </row>
    <row r="23" spans="2:26" ht="27" hidden="1">
      <c r="B23" s="82"/>
      <c r="C23" s="60"/>
      <c r="D23" s="51"/>
      <c r="E23" s="62" t="s">
        <v>102</v>
      </c>
      <c r="F23" s="5">
        <v>0.91666666666666663</v>
      </c>
      <c r="G23" s="65"/>
      <c r="H23" s="66"/>
      <c r="I23" s="34"/>
      <c r="J23" s="6" t="str">
        <f t="shared" si="2"/>
        <v/>
      </c>
      <c r="K23" s="38"/>
      <c r="L23" s="38"/>
      <c r="M23" s="38"/>
      <c r="N23" s="38"/>
      <c r="O23" s="38"/>
      <c r="P23" s="38"/>
      <c r="Q23" s="38"/>
      <c r="R23" s="38"/>
      <c r="S23" s="7">
        <f t="shared" si="0"/>
        <v>0</v>
      </c>
      <c r="T23" s="7">
        <v>100000</v>
      </c>
      <c r="U23" s="7">
        <f t="shared" si="1"/>
        <v>0</v>
      </c>
      <c r="V23" s="4"/>
      <c r="X23" s="54" t="s">
        <v>102</v>
      </c>
      <c r="Z23" s="44" t="s">
        <v>45</v>
      </c>
    </row>
    <row r="24" spans="2:26" ht="18.75" hidden="1">
      <c r="B24" s="82"/>
      <c r="C24" s="60"/>
      <c r="D24" s="52"/>
      <c r="E24" s="63"/>
      <c r="F24" s="8">
        <v>1</v>
      </c>
      <c r="G24" s="67"/>
      <c r="H24" s="68"/>
      <c r="I24" s="35"/>
      <c r="J24" s="9" t="str">
        <f t="shared" si="2"/>
        <v/>
      </c>
      <c r="K24" s="39"/>
      <c r="L24" s="39"/>
      <c r="M24" s="39"/>
      <c r="N24" s="39"/>
      <c r="O24" s="39"/>
      <c r="P24" s="39"/>
      <c r="Q24" s="39"/>
      <c r="R24" s="39"/>
      <c r="S24" s="10">
        <f t="shared" si="0"/>
        <v>0</v>
      </c>
      <c r="T24" s="10">
        <v>100000</v>
      </c>
      <c r="U24" s="10">
        <f t="shared" si="1"/>
        <v>0</v>
      </c>
      <c r="V24" s="4"/>
      <c r="Y24" s="4"/>
      <c r="Z24" s="44" t="s">
        <v>44</v>
      </c>
    </row>
    <row r="25" spans="2:26" ht="18.75" hidden="1">
      <c r="B25" s="82"/>
      <c r="C25" s="60"/>
      <c r="D25" s="52"/>
      <c r="E25" s="63"/>
      <c r="F25" s="8">
        <v>8.3333333333333329E-2</v>
      </c>
      <c r="G25" s="67"/>
      <c r="H25" s="68"/>
      <c r="I25" s="35"/>
      <c r="J25" s="9" t="str">
        <f t="shared" si="2"/>
        <v/>
      </c>
      <c r="K25" s="39"/>
      <c r="L25" s="39"/>
      <c r="M25" s="39"/>
      <c r="N25" s="39"/>
      <c r="O25" s="39"/>
      <c r="P25" s="39"/>
      <c r="Q25" s="39"/>
      <c r="R25" s="39"/>
      <c r="S25" s="10">
        <f t="shared" si="0"/>
        <v>0</v>
      </c>
      <c r="T25" s="10">
        <v>100000</v>
      </c>
      <c r="U25" s="10">
        <f t="shared" si="1"/>
        <v>0</v>
      </c>
      <c r="Y25" s="4"/>
      <c r="Z25" s="44" t="s">
        <v>47</v>
      </c>
    </row>
    <row r="26" spans="2:26" ht="18.75" hidden="1">
      <c r="B26" s="82"/>
      <c r="C26" s="60"/>
      <c r="D26" s="52"/>
      <c r="E26" s="63"/>
      <c r="F26" s="8">
        <v>0.16666666666666666</v>
      </c>
      <c r="G26" s="67"/>
      <c r="H26" s="68"/>
      <c r="I26" s="35"/>
      <c r="J26" s="9" t="str">
        <f t="shared" si="2"/>
        <v/>
      </c>
      <c r="K26" s="39"/>
      <c r="L26" s="39"/>
      <c r="M26" s="39"/>
      <c r="N26" s="39"/>
      <c r="O26" s="39"/>
      <c r="P26" s="39"/>
      <c r="Q26" s="39"/>
      <c r="R26" s="39"/>
      <c r="S26" s="10">
        <f t="shared" si="0"/>
        <v>0</v>
      </c>
      <c r="T26" s="10">
        <v>100000</v>
      </c>
      <c r="U26" s="10">
        <f t="shared" si="1"/>
        <v>0</v>
      </c>
      <c r="V26" s="4"/>
      <c r="X26" s="4"/>
      <c r="Y26" s="4"/>
      <c r="Z26" s="44" t="s">
        <v>48</v>
      </c>
    </row>
    <row r="27" spans="2:26" ht="18.75" hidden="1">
      <c r="B27" s="82"/>
      <c r="C27" s="60"/>
      <c r="D27" s="52"/>
      <c r="E27" s="63"/>
      <c r="F27" s="8">
        <v>0.25</v>
      </c>
      <c r="G27" s="67"/>
      <c r="H27" s="68"/>
      <c r="I27" s="35"/>
      <c r="J27" s="9" t="str">
        <f t="shared" si="2"/>
        <v/>
      </c>
      <c r="K27" s="39"/>
      <c r="L27" s="39"/>
      <c r="M27" s="39"/>
      <c r="N27" s="39"/>
      <c r="O27" s="39"/>
      <c r="P27" s="39"/>
      <c r="Q27" s="39"/>
      <c r="R27" s="39"/>
      <c r="S27" s="10">
        <f t="shared" si="0"/>
        <v>0</v>
      </c>
      <c r="T27" s="10">
        <v>100000</v>
      </c>
      <c r="U27" s="10">
        <f t="shared" si="1"/>
        <v>0</v>
      </c>
      <c r="V27" s="4"/>
      <c r="Y27" s="4"/>
      <c r="Z27" s="44" t="s">
        <v>49</v>
      </c>
    </row>
    <row r="28" spans="2:26" ht="18.75" hidden="1">
      <c r="B28" s="82"/>
      <c r="C28" s="60"/>
      <c r="D28" s="53"/>
      <c r="E28" s="64"/>
      <c r="F28" s="12">
        <v>0.33333333333333331</v>
      </c>
      <c r="G28" s="67"/>
      <c r="H28" s="68"/>
      <c r="I28" s="36"/>
      <c r="J28" s="9" t="str">
        <f t="shared" si="2"/>
        <v/>
      </c>
      <c r="K28" s="41"/>
      <c r="L28" s="41"/>
      <c r="M28" s="41"/>
      <c r="N28" s="41"/>
      <c r="O28" s="41"/>
      <c r="P28" s="41"/>
      <c r="Q28" s="41"/>
      <c r="R28" s="41"/>
      <c r="S28" s="13">
        <f t="shared" si="0"/>
        <v>0</v>
      </c>
      <c r="T28" s="13">
        <v>100000</v>
      </c>
      <c r="U28" s="13">
        <f t="shared" si="1"/>
        <v>0</v>
      </c>
      <c r="V28" s="4"/>
      <c r="W28" s="4"/>
      <c r="X28" s="4"/>
      <c r="Y28" s="4"/>
      <c r="Z28" s="44" t="s">
        <v>50</v>
      </c>
    </row>
    <row r="29" spans="2:26" ht="18.600000000000001" hidden="1" customHeight="1">
      <c r="B29" s="81">
        <v>46083</v>
      </c>
      <c r="C29" s="59" t="s">
        <v>16</v>
      </c>
      <c r="D29" s="51" t="s">
        <v>56</v>
      </c>
      <c r="E29" s="62" t="s">
        <v>101</v>
      </c>
      <c r="F29" s="5">
        <v>0.41666666666666669</v>
      </c>
      <c r="G29" s="65" t="s">
        <v>77</v>
      </c>
      <c r="H29" s="66"/>
      <c r="I29" s="34">
        <v>20</v>
      </c>
      <c r="J29" s="6">
        <f t="shared" si="2"/>
        <v>1</v>
      </c>
      <c r="K29" s="38"/>
      <c r="L29" s="38"/>
      <c r="M29" s="38">
        <v>5</v>
      </c>
      <c r="N29" s="38"/>
      <c r="O29" s="38"/>
      <c r="P29" s="38"/>
      <c r="Q29" s="38">
        <v>15</v>
      </c>
      <c r="R29" s="38"/>
      <c r="S29" s="7">
        <f>SUM(K29:R29)</f>
        <v>20</v>
      </c>
      <c r="T29" s="7">
        <v>100000</v>
      </c>
      <c r="U29" s="7">
        <f>T29*S29</f>
        <v>2000000</v>
      </c>
      <c r="V29" s="4"/>
      <c r="W29" s="4"/>
      <c r="X29" s="4"/>
      <c r="Y29" s="4"/>
      <c r="Z29" s="44" t="s">
        <v>51</v>
      </c>
    </row>
    <row r="30" spans="2:26" ht="18.75" hidden="1">
      <c r="B30" s="82"/>
      <c r="C30" s="60"/>
      <c r="D30" s="52" t="s">
        <v>56</v>
      </c>
      <c r="E30" s="63"/>
      <c r="F30" s="8">
        <v>0.5</v>
      </c>
      <c r="G30" s="67" t="s">
        <v>77</v>
      </c>
      <c r="H30" s="68"/>
      <c r="I30" s="35">
        <v>20</v>
      </c>
      <c r="J30" s="9">
        <f t="shared" si="2"/>
        <v>0.2</v>
      </c>
      <c r="K30" s="39"/>
      <c r="L30" s="39"/>
      <c r="M30" s="39"/>
      <c r="N30" s="39"/>
      <c r="O30" s="39"/>
      <c r="P30" s="39"/>
      <c r="Q30" s="39"/>
      <c r="R30" s="39">
        <v>4</v>
      </c>
      <c r="S30" s="10">
        <f t="shared" ref="S30:S40" si="3">SUM(K30:R30)</f>
        <v>4</v>
      </c>
      <c r="T30" s="10">
        <v>100000</v>
      </c>
      <c r="U30" s="10">
        <f t="shared" ref="U30:U31" si="4">T30*S30</f>
        <v>400000</v>
      </c>
      <c r="V30" s="4"/>
      <c r="W30" s="4"/>
      <c r="X30" s="4"/>
      <c r="Y30" s="4"/>
      <c r="Z30" s="44" t="s">
        <v>52</v>
      </c>
    </row>
    <row r="31" spans="2:26" ht="18.75" hidden="1">
      <c r="B31" s="82"/>
      <c r="C31" s="60"/>
      <c r="D31" s="52" t="s">
        <v>56</v>
      </c>
      <c r="E31" s="63"/>
      <c r="F31" s="8">
        <v>0.58333333333333337</v>
      </c>
      <c r="G31" s="67" t="s">
        <v>77</v>
      </c>
      <c r="H31" s="68"/>
      <c r="I31" s="35">
        <v>40</v>
      </c>
      <c r="J31" s="9">
        <f t="shared" si="2"/>
        <v>7.4999999999999997E-2</v>
      </c>
      <c r="K31" s="39"/>
      <c r="L31" s="39"/>
      <c r="M31" s="39"/>
      <c r="N31" s="39"/>
      <c r="O31" s="39"/>
      <c r="P31" s="39"/>
      <c r="Q31" s="39"/>
      <c r="R31" s="39">
        <v>3</v>
      </c>
      <c r="S31" s="10">
        <f t="shared" si="3"/>
        <v>3</v>
      </c>
      <c r="T31" s="10">
        <v>100000</v>
      </c>
      <c r="U31" s="10">
        <f t="shared" si="4"/>
        <v>300000</v>
      </c>
      <c r="V31" s="4"/>
      <c r="W31" s="4"/>
      <c r="X31" s="4"/>
      <c r="Y31" s="4"/>
      <c r="Z31" s="44" t="s">
        <v>53</v>
      </c>
    </row>
    <row r="32" spans="2:26" ht="18.75" hidden="1">
      <c r="B32" s="82"/>
      <c r="C32" s="60"/>
      <c r="D32" s="52" t="s">
        <v>56</v>
      </c>
      <c r="E32" s="63"/>
      <c r="F32" s="8">
        <v>0.66666666666666663</v>
      </c>
      <c r="G32" s="67" t="s">
        <v>77</v>
      </c>
      <c r="H32" s="68"/>
      <c r="I32" s="35">
        <v>45</v>
      </c>
      <c r="J32" s="9">
        <f t="shared" si="2"/>
        <v>4.4444444444444446E-2</v>
      </c>
      <c r="K32" s="39"/>
      <c r="L32" s="39"/>
      <c r="M32" s="39">
        <v>2</v>
      </c>
      <c r="N32" s="39"/>
      <c r="O32" s="39"/>
      <c r="P32" s="39"/>
      <c r="Q32" s="39"/>
      <c r="R32" s="39"/>
      <c r="S32" s="10">
        <f t="shared" si="3"/>
        <v>2</v>
      </c>
      <c r="T32" s="10">
        <v>100000</v>
      </c>
      <c r="U32" s="10">
        <f>T32*S32</f>
        <v>200000</v>
      </c>
      <c r="V32" s="4"/>
      <c r="W32" s="4"/>
      <c r="X32" s="4"/>
      <c r="Y32" s="4"/>
      <c r="Z32" s="44" t="s">
        <v>54</v>
      </c>
    </row>
    <row r="33" spans="2:26" ht="18.75" hidden="1">
      <c r="B33" s="82"/>
      <c r="C33" s="60"/>
      <c r="D33" s="52" t="s">
        <v>56</v>
      </c>
      <c r="E33" s="63"/>
      <c r="F33" s="8">
        <v>0.75</v>
      </c>
      <c r="G33" s="67" t="s">
        <v>77</v>
      </c>
      <c r="H33" s="68"/>
      <c r="I33" s="35">
        <v>35</v>
      </c>
      <c r="J33" s="9">
        <f t="shared" si="2"/>
        <v>5.7142857142857141E-2</v>
      </c>
      <c r="K33" s="39"/>
      <c r="L33" s="39"/>
      <c r="M33" s="39">
        <v>2</v>
      </c>
      <c r="N33" s="39"/>
      <c r="O33" s="39"/>
      <c r="P33" s="39"/>
      <c r="Q33" s="39"/>
      <c r="R33" s="39"/>
      <c r="S33" s="10">
        <f t="shared" si="3"/>
        <v>2</v>
      </c>
      <c r="T33" s="10">
        <v>100000</v>
      </c>
      <c r="U33" s="10">
        <f t="shared" ref="U33:U40" si="5">T33*S33</f>
        <v>200000</v>
      </c>
      <c r="V33" s="4"/>
      <c r="W33" s="4"/>
      <c r="X33" s="11"/>
      <c r="Y33" s="4"/>
      <c r="Z33" s="44" t="s">
        <v>40</v>
      </c>
    </row>
    <row r="34" spans="2:26" ht="18.75" hidden="1">
      <c r="B34" s="82"/>
      <c r="C34" s="60"/>
      <c r="D34" s="53" t="s">
        <v>56</v>
      </c>
      <c r="E34" s="64"/>
      <c r="F34" s="12">
        <v>0.83333333333333337</v>
      </c>
      <c r="G34" s="67" t="s">
        <v>77</v>
      </c>
      <c r="H34" s="68"/>
      <c r="I34" s="36">
        <v>50</v>
      </c>
      <c r="J34" s="9">
        <f t="shared" si="2"/>
        <v>0</v>
      </c>
      <c r="K34" s="41"/>
      <c r="L34" s="41"/>
      <c r="M34" s="41"/>
      <c r="N34" s="41"/>
      <c r="O34" s="41"/>
      <c r="P34" s="41"/>
      <c r="Q34" s="41"/>
      <c r="R34" s="41"/>
      <c r="S34" s="13">
        <f t="shared" si="3"/>
        <v>0</v>
      </c>
      <c r="T34" s="13">
        <v>100000</v>
      </c>
      <c r="U34" s="13">
        <f t="shared" si="5"/>
        <v>0</v>
      </c>
      <c r="V34" s="4"/>
      <c r="Y34" s="4"/>
      <c r="Z34" s="44" t="s">
        <v>41</v>
      </c>
    </row>
    <row r="35" spans="2:26" ht="18.75" hidden="1">
      <c r="B35" s="82"/>
      <c r="C35" s="60"/>
      <c r="D35" s="51" t="s">
        <v>56</v>
      </c>
      <c r="E35" s="62" t="s">
        <v>102</v>
      </c>
      <c r="F35" s="5">
        <v>0.91666666666666663</v>
      </c>
      <c r="G35" s="65" t="s">
        <v>87</v>
      </c>
      <c r="H35" s="66"/>
      <c r="I35" s="34">
        <v>50</v>
      </c>
      <c r="J35" s="6">
        <f t="shared" si="2"/>
        <v>0.08</v>
      </c>
      <c r="K35" s="38"/>
      <c r="L35" s="38"/>
      <c r="M35" s="38">
        <v>4</v>
      </c>
      <c r="N35" s="38"/>
      <c r="O35" s="38"/>
      <c r="P35" s="38"/>
      <c r="Q35" s="38"/>
      <c r="R35" s="38"/>
      <c r="S35" s="7">
        <f t="shared" si="3"/>
        <v>4</v>
      </c>
      <c r="T35" s="7">
        <v>100000</v>
      </c>
      <c r="U35" s="7">
        <f t="shared" si="5"/>
        <v>400000</v>
      </c>
      <c r="V35" s="4"/>
      <c r="Y35" s="4"/>
      <c r="Z35" s="44" t="s">
        <v>55</v>
      </c>
    </row>
    <row r="36" spans="2:26" ht="18.75" hidden="1">
      <c r="B36" s="82"/>
      <c r="C36" s="60"/>
      <c r="D36" s="52" t="s">
        <v>56</v>
      </c>
      <c r="E36" s="63"/>
      <c r="F36" s="8">
        <v>1</v>
      </c>
      <c r="G36" s="67" t="s">
        <v>87</v>
      </c>
      <c r="H36" s="68"/>
      <c r="I36" s="35">
        <v>52</v>
      </c>
      <c r="J36" s="9">
        <f t="shared" si="2"/>
        <v>3.8461538461538464E-2</v>
      </c>
      <c r="K36" s="39"/>
      <c r="L36" s="39"/>
      <c r="M36" s="39"/>
      <c r="N36" s="39"/>
      <c r="O36" s="39"/>
      <c r="P36" s="39"/>
      <c r="Q36" s="39"/>
      <c r="R36" s="39">
        <v>2</v>
      </c>
      <c r="S36" s="10">
        <f t="shared" si="3"/>
        <v>2</v>
      </c>
      <c r="T36" s="10">
        <v>100000</v>
      </c>
      <c r="U36" s="10">
        <f t="shared" si="5"/>
        <v>200000</v>
      </c>
      <c r="V36" s="4"/>
      <c r="Y36" s="4"/>
      <c r="Z36" s="44" t="s">
        <v>56</v>
      </c>
    </row>
    <row r="37" spans="2:26" ht="18.75" hidden="1">
      <c r="B37" s="82"/>
      <c r="C37" s="60"/>
      <c r="D37" s="52" t="s">
        <v>56</v>
      </c>
      <c r="E37" s="63"/>
      <c r="F37" s="8">
        <v>8.3333333333333329E-2</v>
      </c>
      <c r="G37" s="67" t="s">
        <v>87</v>
      </c>
      <c r="H37" s="68"/>
      <c r="I37" s="35">
        <v>52</v>
      </c>
      <c r="J37" s="9">
        <f t="shared" si="2"/>
        <v>0</v>
      </c>
      <c r="K37" s="39"/>
      <c r="L37" s="39"/>
      <c r="M37" s="39"/>
      <c r="N37" s="39"/>
      <c r="O37" s="39"/>
      <c r="P37" s="39"/>
      <c r="Q37" s="39"/>
      <c r="R37" s="39"/>
      <c r="S37" s="10">
        <f t="shared" si="3"/>
        <v>0</v>
      </c>
      <c r="T37" s="10">
        <v>100000</v>
      </c>
      <c r="U37" s="10">
        <f t="shared" si="5"/>
        <v>0</v>
      </c>
      <c r="V37" s="4"/>
      <c r="Y37" s="4"/>
      <c r="Z37" s="44" t="s">
        <v>38</v>
      </c>
    </row>
    <row r="38" spans="2:26" ht="18.75" hidden="1">
      <c r="B38" s="82"/>
      <c r="C38" s="60"/>
      <c r="D38" s="52" t="s">
        <v>56</v>
      </c>
      <c r="E38" s="63"/>
      <c r="F38" s="8">
        <v>0.16666666666666666</v>
      </c>
      <c r="G38" s="67" t="s">
        <v>87</v>
      </c>
      <c r="H38" s="68"/>
      <c r="I38" s="35">
        <v>52</v>
      </c>
      <c r="J38" s="9">
        <f t="shared" si="2"/>
        <v>0</v>
      </c>
      <c r="K38" s="39"/>
      <c r="L38" s="39"/>
      <c r="M38" s="39"/>
      <c r="N38" s="39"/>
      <c r="O38" s="39"/>
      <c r="P38" s="39"/>
      <c r="Q38" s="39"/>
      <c r="R38" s="39"/>
      <c r="S38" s="10">
        <f t="shared" si="3"/>
        <v>0</v>
      </c>
      <c r="T38" s="10">
        <v>100000</v>
      </c>
      <c r="U38" s="10">
        <f t="shared" si="5"/>
        <v>0</v>
      </c>
      <c r="V38" s="4"/>
      <c r="W38" s="4"/>
      <c r="X38" s="4"/>
      <c r="Y38" s="4"/>
      <c r="Z38" s="44" t="s">
        <v>39</v>
      </c>
    </row>
    <row r="39" spans="2:26" ht="18.75" hidden="1">
      <c r="B39" s="82"/>
      <c r="C39" s="60"/>
      <c r="D39" s="52" t="s">
        <v>56</v>
      </c>
      <c r="E39" s="63"/>
      <c r="F39" s="8">
        <v>0.25</v>
      </c>
      <c r="G39" s="67" t="s">
        <v>87</v>
      </c>
      <c r="H39" s="68"/>
      <c r="I39" s="35">
        <v>52</v>
      </c>
      <c r="J39" s="9">
        <f t="shared" si="2"/>
        <v>3.8461538461538464E-2</v>
      </c>
      <c r="K39" s="39"/>
      <c r="L39" s="39"/>
      <c r="M39" s="39"/>
      <c r="N39" s="39"/>
      <c r="O39" s="39"/>
      <c r="P39" s="39"/>
      <c r="Q39" s="39"/>
      <c r="R39" s="39">
        <v>2</v>
      </c>
      <c r="S39" s="10">
        <f t="shared" si="3"/>
        <v>2</v>
      </c>
      <c r="T39" s="10">
        <v>100000</v>
      </c>
      <c r="U39" s="10">
        <f t="shared" si="5"/>
        <v>200000</v>
      </c>
      <c r="V39" s="4"/>
      <c r="Y39" s="4"/>
      <c r="Z39" s="44" t="s">
        <v>57</v>
      </c>
    </row>
    <row r="40" spans="2:26" ht="18.75" hidden="1">
      <c r="B40" s="83"/>
      <c r="C40" s="60"/>
      <c r="D40" s="53" t="s">
        <v>56</v>
      </c>
      <c r="E40" s="64"/>
      <c r="F40" s="12">
        <v>0.33333333333333331</v>
      </c>
      <c r="G40" s="67" t="s">
        <v>87</v>
      </c>
      <c r="H40" s="68"/>
      <c r="I40" s="36">
        <v>52</v>
      </c>
      <c r="J40" s="9">
        <f t="shared" si="2"/>
        <v>0</v>
      </c>
      <c r="K40" s="41"/>
      <c r="L40" s="41"/>
      <c r="M40" s="41"/>
      <c r="N40" s="41"/>
      <c r="O40" s="41"/>
      <c r="P40" s="41"/>
      <c r="Q40" s="41"/>
      <c r="R40" s="41"/>
      <c r="S40" s="13">
        <f t="shared" si="3"/>
        <v>0</v>
      </c>
      <c r="T40" s="13">
        <v>100000</v>
      </c>
      <c r="U40" s="13">
        <f t="shared" si="5"/>
        <v>0</v>
      </c>
      <c r="V40" s="4"/>
      <c r="W40" s="4"/>
      <c r="X40" s="4"/>
      <c r="Y40" s="4"/>
      <c r="Z40" s="44" t="s">
        <v>58</v>
      </c>
    </row>
    <row r="41" spans="2:26" ht="18.600000000000001" hidden="1" customHeight="1">
      <c r="B41" s="82">
        <v>46084</v>
      </c>
      <c r="C41" s="59" t="s">
        <v>16</v>
      </c>
      <c r="D41" s="51" t="s">
        <v>60</v>
      </c>
      <c r="E41" s="62" t="s">
        <v>101</v>
      </c>
      <c r="F41" s="5">
        <v>0.41666666666666669</v>
      </c>
      <c r="G41" s="65" t="s">
        <v>74</v>
      </c>
      <c r="H41" s="66"/>
      <c r="I41" s="34">
        <v>0</v>
      </c>
      <c r="J41" s="6" t="str">
        <f t="shared" si="2"/>
        <v/>
      </c>
      <c r="K41" s="38"/>
      <c r="L41" s="38"/>
      <c r="M41" s="38"/>
      <c r="N41" s="38"/>
      <c r="O41" s="38"/>
      <c r="P41" s="38"/>
      <c r="Q41" s="38">
        <v>10</v>
      </c>
      <c r="R41" s="38"/>
      <c r="S41" s="7">
        <f>SUM(K41:R41)</f>
        <v>10</v>
      </c>
      <c r="T41" s="7">
        <v>100000</v>
      </c>
      <c r="U41" s="7">
        <f>T41*S41</f>
        <v>1000000</v>
      </c>
      <c r="V41" s="4"/>
      <c r="W41" s="4"/>
      <c r="X41" s="4"/>
      <c r="Y41" s="4"/>
      <c r="Z41" s="44" t="s">
        <v>59</v>
      </c>
    </row>
    <row r="42" spans="2:26" ht="18.75" hidden="1">
      <c r="B42" s="82"/>
      <c r="C42" s="60"/>
      <c r="D42" s="52" t="s">
        <v>60</v>
      </c>
      <c r="E42" s="63"/>
      <c r="F42" s="8">
        <v>0.5</v>
      </c>
      <c r="G42" s="67" t="s">
        <v>74</v>
      </c>
      <c r="H42" s="68"/>
      <c r="I42" s="35">
        <v>0</v>
      </c>
      <c r="J42" s="9" t="str">
        <f t="shared" si="2"/>
        <v/>
      </c>
      <c r="K42" s="39"/>
      <c r="L42" s="39"/>
      <c r="M42" s="39"/>
      <c r="N42" s="39"/>
      <c r="O42" s="39"/>
      <c r="P42" s="39"/>
      <c r="Q42" s="39"/>
      <c r="R42" s="39"/>
      <c r="S42" s="10">
        <f t="shared" ref="S42:S52" si="6">SUM(K42:R42)</f>
        <v>0</v>
      </c>
      <c r="T42" s="10">
        <v>100000</v>
      </c>
      <c r="U42" s="10">
        <f t="shared" ref="U42:U43" si="7">T42*S42</f>
        <v>0</v>
      </c>
      <c r="V42" s="4"/>
      <c r="W42" s="4"/>
      <c r="X42" s="4"/>
      <c r="Y42" s="4"/>
      <c r="Z42" s="44" t="s">
        <v>60</v>
      </c>
    </row>
    <row r="43" spans="2:26" ht="18.75" hidden="1">
      <c r="B43" s="82"/>
      <c r="C43" s="60"/>
      <c r="D43" s="52" t="s">
        <v>60</v>
      </c>
      <c r="E43" s="63"/>
      <c r="F43" s="8">
        <v>0.58333333333333337</v>
      </c>
      <c r="G43" s="67" t="s">
        <v>74</v>
      </c>
      <c r="H43" s="68"/>
      <c r="I43" s="35">
        <v>0</v>
      </c>
      <c r="J43" s="9" t="str">
        <f t="shared" si="2"/>
        <v/>
      </c>
      <c r="K43" s="39"/>
      <c r="L43" s="39"/>
      <c r="M43" s="39"/>
      <c r="N43" s="39"/>
      <c r="O43" s="39"/>
      <c r="P43" s="39"/>
      <c r="Q43" s="39"/>
      <c r="R43" s="39"/>
      <c r="S43" s="10">
        <f t="shared" si="6"/>
        <v>0</v>
      </c>
      <c r="T43" s="10">
        <v>100000</v>
      </c>
      <c r="U43" s="10">
        <f t="shared" si="7"/>
        <v>0</v>
      </c>
      <c r="V43" s="4"/>
      <c r="W43" s="4"/>
      <c r="X43" s="4"/>
      <c r="Y43" s="4"/>
      <c r="Z43" s="44" t="s">
        <v>42</v>
      </c>
    </row>
    <row r="44" spans="2:26" ht="18.75" hidden="1">
      <c r="B44" s="82"/>
      <c r="C44" s="60"/>
      <c r="D44" s="52" t="s">
        <v>60</v>
      </c>
      <c r="E44" s="63"/>
      <c r="F44" s="8">
        <v>0.66666666666666663</v>
      </c>
      <c r="G44" s="67" t="s">
        <v>74</v>
      </c>
      <c r="H44" s="68"/>
      <c r="I44" s="35">
        <v>30</v>
      </c>
      <c r="J44" s="9">
        <f t="shared" si="2"/>
        <v>0.23333333333333334</v>
      </c>
      <c r="K44" s="39"/>
      <c r="L44" s="39"/>
      <c r="M44" s="39"/>
      <c r="N44" s="39"/>
      <c r="O44" s="39"/>
      <c r="P44" s="39"/>
      <c r="Q44" s="39"/>
      <c r="R44" s="39">
        <v>7</v>
      </c>
      <c r="S44" s="10">
        <f t="shared" si="6"/>
        <v>7</v>
      </c>
      <c r="T44" s="10">
        <v>100000</v>
      </c>
      <c r="U44" s="10">
        <f>T44*S44</f>
        <v>700000</v>
      </c>
      <c r="V44" s="4"/>
      <c r="W44" s="4"/>
      <c r="X44" s="4"/>
      <c r="Y44" s="4"/>
      <c r="Z44" s="44" t="s">
        <v>43</v>
      </c>
    </row>
    <row r="45" spans="2:26" ht="18.75" hidden="1">
      <c r="B45" s="82"/>
      <c r="C45" s="60"/>
      <c r="D45" s="52" t="s">
        <v>60</v>
      </c>
      <c r="E45" s="63"/>
      <c r="F45" s="8">
        <v>0.75</v>
      </c>
      <c r="G45" s="67" t="s">
        <v>74</v>
      </c>
      <c r="H45" s="68"/>
      <c r="I45" s="35">
        <v>40</v>
      </c>
      <c r="J45" s="9">
        <f t="shared" si="2"/>
        <v>0.1</v>
      </c>
      <c r="K45" s="39"/>
      <c r="L45" s="39"/>
      <c r="M45" s="39">
        <v>4</v>
      </c>
      <c r="N45" s="39"/>
      <c r="O45" s="39"/>
      <c r="P45" s="39"/>
      <c r="Q45" s="39"/>
      <c r="R45" s="39"/>
      <c r="S45" s="10">
        <f t="shared" si="6"/>
        <v>4</v>
      </c>
      <c r="T45" s="10">
        <v>100000</v>
      </c>
      <c r="U45" s="10">
        <f t="shared" ref="U45:U52" si="8">T45*S45</f>
        <v>400000</v>
      </c>
      <c r="V45" s="4"/>
      <c r="W45" s="4"/>
      <c r="X45" s="11"/>
      <c r="Y45" s="4"/>
      <c r="Z45" s="45"/>
    </row>
    <row r="46" spans="2:26" ht="18.75" hidden="1">
      <c r="B46" s="82"/>
      <c r="C46" s="60"/>
      <c r="D46" s="53" t="s">
        <v>60</v>
      </c>
      <c r="E46" s="64"/>
      <c r="F46" s="12">
        <v>0.83333333333333337</v>
      </c>
      <c r="G46" s="67" t="s">
        <v>74</v>
      </c>
      <c r="H46" s="68"/>
      <c r="I46" s="36">
        <v>50</v>
      </c>
      <c r="J46" s="9">
        <f t="shared" si="2"/>
        <v>0.1</v>
      </c>
      <c r="K46" s="41"/>
      <c r="L46" s="41"/>
      <c r="M46" s="41"/>
      <c r="N46" s="41"/>
      <c r="O46" s="41"/>
      <c r="P46" s="41"/>
      <c r="Q46" s="41"/>
      <c r="R46" s="41">
        <v>5</v>
      </c>
      <c r="S46" s="13">
        <f t="shared" si="6"/>
        <v>5</v>
      </c>
      <c r="T46" s="13">
        <v>100000</v>
      </c>
      <c r="U46" s="13">
        <f t="shared" si="8"/>
        <v>500000</v>
      </c>
      <c r="V46" s="4"/>
      <c r="Y46" s="4"/>
      <c r="Z46" s="45"/>
    </row>
    <row r="47" spans="2:26" ht="18.75" hidden="1">
      <c r="B47" s="82"/>
      <c r="C47" s="60"/>
      <c r="D47" s="51" t="s">
        <v>60</v>
      </c>
      <c r="E47" s="62" t="s">
        <v>102</v>
      </c>
      <c r="F47" s="5">
        <v>0.91666666666666663</v>
      </c>
      <c r="G47" s="65" t="s">
        <v>83</v>
      </c>
      <c r="H47" s="66"/>
      <c r="I47" s="34">
        <v>60</v>
      </c>
      <c r="J47" s="6">
        <f t="shared" si="2"/>
        <v>1.6666666666666666E-2</v>
      </c>
      <c r="K47" s="38">
        <v>1</v>
      </c>
      <c r="L47" s="38"/>
      <c r="M47" s="38"/>
      <c r="N47" s="38"/>
      <c r="O47" s="38"/>
      <c r="P47" s="38"/>
      <c r="Q47" s="38"/>
      <c r="R47" s="38"/>
      <c r="S47" s="7">
        <f t="shared" si="6"/>
        <v>1</v>
      </c>
      <c r="T47" s="7">
        <v>100000</v>
      </c>
      <c r="U47" s="7">
        <f t="shared" si="8"/>
        <v>100000</v>
      </c>
      <c r="V47" s="4"/>
      <c r="Y47" s="4"/>
      <c r="Z47" s="45"/>
    </row>
    <row r="48" spans="2:26" ht="18.75" hidden="1">
      <c r="B48" s="82"/>
      <c r="C48" s="60"/>
      <c r="D48" s="52" t="s">
        <v>60</v>
      </c>
      <c r="E48" s="63"/>
      <c r="F48" s="8">
        <v>1</v>
      </c>
      <c r="G48" s="67" t="s">
        <v>83</v>
      </c>
      <c r="H48" s="68"/>
      <c r="I48" s="35">
        <v>20</v>
      </c>
      <c r="J48" s="9">
        <f t="shared" si="2"/>
        <v>0.05</v>
      </c>
      <c r="K48" s="39">
        <v>1</v>
      </c>
      <c r="L48" s="39"/>
      <c r="M48" s="39"/>
      <c r="N48" s="39"/>
      <c r="O48" s="39"/>
      <c r="P48" s="39"/>
      <c r="Q48" s="39"/>
      <c r="R48" s="39"/>
      <c r="S48" s="10">
        <f t="shared" si="6"/>
        <v>1</v>
      </c>
      <c r="T48" s="10">
        <v>100000</v>
      </c>
      <c r="U48" s="10">
        <f t="shared" si="8"/>
        <v>100000</v>
      </c>
      <c r="V48" s="4"/>
      <c r="Y48" s="4"/>
      <c r="Z48" s="45"/>
    </row>
    <row r="49" spans="2:26" ht="18.75" hidden="1">
      <c r="B49" s="82"/>
      <c r="C49" s="60"/>
      <c r="D49" s="52" t="s">
        <v>59</v>
      </c>
      <c r="E49" s="63"/>
      <c r="F49" s="8">
        <v>8.3333333333333329E-2</v>
      </c>
      <c r="G49" s="67" t="s">
        <v>83</v>
      </c>
      <c r="H49" s="68"/>
      <c r="I49" s="35">
        <v>30</v>
      </c>
      <c r="J49" s="9">
        <f t="shared" si="2"/>
        <v>0.23333333333333334</v>
      </c>
      <c r="K49" s="39">
        <v>1</v>
      </c>
      <c r="L49" s="39"/>
      <c r="M49" s="39"/>
      <c r="N49" s="39"/>
      <c r="O49" s="39"/>
      <c r="P49" s="39"/>
      <c r="Q49" s="39">
        <v>6</v>
      </c>
      <c r="R49" s="39"/>
      <c r="S49" s="10">
        <f t="shared" si="6"/>
        <v>7</v>
      </c>
      <c r="T49" s="10">
        <v>100000</v>
      </c>
      <c r="U49" s="10">
        <f t="shared" si="8"/>
        <v>700000</v>
      </c>
      <c r="V49" s="4"/>
      <c r="Y49" s="4"/>
      <c r="Z49" s="45"/>
    </row>
    <row r="50" spans="2:26" ht="18.75" hidden="1">
      <c r="B50" s="82"/>
      <c r="C50" s="60"/>
      <c r="D50" s="52" t="s">
        <v>59</v>
      </c>
      <c r="E50" s="63"/>
      <c r="F50" s="8">
        <v>0.16666666666666666</v>
      </c>
      <c r="G50" s="67" t="s">
        <v>83</v>
      </c>
      <c r="H50" s="68"/>
      <c r="I50" s="35">
        <v>50</v>
      </c>
      <c r="J50" s="9">
        <f t="shared" si="2"/>
        <v>0.02</v>
      </c>
      <c r="K50" s="39"/>
      <c r="L50" s="39"/>
      <c r="M50" s="39"/>
      <c r="N50" s="39"/>
      <c r="O50" s="39"/>
      <c r="P50" s="39"/>
      <c r="Q50" s="39"/>
      <c r="R50" s="39">
        <v>1</v>
      </c>
      <c r="S50" s="10">
        <f t="shared" si="6"/>
        <v>1</v>
      </c>
      <c r="T50" s="10">
        <v>100000</v>
      </c>
      <c r="U50" s="10">
        <f t="shared" si="8"/>
        <v>100000</v>
      </c>
      <c r="V50" s="4"/>
      <c r="W50" s="4"/>
      <c r="X50" s="4"/>
      <c r="Y50" s="4"/>
      <c r="Z50" s="45"/>
    </row>
    <row r="51" spans="2:26" ht="18.75" hidden="1">
      <c r="B51" s="82"/>
      <c r="C51" s="60"/>
      <c r="D51" s="52" t="s">
        <v>59</v>
      </c>
      <c r="E51" s="63"/>
      <c r="F51" s="8">
        <v>0.25</v>
      </c>
      <c r="G51" s="67" t="s">
        <v>83</v>
      </c>
      <c r="H51" s="68"/>
      <c r="I51" s="35">
        <v>30</v>
      </c>
      <c r="J51" s="9">
        <f t="shared" si="2"/>
        <v>3.3333333333333333E-2</v>
      </c>
      <c r="K51" s="39"/>
      <c r="L51" s="39"/>
      <c r="M51" s="39"/>
      <c r="N51" s="39"/>
      <c r="O51" s="39"/>
      <c r="P51" s="39"/>
      <c r="Q51" s="39"/>
      <c r="R51" s="39">
        <v>1</v>
      </c>
      <c r="S51" s="10">
        <f t="shared" si="6"/>
        <v>1</v>
      </c>
      <c r="T51" s="10">
        <v>100000</v>
      </c>
      <c r="U51" s="10">
        <f t="shared" si="8"/>
        <v>100000</v>
      </c>
      <c r="V51" s="4"/>
      <c r="Y51" s="4"/>
      <c r="Z51" s="45"/>
    </row>
    <row r="52" spans="2:26" ht="18.75" hidden="1">
      <c r="B52" s="82"/>
      <c r="C52" s="60"/>
      <c r="D52" s="53" t="s">
        <v>59</v>
      </c>
      <c r="E52" s="64"/>
      <c r="F52" s="12">
        <v>0.33333333333333331</v>
      </c>
      <c r="G52" s="67" t="s">
        <v>83</v>
      </c>
      <c r="H52" s="68"/>
      <c r="I52" s="36">
        <v>50</v>
      </c>
      <c r="J52" s="9">
        <f t="shared" si="2"/>
        <v>0.04</v>
      </c>
      <c r="K52" s="41"/>
      <c r="L52" s="41"/>
      <c r="M52" s="41"/>
      <c r="N52" s="41"/>
      <c r="O52" s="41"/>
      <c r="P52" s="41"/>
      <c r="Q52" s="41"/>
      <c r="R52" s="41">
        <v>2</v>
      </c>
      <c r="S52" s="13">
        <f t="shared" si="6"/>
        <v>2</v>
      </c>
      <c r="T52" s="13">
        <v>100000</v>
      </c>
      <c r="U52" s="13">
        <f t="shared" si="8"/>
        <v>200000</v>
      </c>
      <c r="V52" s="4"/>
      <c r="W52" s="4"/>
      <c r="X52" s="4"/>
      <c r="Y52" s="4"/>
      <c r="Z52" s="45"/>
    </row>
    <row r="53" spans="2:26" ht="16.5" hidden="1" customHeight="1">
      <c r="B53" s="58">
        <v>46085</v>
      </c>
      <c r="C53" s="59" t="s">
        <v>16</v>
      </c>
      <c r="D53" s="51" t="s">
        <v>59</v>
      </c>
      <c r="E53" s="62" t="s">
        <v>101</v>
      </c>
      <c r="F53" s="5">
        <v>0.41666666666666669</v>
      </c>
      <c r="G53" s="65" t="s">
        <v>75</v>
      </c>
      <c r="H53" s="66"/>
      <c r="I53" s="34">
        <v>40</v>
      </c>
      <c r="J53" s="6">
        <f t="shared" si="2"/>
        <v>0.125</v>
      </c>
      <c r="K53" s="38"/>
      <c r="L53" s="38"/>
      <c r="M53" s="38"/>
      <c r="N53" s="38"/>
      <c r="O53" s="38"/>
      <c r="P53" s="38"/>
      <c r="Q53" s="38"/>
      <c r="R53" s="38">
        <v>5</v>
      </c>
      <c r="S53" s="7">
        <f>SUM(K53:R53)</f>
        <v>5</v>
      </c>
      <c r="T53" s="7">
        <v>100000</v>
      </c>
      <c r="U53" s="7">
        <f>T53*S53</f>
        <v>500000</v>
      </c>
      <c r="V53" s="4"/>
      <c r="W53" s="4"/>
      <c r="X53" s="4"/>
      <c r="Y53" s="4"/>
      <c r="Z53" s="45"/>
    </row>
    <row r="54" spans="2:26" ht="18.75" hidden="1">
      <c r="B54" s="58"/>
      <c r="C54" s="60"/>
      <c r="D54" s="52" t="s">
        <v>59</v>
      </c>
      <c r="E54" s="63"/>
      <c r="F54" s="8">
        <v>0.5</v>
      </c>
      <c r="G54" s="67" t="s">
        <v>75</v>
      </c>
      <c r="H54" s="68"/>
      <c r="I54" s="35">
        <v>0</v>
      </c>
      <c r="J54" s="9" t="str">
        <f t="shared" si="2"/>
        <v/>
      </c>
      <c r="K54" s="39"/>
      <c r="L54" s="39"/>
      <c r="M54" s="39"/>
      <c r="N54" s="39"/>
      <c r="O54" s="39"/>
      <c r="P54" s="39"/>
      <c r="Q54" s="39"/>
      <c r="R54" s="39"/>
      <c r="S54" s="10">
        <f t="shared" ref="S54:S64" si="9">SUM(K54:R54)</f>
        <v>0</v>
      </c>
      <c r="T54" s="10">
        <v>100000</v>
      </c>
      <c r="U54" s="10">
        <f t="shared" ref="U54:U55" si="10">T54*S54</f>
        <v>0</v>
      </c>
      <c r="V54" s="4"/>
      <c r="W54" s="4"/>
      <c r="X54" s="4"/>
      <c r="Y54" s="4"/>
      <c r="Z54" s="45"/>
    </row>
    <row r="55" spans="2:26" ht="18.75" hidden="1">
      <c r="B55" s="58"/>
      <c r="C55" s="60"/>
      <c r="D55" s="52" t="s">
        <v>59</v>
      </c>
      <c r="E55" s="63"/>
      <c r="F55" s="8">
        <v>0.58333333333333337</v>
      </c>
      <c r="G55" s="67" t="s">
        <v>75</v>
      </c>
      <c r="H55" s="68"/>
      <c r="I55" s="35">
        <v>0</v>
      </c>
      <c r="J55" s="9" t="str">
        <f t="shared" si="2"/>
        <v/>
      </c>
      <c r="K55" s="39"/>
      <c r="L55" s="39"/>
      <c r="M55" s="39"/>
      <c r="N55" s="39"/>
      <c r="O55" s="39"/>
      <c r="P55" s="39"/>
      <c r="Q55" s="39"/>
      <c r="R55" s="39"/>
      <c r="S55" s="10">
        <f t="shared" si="9"/>
        <v>0</v>
      </c>
      <c r="T55" s="10">
        <v>100000</v>
      </c>
      <c r="U55" s="10">
        <f t="shared" si="10"/>
        <v>0</v>
      </c>
      <c r="V55" s="4"/>
      <c r="W55" s="4"/>
      <c r="X55" s="4"/>
      <c r="Y55" s="4"/>
      <c r="Z55" s="45"/>
    </row>
    <row r="56" spans="2:26" ht="37.5" hidden="1">
      <c r="B56" s="58"/>
      <c r="C56" s="60"/>
      <c r="D56" s="52" t="s">
        <v>52</v>
      </c>
      <c r="E56" s="63"/>
      <c r="F56" s="8">
        <v>0.66666666666666663</v>
      </c>
      <c r="G56" s="67" t="s">
        <v>75</v>
      </c>
      <c r="H56" s="68"/>
      <c r="I56" s="35">
        <v>40</v>
      </c>
      <c r="J56" s="9">
        <f t="shared" si="2"/>
        <v>0.4</v>
      </c>
      <c r="K56" s="39"/>
      <c r="L56" s="39"/>
      <c r="M56" s="39"/>
      <c r="N56" s="39"/>
      <c r="O56" s="39"/>
      <c r="P56" s="39"/>
      <c r="Q56" s="39">
        <v>10</v>
      </c>
      <c r="R56" s="39">
        <v>6</v>
      </c>
      <c r="S56" s="10">
        <f t="shared" si="9"/>
        <v>16</v>
      </c>
      <c r="T56" s="10">
        <v>100000</v>
      </c>
      <c r="U56" s="10">
        <f>T56*S56</f>
        <v>1600000</v>
      </c>
      <c r="V56" s="4"/>
      <c r="W56" s="4"/>
      <c r="X56" s="4"/>
      <c r="Y56" s="4"/>
      <c r="Z56" s="45"/>
    </row>
    <row r="57" spans="2:26" ht="37.5" hidden="1">
      <c r="B57" s="58"/>
      <c r="C57" s="60"/>
      <c r="D57" s="52" t="s">
        <v>52</v>
      </c>
      <c r="E57" s="63"/>
      <c r="F57" s="8">
        <v>0.75</v>
      </c>
      <c r="G57" s="67" t="s">
        <v>75</v>
      </c>
      <c r="H57" s="68"/>
      <c r="I57" s="35">
        <v>30</v>
      </c>
      <c r="J57" s="9">
        <f t="shared" si="2"/>
        <v>0.23333333333333334</v>
      </c>
      <c r="K57" s="39"/>
      <c r="L57" s="39"/>
      <c r="M57" s="39"/>
      <c r="N57" s="39"/>
      <c r="O57" s="39"/>
      <c r="P57" s="39"/>
      <c r="Q57" s="39"/>
      <c r="R57" s="39">
        <v>7</v>
      </c>
      <c r="S57" s="10">
        <f t="shared" si="9"/>
        <v>7</v>
      </c>
      <c r="T57" s="10">
        <v>100000</v>
      </c>
      <c r="U57" s="10">
        <f t="shared" ref="U57:U64" si="11">T57*S57</f>
        <v>700000</v>
      </c>
      <c r="V57" s="4"/>
      <c r="W57" s="4"/>
      <c r="X57" s="11"/>
      <c r="Y57" s="4"/>
      <c r="Z57" s="45"/>
    </row>
    <row r="58" spans="2:26" ht="37.5" hidden="1">
      <c r="B58" s="58"/>
      <c r="C58" s="60"/>
      <c r="D58" s="53" t="s">
        <v>52</v>
      </c>
      <c r="E58" s="64"/>
      <c r="F58" s="12">
        <v>0.83333333333333337</v>
      </c>
      <c r="G58" s="67" t="s">
        <v>75</v>
      </c>
      <c r="H58" s="68"/>
      <c r="I58" s="36">
        <v>30</v>
      </c>
      <c r="J58" s="9">
        <f t="shared" si="2"/>
        <v>0</v>
      </c>
      <c r="K58" s="41"/>
      <c r="L58" s="41"/>
      <c r="M58" s="41"/>
      <c r="N58" s="41"/>
      <c r="O58" s="41"/>
      <c r="P58" s="41"/>
      <c r="Q58" s="41"/>
      <c r="R58" s="41"/>
      <c r="S58" s="13">
        <f t="shared" si="9"/>
        <v>0</v>
      </c>
      <c r="T58" s="13">
        <v>100000</v>
      </c>
      <c r="U58" s="13">
        <f t="shared" si="11"/>
        <v>0</v>
      </c>
      <c r="V58" s="4"/>
      <c r="Y58" s="4"/>
      <c r="Z58" s="45"/>
    </row>
    <row r="59" spans="2:26" ht="37.5" hidden="1">
      <c r="B59" s="58"/>
      <c r="C59" s="60"/>
      <c r="D59" s="51" t="s">
        <v>47</v>
      </c>
      <c r="E59" s="62" t="s">
        <v>102</v>
      </c>
      <c r="F59" s="5">
        <v>0.91666666666666663</v>
      </c>
      <c r="G59" s="65" t="s">
        <v>88</v>
      </c>
      <c r="H59" s="66"/>
      <c r="I59" s="34">
        <v>10</v>
      </c>
      <c r="J59" s="6">
        <f t="shared" si="2"/>
        <v>0.7</v>
      </c>
      <c r="K59" s="38"/>
      <c r="L59" s="38"/>
      <c r="M59" s="38"/>
      <c r="N59" s="38"/>
      <c r="O59" s="38"/>
      <c r="P59" s="38"/>
      <c r="Q59" s="38">
        <v>6</v>
      </c>
      <c r="R59" s="38">
        <v>1</v>
      </c>
      <c r="S59" s="7">
        <f t="shared" si="9"/>
        <v>7</v>
      </c>
      <c r="T59" s="7">
        <v>100000</v>
      </c>
      <c r="U59" s="7">
        <f t="shared" si="11"/>
        <v>700000</v>
      </c>
      <c r="V59" s="4"/>
      <c r="Y59" s="4"/>
      <c r="Z59" s="45"/>
    </row>
    <row r="60" spans="2:26" ht="37.5" hidden="1">
      <c r="B60" s="58"/>
      <c r="C60" s="60"/>
      <c r="D60" s="52" t="s">
        <v>47</v>
      </c>
      <c r="E60" s="63"/>
      <c r="F60" s="8">
        <v>1</v>
      </c>
      <c r="G60" s="67" t="s">
        <v>88</v>
      </c>
      <c r="H60" s="68"/>
      <c r="I60" s="35">
        <v>78</v>
      </c>
      <c r="J60" s="9">
        <f t="shared" si="2"/>
        <v>1.282051282051282E-2</v>
      </c>
      <c r="K60" s="39"/>
      <c r="L60" s="39"/>
      <c r="M60" s="39"/>
      <c r="N60" s="39"/>
      <c r="O60" s="39"/>
      <c r="P60" s="39"/>
      <c r="Q60" s="39"/>
      <c r="R60" s="39">
        <v>1</v>
      </c>
      <c r="S60" s="10">
        <f t="shared" si="9"/>
        <v>1</v>
      </c>
      <c r="T60" s="10">
        <v>100000</v>
      </c>
      <c r="U60" s="10">
        <f t="shared" si="11"/>
        <v>100000</v>
      </c>
      <c r="V60" s="4"/>
      <c r="Y60" s="4"/>
      <c r="Z60" s="45"/>
    </row>
    <row r="61" spans="2:26" ht="37.5" hidden="1">
      <c r="B61" s="58"/>
      <c r="C61" s="60"/>
      <c r="D61" s="52" t="s">
        <v>47</v>
      </c>
      <c r="E61" s="63"/>
      <c r="F61" s="8">
        <v>8.3333333333333329E-2</v>
      </c>
      <c r="G61" s="67" t="s">
        <v>88</v>
      </c>
      <c r="H61" s="68"/>
      <c r="I61" s="35">
        <v>78</v>
      </c>
      <c r="J61" s="9">
        <f t="shared" si="2"/>
        <v>1.282051282051282E-2</v>
      </c>
      <c r="K61" s="39"/>
      <c r="L61" s="39"/>
      <c r="M61" s="39"/>
      <c r="N61" s="39"/>
      <c r="O61" s="39"/>
      <c r="P61" s="39"/>
      <c r="Q61" s="39"/>
      <c r="R61" s="39">
        <v>1</v>
      </c>
      <c r="S61" s="10">
        <f t="shared" si="9"/>
        <v>1</v>
      </c>
      <c r="T61" s="10">
        <v>100000</v>
      </c>
      <c r="U61" s="10">
        <f t="shared" si="11"/>
        <v>100000</v>
      </c>
      <c r="V61" s="4"/>
      <c r="Y61" s="4"/>
      <c r="Z61" s="46"/>
    </row>
    <row r="62" spans="2:26" ht="37.5" hidden="1">
      <c r="B62" s="58"/>
      <c r="C62" s="60"/>
      <c r="D62" s="52" t="s">
        <v>47</v>
      </c>
      <c r="E62" s="63"/>
      <c r="F62" s="8">
        <v>0.16666666666666666</v>
      </c>
      <c r="G62" s="67" t="s">
        <v>88</v>
      </c>
      <c r="H62" s="68"/>
      <c r="I62" s="35">
        <v>78</v>
      </c>
      <c r="J62" s="9">
        <f t="shared" si="2"/>
        <v>0</v>
      </c>
      <c r="K62" s="39"/>
      <c r="L62" s="39"/>
      <c r="M62" s="39"/>
      <c r="N62" s="39"/>
      <c r="O62" s="39"/>
      <c r="P62" s="39"/>
      <c r="Q62" s="39"/>
      <c r="R62" s="39"/>
      <c r="S62" s="10">
        <f t="shared" si="9"/>
        <v>0</v>
      </c>
      <c r="T62" s="10">
        <v>100000</v>
      </c>
      <c r="U62" s="10">
        <f t="shared" si="11"/>
        <v>0</v>
      </c>
      <c r="V62" s="4"/>
      <c r="W62" s="4"/>
      <c r="X62" s="4"/>
      <c r="Y62" s="4"/>
    </row>
    <row r="63" spans="2:26" ht="37.5" hidden="1">
      <c r="B63" s="58"/>
      <c r="C63" s="60"/>
      <c r="D63" s="52" t="s">
        <v>47</v>
      </c>
      <c r="E63" s="63"/>
      <c r="F63" s="8">
        <v>0.25</v>
      </c>
      <c r="G63" s="67" t="s">
        <v>88</v>
      </c>
      <c r="H63" s="68"/>
      <c r="I63" s="35">
        <v>78</v>
      </c>
      <c r="J63" s="9">
        <f t="shared" si="2"/>
        <v>0</v>
      </c>
      <c r="K63" s="39"/>
      <c r="L63" s="39"/>
      <c r="M63" s="39"/>
      <c r="N63" s="39"/>
      <c r="O63" s="39"/>
      <c r="P63" s="39"/>
      <c r="Q63" s="39"/>
      <c r="R63" s="39"/>
      <c r="S63" s="10">
        <f t="shared" si="9"/>
        <v>0</v>
      </c>
      <c r="T63" s="10">
        <v>100000</v>
      </c>
      <c r="U63" s="10">
        <f t="shared" si="11"/>
        <v>0</v>
      </c>
      <c r="V63" s="4"/>
      <c r="Y63" s="4"/>
    </row>
    <row r="64" spans="2:26" ht="37.5" hidden="1">
      <c r="B64" s="58"/>
      <c r="C64" s="60"/>
      <c r="D64" s="53" t="s">
        <v>47</v>
      </c>
      <c r="E64" s="64"/>
      <c r="F64" s="14">
        <v>0.33333333333333331</v>
      </c>
      <c r="G64" s="67" t="s">
        <v>88</v>
      </c>
      <c r="H64" s="68"/>
      <c r="I64" s="37">
        <v>78</v>
      </c>
      <c r="J64" s="9">
        <f t="shared" si="2"/>
        <v>0</v>
      </c>
      <c r="K64" s="40"/>
      <c r="L64" s="40"/>
      <c r="M64" s="40"/>
      <c r="N64" s="40"/>
      <c r="O64" s="40"/>
      <c r="P64" s="40"/>
      <c r="Q64" s="40"/>
      <c r="R64" s="40"/>
      <c r="S64" s="16">
        <f t="shared" si="9"/>
        <v>0</v>
      </c>
      <c r="T64" s="16">
        <v>100000</v>
      </c>
      <c r="U64" s="16">
        <f t="shared" si="11"/>
        <v>0</v>
      </c>
      <c r="V64" s="4"/>
      <c r="W64" s="4"/>
      <c r="X64" s="4"/>
      <c r="Y64" s="4"/>
    </row>
    <row r="65" spans="2:25" ht="33.75" hidden="1" customHeight="1">
      <c r="B65" s="58">
        <v>46086</v>
      </c>
      <c r="C65" s="59" t="s">
        <v>16</v>
      </c>
      <c r="D65" s="51" t="s">
        <v>47</v>
      </c>
      <c r="E65" s="62" t="s">
        <v>101</v>
      </c>
      <c r="F65" s="5">
        <v>0.41666666666666669</v>
      </c>
      <c r="G65" s="65" t="s">
        <v>77</v>
      </c>
      <c r="H65" s="66"/>
      <c r="I65" s="34">
        <v>80</v>
      </c>
      <c r="J65" s="6">
        <f t="shared" si="2"/>
        <v>2.5000000000000001E-2</v>
      </c>
      <c r="K65" s="38"/>
      <c r="L65" s="38"/>
      <c r="M65" s="38"/>
      <c r="N65" s="38"/>
      <c r="O65" s="38"/>
      <c r="P65" s="38"/>
      <c r="Q65" s="38"/>
      <c r="R65" s="38">
        <v>2</v>
      </c>
      <c r="S65" s="7">
        <f>SUM(K65:R65)</f>
        <v>2</v>
      </c>
      <c r="T65" s="7">
        <v>100000</v>
      </c>
      <c r="U65" s="7">
        <f>T65*S65</f>
        <v>200000</v>
      </c>
      <c r="V65" s="4"/>
      <c r="W65" s="4"/>
      <c r="X65" s="4"/>
      <c r="Y65" s="4"/>
    </row>
    <row r="66" spans="2:25" ht="37.5" hidden="1">
      <c r="B66" s="58"/>
      <c r="C66" s="60"/>
      <c r="D66" s="52" t="s">
        <v>47</v>
      </c>
      <c r="E66" s="63"/>
      <c r="F66" s="8">
        <v>0.5</v>
      </c>
      <c r="G66" s="67" t="s">
        <v>77</v>
      </c>
      <c r="H66" s="68"/>
      <c r="I66" s="35">
        <v>75</v>
      </c>
      <c r="J66" s="9">
        <f t="shared" si="2"/>
        <v>0</v>
      </c>
      <c r="K66" s="39"/>
      <c r="L66" s="39"/>
      <c r="M66" s="39"/>
      <c r="N66" s="39"/>
      <c r="O66" s="39"/>
      <c r="P66" s="39"/>
      <c r="Q66" s="39"/>
      <c r="R66" s="39"/>
      <c r="S66" s="10">
        <f t="shared" ref="S66:S76" si="12">SUM(K66:R66)</f>
        <v>0</v>
      </c>
      <c r="T66" s="10">
        <v>100000</v>
      </c>
      <c r="U66" s="10">
        <f t="shared" ref="U66:U67" si="13">T66*S66</f>
        <v>0</v>
      </c>
      <c r="V66" s="4"/>
      <c r="W66" s="4"/>
      <c r="X66" s="4"/>
      <c r="Y66" s="4"/>
    </row>
    <row r="67" spans="2:25" ht="37.5" hidden="1">
      <c r="B67" s="58"/>
      <c r="C67" s="60"/>
      <c r="D67" s="52" t="s">
        <v>47</v>
      </c>
      <c r="E67" s="63"/>
      <c r="F67" s="8">
        <v>0.58333333333333337</v>
      </c>
      <c r="G67" s="67" t="s">
        <v>77</v>
      </c>
      <c r="H67" s="68"/>
      <c r="I67" s="35">
        <v>84</v>
      </c>
      <c r="J67" s="9">
        <f t="shared" si="2"/>
        <v>5.9523809523809521E-2</v>
      </c>
      <c r="K67" s="39"/>
      <c r="L67" s="39"/>
      <c r="M67" s="39"/>
      <c r="N67" s="39"/>
      <c r="O67" s="39"/>
      <c r="P67" s="39"/>
      <c r="Q67" s="39"/>
      <c r="R67" s="39">
        <v>5</v>
      </c>
      <c r="S67" s="10">
        <f t="shared" si="12"/>
        <v>5</v>
      </c>
      <c r="T67" s="10">
        <v>100000</v>
      </c>
      <c r="U67" s="10">
        <f t="shared" si="13"/>
        <v>500000</v>
      </c>
      <c r="V67" s="4"/>
      <c r="W67" s="4"/>
      <c r="X67" s="4"/>
      <c r="Y67" s="4"/>
    </row>
    <row r="68" spans="2:25" ht="37.5" hidden="1">
      <c r="B68" s="58"/>
      <c r="C68" s="60"/>
      <c r="D68" s="52" t="s">
        <v>47</v>
      </c>
      <c r="E68" s="63"/>
      <c r="F68" s="8">
        <v>0.66666666666666663</v>
      </c>
      <c r="G68" s="67" t="s">
        <v>77</v>
      </c>
      <c r="H68" s="68"/>
      <c r="I68" s="35">
        <v>75</v>
      </c>
      <c r="J68" s="9">
        <f t="shared" si="2"/>
        <v>0</v>
      </c>
      <c r="K68" s="39"/>
      <c r="L68" s="39"/>
      <c r="M68" s="39"/>
      <c r="N68" s="39"/>
      <c r="O68" s="39"/>
      <c r="P68" s="39"/>
      <c r="Q68" s="39"/>
      <c r="R68" s="39"/>
      <c r="S68" s="10">
        <f t="shared" si="12"/>
        <v>0</v>
      </c>
      <c r="T68" s="10">
        <v>100000</v>
      </c>
      <c r="U68" s="10">
        <f>T68*S68</f>
        <v>0</v>
      </c>
      <c r="V68" s="4"/>
      <c r="W68" s="4"/>
      <c r="X68" s="4"/>
      <c r="Y68" s="4"/>
    </row>
    <row r="69" spans="2:25" ht="37.5" hidden="1">
      <c r="B69" s="58"/>
      <c r="C69" s="60"/>
      <c r="D69" s="52" t="s">
        <v>47</v>
      </c>
      <c r="E69" s="63"/>
      <c r="F69" s="8">
        <v>0.75</v>
      </c>
      <c r="G69" s="67" t="s">
        <v>77</v>
      </c>
      <c r="H69" s="68"/>
      <c r="I69" s="35">
        <v>6</v>
      </c>
      <c r="J69" s="9">
        <f t="shared" si="2"/>
        <v>0</v>
      </c>
      <c r="K69" s="39"/>
      <c r="L69" s="39"/>
      <c r="M69" s="39"/>
      <c r="N69" s="39"/>
      <c r="O69" s="39"/>
      <c r="P69" s="39"/>
      <c r="Q69" s="39"/>
      <c r="R69" s="39"/>
      <c r="S69" s="10">
        <f t="shared" si="12"/>
        <v>0</v>
      </c>
      <c r="T69" s="10">
        <v>100000</v>
      </c>
      <c r="U69" s="10">
        <f t="shared" ref="U69:U76" si="14">T69*S69</f>
        <v>0</v>
      </c>
      <c r="V69" s="4"/>
      <c r="W69" s="4"/>
      <c r="X69" s="11"/>
      <c r="Y69" s="4"/>
    </row>
    <row r="70" spans="2:25" ht="37.5" hidden="1">
      <c r="B70" s="58"/>
      <c r="C70" s="60"/>
      <c r="D70" s="53" t="s">
        <v>47</v>
      </c>
      <c r="E70" s="64"/>
      <c r="F70" s="12">
        <v>0.83333333333333337</v>
      </c>
      <c r="G70" s="67" t="s">
        <v>77</v>
      </c>
      <c r="H70" s="68"/>
      <c r="I70" s="36"/>
      <c r="J70" s="9" t="str">
        <f t="shared" si="2"/>
        <v/>
      </c>
      <c r="K70" s="41"/>
      <c r="L70" s="41"/>
      <c r="M70" s="41"/>
      <c r="N70" s="41"/>
      <c r="O70" s="41"/>
      <c r="P70" s="41"/>
      <c r="Q70" s="41"/>
      <c r="R70" s="41"/>
      <c r="S70" s="13">
        <f t="shared" si="12"/>
        <v>0</v>
      </c>
      <c r="T70" s="13">
        <v>100000</v>
      </c>
      <c r="U70" s="13">
        <f t="shared" si="14"/>
        <v>0</v>
      </c>
      <c r="V70" s="4"/>
      <c r="Y70" s="4"/>
    </row>
    <row r="71" spans="2:25" ht="37.5" hidden="1">
      <c r="B71" s="58"/>
      <c r="C71" s="60"/>
      <c r="D71" s="51" t="s">
        <v>47</v>
      </c>
      <c r="E71" s="62" t="s">
        <v>102</v>
      </c>
      <c r="F71" s="5">
        <v>0.91666666666666663</v>
      </c>
      <c r="G71" s="65" t="s">
        <v>87</v>
      </c>
      <c r="H71" s="66"/>
      <c r="I71" s="34"/>
      <c r="J71" s="6" t="str">
        <f t="shared" si="2"/>
        <v/>
      </c>
      <c r="K71" s="38"/>
      <c r="L71" s="38"/>
      <c r="M71" s="38"/>
      <c r="N71" s="38"/>
      <c r="O71" s="38"/>
      <c r="P71" s="38"/>
      <c r="Q71" s="38">
        <v>2</v>
      </c>
      <c r="R71" s="38"/>
      <c r="S71" s="7">
        <f t="shared" si="12"/>
        <v>2</v>
      </c>
      <c r="T71" s="7">
        <v>100000</v>
      </c>
      <c r="U71" s="7">
        <f t="shared" si="14"/>
        <v>200000</v>
      </c>
      <c r="V71" s="4"/>
      <c r="Y71" s="4"/>
    </row>
    <row r="72" spans="2:25" ht="37.5" hidden="1">
      <c r="B72" s="58"/>
      <c r="C72" s="60"/>
      <c r="D72" s="52" t="s">
        <v>47</v>
      </c>
      <c r="E72" s="63"/>
      <c r="F72" s="8">
        <v>1</v>
      </c>
      <c r="G72" s="67" t="s">
        <v>87</v>
      </c>
      <c r="H72" s="68"/>
      <c r="I72" s="35"/>
      <c r="J72" s="9" t="str">
        <f t="shared" si="2"/>
        <v/>
      </c>
      <c r="K72" s="39"/>
      <c r="L72" s="39"/>
      <c r="M72" s="39"/>
      <c r="N72" s="39"/>
      <c r="O72" s="39"/>
      <c r="P72" s="39"/>
      <c r="Q72" s="39"/>
      <c r="R72" s="39"/>
      <c r="S72" s="10">
        <f t="shared" si="12"/>
        <v>0</v>
      </c>
      <c r="T72" s="10">
        <v>100000</v>
      </c>
      <c r="U72" s="10">
        <f t="shared" si="14"/>
        <v>0</v>
      </c>
      <c r="V72" s="4"/>
      <c r="Y72" s="4"/>
    </row>
    <row r="73" spans="2:25" ht="37.5" hidden="1">
      <c r="B73" s="58"/>
      <c r="C73" s="60"/>
      <c r="D73" s="52" t="s">
        <v>47</v>
      </c>
      <c r="E73" s="63"/>
      <c r="F73" s="8">
        <v>8.3333333333333329E-2</v>
      </c>
      <c r="G73" s="67" t="s">
        <v>87</v>
      </c>
      <c r="H73" s="68"/>
      <c r="I73" s="35">
        <v>40</v>
      </c>
      <c r="J73" s="9">
        <f t="shared" si="2"/>
        <v>2.5000000000000001E-2</v>
      </c>
      <c r="K73" s="39">
        <v>1</v>
      </c>
      <c r="L73" s="39"/>
      <c r="M73" s="39"/>
      <c r="N73" s="39"/>
      <c r="O73" s="39"/>
      <c r="P73" s="39"/>
      <c r="Q73" s="39"/>
      <c r="R73" s="39"/>
      <c r="S73" s="10">
        <f t="shared" si="12"/>
        <v>1</v>
      </c>
      <c r="T73" s="10">
        <v>100000</v>
      </c>
      <c r="U73" s="10">
        <f t="shared" si="14"/>
        <v>100000</v>
      </c>
      <c r="V73" s="4"/>
      <c r="Y73" s="4"/>
    </row>
    <row r="74" spans="2:25" ht="37.5" hidden="1">
      <c r="B74" s="58"/>
      <c r="C74" s="60"/>
      <c r="D74" s="52" t="s">
        <v>47</v>
      </c>
      <c r="E74" s="63"/>
      <c r="F74" s="8">
        <v>0.16666666666666666</v>
      </c>
      <c r="G74" s="67" t="s">
        <v>87</v>
      </c>
      <c r="H74" s="68"/>
      <c r="I74" s="35">
        <v>80</v>
      </c>
      <c r="J74" s="9">
        <f t="shared" si="2"/>
        <v>1.2500000000000001E-2</v>
      </c>
      <c r="K74" s="39">
        <v>1</v>
      </c>
      <c r="L74" s="39"/>
      <c r="M74" s="39"/>
      <c r="N74" s="39"/>
      <c r="O74" s="39"/>
      <c r="P74" s="39"/>
      <c r="Q74" s="39"/>
      <c r="R74" s="39"/>
      <c r="S74" s="10">
        <f t="shared" si="12"/>
        <v>1</v>
      </c>
      <c r="T74" s="10">
        <v>100000</v>
      </c>
      <c r="U74" s="10">
        <f t="shared" si="14"/>
        <v>100000</v>
      </c>
      <c r="V74" s="4"/>
      <c r="W74" s="4"/>
      <c r="X74" s="4"/>
      <c r="Y74" s="4"/>
    </row>
    <row r="75" spans="2:25" ht="37.5" hidden="1">
      <c r="B75" s="58"/>
      <c r="C75" s="60"/>
      <c r="D75" s="52" t="s">
        <v>47</v>
      </c>
      <c r="E75" s="63"/>
      <c r="F75" s="8">
        <v>0.25</v>
      </c>
      <c r="G75" s="67" t="s">
        <v>87</v>
      </c>
      <c r="H75" s="68"/>
      <c r="I75" s="35">
        <v>60</v>
      </c>
      <c r="J75" s="9">
        <f t="shared" si="2"/>
        <v>1.6666666666666666E-2</v>
      </c>
      <c r="K75" s="39">
        <v>1</v>
      </c>
      <c r="L75" s="39"/>
      <c r="M75" s="39"/>
      <c r="N75" s="39"/>
      <c r="O75" s="39"/>
      <c r="P75" s="39"/>
      <c r="Q75" s="39"/>
      <c r="R75" s="39"/>
      <c r="S75" s="10">
        <f t="shared" si="12"/>
        <v>1</v>
      </c>
      <c r="T75" s="10">
        <v>100000</v>
      </c>
      <c r="U75" s="10">
        <f t="shared" si="14"/>
        <v>100000</v>
      </c>
      <c r="V75" s="4"/>
      <c r="Y75" s="4"/>
    </row>
    <row r="76" spans="2:25" ht="37.5" hidden="1">
      <c r="B76" s="58"/>
      <c r="C76" s="60"/>
      <c r="D76" s="53" t="s">
        <v>47</v>
      </c>
      <c r="E76" s="64"/>
      <c r="F76" s="14">
        <v>0.33333333333333331</v>
      </c>
      <c r="G76" s="67" t="s">
        <v>87</v>
      </c>
      <c r="H76" s="68"/>
      <c r="I76" s="37">
        <v>60</v>
      </c>
      <c r="J76" s="9">
        <f t="shared" si="2"/>
        <v>1.6666666666666666E-2</v>
      </c>
      <c r="K76" s="40">
        <v>1</v>
      </c>
      <c r="L76" s="40"/>
      <c r="M76" s="40"/>
      <c r="N76" s="40"/>
      <c r="O76" s="40"/>
      <c r="P76" s="40"/>
      <c r="Q76" s="40"/>
      <c r="R76" s="40"/>
      <c r="S76" s="16">
        <f t="shared" si="12"/>
        <v>1</v>
      </c>
      <c r="T76" s="16">
        <v>100000</v>
      </c>
      <c r="U76" s="16">
        <f t="shared" si="14"/>
        <v>100000</v>
      </c>
      <c r="V76" s="4"/>
      <c r="W76" s="4"/>
      <c r="X76" s="4"/>
      <c r="Y76" s="4"/>
    </row>
    <row r="77" spans="2:25" ht="31.5" hidden="1" customHeight="1">
      <c r="B77" s="58">
        <v>46087</v>
      </c>
      <c r="C77" s="59" t="s">
        <v>16</v>
      </c>
      <c r="D77" s="51" t="s">
        <v>47</v>
      </c>
      <c r="E77" s="62" t="s">
        <v>101</v>
      </c>
      <c r="F77" s="5">
        <v>0.41666666666666669</v>
      </c>
      <c r="G77" s="65" t="s">
        <v>78</v>
      </c>
      <c r="H77" s="66"/>
      <c r="I77" s="34">
        <v>82</v>
      </c>
      <c r="J77" s="6">
        <f t="shared" si="2"/>
        <v>2.4390243902439025E-2</v>
      </c>
      <c r="K77" s="38"/>
      <c r="L77" s="38"/>
      <c r="M77" s="38"/>
      <c r="N77" s="38"/>
      <c r="O77" s="38"/>
      <c r="P77" s="38"/>
      <c r="Q77" s="38"/>
      <c r="R77" s="38">
        <v>2</v>
      </c>
      <c r="S77" s="7">
        <f>SUM(K77:R77)</f>
        <v>2</v>
      </c>
      <c r="T77" s="7">
        <v>100000</v>
      </c>
      <c r="U77" s="7">
        <f>T77*S77</f>
        <v>200000</v>
      </c>
      <c r="V77" s="4"/>
      <c r="W77" s="4"/>
      <c r="X77" s="4"/>
      <c r="Y77" s="4"/>
    </row>
    <row r="78" spans="2:25" ht="37.5" hidden="1">
      <c r="B78" s="58"/>
      <c r="C78" s="60"/>
      <c r="D78" s="52" t="s">
        <v>47</v>
      </c>
      <c r="E78" s="63"/>
      <c r="F78" s="8">
        <v>0.5</v>
      </c>
      <c r="G78" s="67" t="s">
        <v>78</v>
      </c>
      <c r="H78" s="68"/>
      <c r="I78" s="35">
        <v>84</v>
      </c>
      <c r="J78" s="9">
        <f t="shared" si="2"/>
        <v>0</v>
      </c>
      <c r="K78" s="39"/>
      <c r="L78" s="39"/>
      <c r="M78" s="39"/>
      <c r="N78" s="39"/>
      <c r="O78" s="39"/>
      <c r="P78" s="39"/>
      <c r="Q78" s="39"/>
      <c r="R78" s="39"/>
      <c r="S78" s="10">
        <f t="shared" ref="S78:S88" si="15">SUM(K78:R78)</f>
        <v>0</v>
      </c>
      <c r="T78" s="10">
        <v>100000</v>
      </c>
      <c r="U78" s="10">
        <f t="shared" ref="U78:U79" si="16">T78*S78</f>
        <v>0</v>
      </c>
      <c r="V78" s="4"/>
      <c r="W78" s="4"/>
      <c r="X78" s="4"/>
      <c r="Y78" s="4"/>
    </row>
    <row r="79" spans="2:25" ht="37.5" hidden="1">
      <c r="B79" s="58"/>
      <c r="C79" s="60"/>
      <c r="D79" s="52" t="s">
        <v>47</v>
      </c>
      <c r="E79" s="63"/>
      <c r="F79" s="8">
        <v>0.58333333333333337</v>
      </c>
      <c r="G79" s="67" t="s">
        <v>78</v>
      </c>
      <c r="H79" s="68"/>
      <c r="I79" s="35">
        <v>84</v>
      </c>
      <c r="J79" s="9">
        <f t="shared" si="2"/>
        <v>0</v>
      </c>
      <c r="K79" s="39"/>
      <c r="L79" s="39"/>
      <c r="M79" s="39"/>
      <c r="N79" s="39"/>
      <c r="O79" s="39"/>
      <c r="P79" s="39"/>
      <c r="Q79" s="39"/>
      <c r="R79" s="39"/>
      <c r="S79" s="10">
        <f t="shared" si="15"/>
        <v>0</v>
      </c>
      <c r="T79" s="10">
        <v>100000</v>
      </c>
      <c r="U79" s="10">
        <f t="shared" si="16"/>
        <v>0</v>
      </c>
      <c r="V79" s="4"/>
      <c r="W79" s="4"/>
      <c r="X79" s="4"/>
      <c r="Y79" s="4"/>
    </row>
    <row r="80" spans="2:25" ht="37.5" hidden="1">
      <c r="B80" s="58"/>
      <c r="C80" s="60"/>
      <c r="D80" s="52" t="s">
        <v>47</v>
      </c>
      <c r="E80" s="63"/>
      <c r="F80" s="8">
        <v>0.66666666666666663</v>
      </c>
      <c r="G80" s="67" t="s">
        <v>78</v>
      </c>
      <c r="H80" s="68"/>
      <c r="I80" s="35">
        <v>84</v>
      </c>
      <c r="J80" s="9">
        <f t="shared" si="2"/>
        <v>0</v>
      </c>
      <c r="K80" s="39"/>
      <c r="L80" s="39"/>
      <c r="M80" s="39"/>
      <c r="N80" s="39"/>
      <c r="O80" s="39"/>
      <c r="P80" s="39"/>
      <c r="Q80" s="39"/>
      <c r="R80" s="39"/>
      <c r="S80" s="10">
        <f t="shared" si="15"/>
        <v>0</v>
      </c>
      <c r="T80" s="10">
        <v>100000</v>
      </c>
      <c r="U80" s="10">
        <f>T80*S80</f>
        <v>0</v>
      </c>
      <c r="V80" s="4"/>
      <c r="W80" s="4"/>
      <c r="X80" s="4"/>
      <c r="Y80" s="4"/>
    </row>
    <row r="81" spans="2:25" ht="37.5" hidden="1">
      <c r="B81" s="58"/>
      <c r="C81" s="60"/>
      <c r="D81" s="52" t="s">
        <v>47</v>
      </c>
      <c r="E81" s="63"/>
      <c r="F81" s="8">
        <v>0.75</v>
      </c>
      <c r="G81" s="67" t="s">
        <v>78</v>
      </c>
      <c r="H81" s="68"/>
      <c r="I81" s="35">
        <v>84</v>
      </c>
      <c r="J81" s="9">
        <f t="shared" si="2"/>
        <v>2.3809523809523808E-2</v>
      </c>
      <c r="K81" s="39">
        <v>2</v>
      </c>
      <c r="L81" s="39"/>
      <c r="M81" s="39"/>
      <c r="N81" s="39"/>
      <c r="O81" s="39"/>
      <c r="P81" s="39"/>
      <c r="Q81" s="39"/>
      <c r="R81" s="39"/>
      <c r="S81" s="10">
        <f t="shared" si="15"/>
        <v>2</v>
      </c>
      <c r="T81" s="10">
        <v>100000</v>
      </c>
      <c r="U81" s="10">
        <f t="shared" ref="U81:U88" si="17">T81*S81</f>
        <v>200000</v>
      </c>
      <c r="V81" s="4"/>
      <c r="W81" s="4"/>
      <c r="X81" s="11"/>
      <c r="Y81" s="4"/>
    </row>
    <row r="82" spans="2:25" ht="37.5" hidden="1">
      <c r="B82" s="58"/>
      <c r="C82" s="60"/>
      <c r="D82" s="53" t="s">
        <v>47</v>
      </c>
      <c r="E82" s="64"/>
      <c r="F82" s="12">
        <v>0.83333333333333337</v>
      </c>
      <c r="G82" s="67" t="s">
        <v>78</v>
      </c>
      <c r="H82" s="68"/>
      <c r="I82" s="36">
        <v>82</v>
      </c>
      <c r="J82" s="9">
        <f t="shared" si="2"/>
        <v>0</v>
      </c>
      <c r="K82" s="41"/>
      <c r="L82" s="41"/>
      <c r="M82" s="41"/>
      <c r="N82" s="41"/>
      <c r="O82" s="41"/>
      <c r="P82" s="41"/>
      <c r="Q82" s="41"/>
      <c r="R82" s="41"/>
      <c r="S82" s="13">
        <f t="shared" si="15"/>
        <v>0</v>
      </c>
      <c r="T82" s="13">
        <v>100000</v>
      </c>
      <c r="U82" s="13">
        <f t="shared" si="17"/>
        <v>0</v>
      </c>
      <c r="V82" s="4"/>
      <c r="Y82" s="4"/>
    </row>
    <row r="83" spans="2:25" ht="37.5" hidden="1">
      <c r="B83" s="58"/>
      <c r="C83" s="60"/>
      <c r="D83" s="51" t="s">
        <v>47</v>
      </c>
      <c r="E83" s="62" t="s">
        <v>102</v>
      </c>
      <c r="F83" s="5">
        <v>0.91666666666666663</v>
      </c>
      <c r="G83" s="65" t="s">
        <v>85</v>
      </c>
      <c r="H83" s="66"/>
      <c r="I83" s="34">
        <v>82</v>
      </c>
      <c r="J83" s="6">
        <f t="shared" ref="J83:J136" si="18">IFERROR(S83/I83,"")</f>
        <v>4.878048780487805E-2</v>
      </c>
      <c r="K83" s="38"/>
      <c r="L83" s="38"/>
      <c r="M83" s="38"/>
      <c r="N83" s="38"/>
      <c r="O83" s="38"/>
      <c r="P83" s="38"/>
      <c r="Q83" s="38">
        <v>3</v>
      </c>
      <c r="R83" s="38">
        <v>1</v>
      </c>
      <c r="S83" s="7">
        <f t="shared" si="15"/>
        <v>4</v>
      </c>
      <c r="T83" s="7">
        <v>100000</v>
      </c>
      <c r="U83" s="7">
        <f t="shared" si="17"/>
        <v>400000</v>
      </c>
      <c r="V83" s="4"/>
      <c r="Y83" s="4"/>
    </row>
    <row r="84" spans="2:25" ht="37.5" hidden="1">
      <c r="B84" s="58"/>
      <c r="C84" s="60"/>
      <c r="D84" s="52" t="s">
        <v>47</v>
      </c>
      <c r="E84" s="63"/>
      <c r="F84" s="8">
        <v>1</v>
      </c>
      <c r="G84" s="67" t="s">
        <v>85</v>
      </c>
      <c r="H84" s="68"/>
      <c r="I84" s="35">
        <v>46</v>
      </c>
      <c r="J84" s="9">
        <f t="shared" si="18"/>
        <v>2.1739130434782608E-2</v>
      </c>
      <c r="K84" s="39"/>
      <c r="L84" s="39"/>
      <c r="M84" s="39"/>
      <c r="N84" s="39"/>
      <c r="O84" s="39"/>
      <c r="P84" s="39"/>
      <c r="Q84" s="39"/>
      <c r="R84" s="39">
        <v>1</v>
      </c>
      <c r="S84" s="10">
        <f t="shared" si="15"/>
        <v>1</v>
      </c>
      <c r="T84" s="10">
        <v>100000</v>
      </c>
      <c r="U84" s="10">
        <f t="shared" si="17"/>
        <v>100000</v>
      </c>
      <c r="V84" s="4"/>
      <c r="Y84" s="4"/>
    </row>
    <row r="85" spans="2:25" ht="37.5" hidden="1">
      <c r="B85" s="58"/>
      <c r="C85" s="60"/>
      <c r="D85" s="52" t="s">
        <v>47</v>
      </c>
      <c r="E85" s="63"/>
      <c r="F85" s="8">
        <v>8.3333333333333329E-2</v>
      </c>
      <c r="G85" s="67" t="s">
        <v>85</v>
      </c>
      <c r="H85" s="68"/>
      <c r="I85" s="35">
        <v>40</v>
      </c>
      <c r="J85" s="9">
        <f t="shared" si="18"/>
        <v>0</v>
      </c>
      <c r="K85" s="39"/>
      <c r="L85" s="39"/>
      <c r="M85" s="39"/>
      <c r="N85" s="39"/>
      <c r="O85" s="39"/>
      <c r="P85" s="39"/>
      <c r="Q85" s="39"/>
      <c r="R85" s="39"/>
      <c r="S85" s="10">
        <f t="shared" si="15"/>
        <v>0</v>
      </c>
      <c r="T85" s="10">
        <v>100000</v>
      </c>
      <c r="U85" s="10">
        <f t="shared" si="17"/>
        <v>0</v>
      </c>
      <c r="V85" s="4"/>
      <c r="Y85" s="4"/>
    </row>
    <row r="86" spans="2:25" ht="37.5" hidden="1">
      <c r="B86" s="58"/>
      <c r="C86" s="60"/>
      <c r="D86" s="52" t="s">
        <v>47</v>
      </c>
      <c r="E86" s="63"/>
      <c r="F86" s="8">
        <v>0.16666666666666666</v>
      </c>
      <c r="G86" s="67" t="s">
        <v>85</v>
      </c>
      <c r="H86" s="68"/>
      <c r="I86" s="35">
        <v>82</v>
      </c>
      <c r="J86" s="9">
        <f t="shared" si="18"/>
        <v>0</v>
      </c>
      <c r="K86" s="39"/>
      <c r="L86" s="39"/>
      <c r="M86" s="39"/>
      <c r="N86" s="39"/>
      <c r="O86" s="39"/>
      <c r="P86" s="39"/>
      <c r="Q86" s="39"/>
      <c r="R86" s="39"/>
      <c r="S86" s="10">
        <f t="shared" si="15"/>
        <v>0</v>
      </c>
      <c r="T86" s="10">
        <v>100000</v>
      </c>
      <c r="U86" s="10">
        <f t="shared" si="17"/>
        <v>0</v>
      </c>
      <c r="V86" s="4"/>
      <c r="W86" s="4"/>
      <c r="X86" s="4"/>
      <c r="Y86" s="4"/>
    </row>
    <row r="87" spans="2:25" ht="37.5" hidden="1">
      <c r="B87" s="58"/>
      <c r="C87" s="60"/>
      <c r="D87" s="52" t="s">
        <v>47</v>
      </c>
      <c r="E87" s="63"/>
      <c r="F87" s="8">
        <v>0.25</v>
      </c>
      <c r="G87" s="67" t="s">
        <v>85</v>
      </c>
      <c r="H87" s="68"/>
      <c r="I87" s="35">
        <v>30</v>
      </c>
      <c r="J87" s="9">
        <f t="shared" si="18"/>
        <v>0</v>
      </c>
      <c r="K87" s="39"/>
      <c r="L87" s="39"/>
      <c r="M87" s="39"/>
      <c r="N87" s="39"/>
      <c r="O87" s="39"/>
      <c r="P87" s="39"/>
      <c r="Q87" s="39"/>
      <c r="R87" s="39"/>
      <c r="S87" s="10">
        <f t="shared" si="15"/>
        <v>0</v>
      </c>
      <c r="T87" s="10">
        <v>100000</v>
      </c>
      <c r="U87" s="10">
        <f t="shared" si="17"/>
        <v>0</v>
      </c>
      <c r="V87" s="4"/>
      <c r="Y87" s="4"/>
    </row>
    <row r="88" spans="2:25" ht="37.5" hidden="1">
      <c r="B88" s="58"/>
      <c r="C88" s="60"/>
      <c r="D88" s="53" t="s">
        <v>47</v>
      </c>
      <c r="E88" s="64"/>
      <c r="F88" s="14">
        <v>0.33333333333333331</v>
      </c>
      <c r="G88" s="67" t="s">
        <v>85</v>
      </c>
      <c r="H88" s="68"/>
      <c r="I88" s="37"/>
      <c r="J88" s="9" t="str">
        <f t="shared" si="18"/>
        <v/>
      </c>
      <c r="K88" s="40"/>
      <c r="L88" s="40"/>
      <c r="M88" s="40"/>
      <c r="N88" s="40"/>
      <c r="O88" s="40"/>
      <c r="P88" s="40"/>
      <c r="Q88" s="40"/>
      <c r="R88" s="40"/>
      <c r="S88" s="16">
        <f t="shared" si="15"/>
        <v>0</v>
      </c>
      <c r="T88" s="16">
        <v>100000</v>
      </c>
      <c r="U88" s="16">
        <f t="shared" si="17"/>
        <v>0</v>
      </c>
      <c r="V88" s="4"/>
      <c r="W88" s="4"/>
      <c r="X88" s="4"/>
      <c r="Y88" s="4"/>
    </row>
    <row r="89" spans="2:25" ht="45.75" hidden="1" customHeight="1">
      <c r="B89" s="58">
        <v>46088</v>
      </c>
      <c r="C89" s="59" t="s">
        <v>16</v>
      </c>
      <c r="D89" s="51" t="s">
        <v>54</v>
      </c>
      <c r="E89" s="62" t="s">
        <v>101</v>
      </c>
      <c r="F89" s="5">
        <v>0.41666666666666669</v>
      </c>
      <c r="G89" s="65" t="s">
        <v>75</v>
      </c>
      <c r="H89" s="66"/>
      <c r="I89" s="34"/>
      <c r="J89" s="6" t="str">
        <f t="shared" si="18"/>
        <v/>
      </c>
      <c r="K89" s="38"/>
      <c r="L89" s="38"/>
      <c r="M89" s="38"/>
      <c r="N89" s="38"/>
      <c r="O89" s="38"/>
      <c r="P89" s="38"/>
      <c r="Q89" s="38">
        <v>7</v>
      </c>
      <c r="R89" s="38"/>
      <c r="S89" s="7">
        <f>SUM(K89:R89)</f>
        <v>7</v>
      </c>
      <c r="T89" s="7">
        <v>100000</v>
      </c>
      <c r="U89" s="7">
        <f>T89*S89</f>
        <v>700000</v>
      </c>
      <c r="V89" s="4"/>
      <c r="W89" s="4"/>
      <c r="X89" s="4"/>
      <c r="Y89" s="4"/>
    </row>
    <row r="90" spans="2:25" ht="37.5" hidden="1">
      <c r="B90" s="58"/>
      <c r="C90" s="60"/>
      <c r="D90" s="52" t="s">
        <v>54</v>
      </c>
      <c r="E90" s="63"/>
      <c r="F90" s="8">
        <v>0.5</v>
      </c>
      <c r="G90" s="67" t="s">
        <v>75</v>
      </c>
      <c r="H90" s="68"/>
      <c r="I90" s="35"/>
      <c r="J90" s="9" t="str">
        <f t="shared" si="18"/>
        <v/>
      </c>
      <c r="K90" s="39"/>
      <c r="L90" s="39"/>
      <c r="M90" s="39"/>
      <c r="N90" s="39"/>
      <c r="O90" s="39"/>
      <c r="P90" s="39"/>
      <c r="Q90" s="39"/>
      <c r="R90" s="39"/>
      <c r="S90" s="10">
        <f t="shared" ref="S90:S100" si="19">SUM(K90:R90)</f>
        <v>0</v>
      </c>
      <c r="T90" s="10">
        <v>100000</v>
      </c>
      <c r="U90" s="10">
        <f t="shared" ref="U90:U91" si="20">T90*S90</f>
        <v>0</v>
      </c>
      <c r="V90" s="4"/>
      <c r="W90" s="4"/>
      <c r="X90" s="4"/>
      <c r="Y90" s="4"/>
    </row>
    <row r="91" spans="2:25" ht="37.5" hidden="1">
      <c r="B91" s="58"/>
      <c r="C91" s="60"/>
      <c r="D91" s="52" t="s">
        <v>54</v>
      </c>
      <c r="E91" s="63"/>
      <c r="F91" s="8">
        <v>0.58333333333333337</v>
      </c>
      <c r="G91" s="67" t="s">
        <v>75</v>
      </c>
      <c r="H91" s="68"/>
      <c r="I91" s="35">
        <v>25</v>
      </c>
      <c r="J91" s="9">
        <f t="shared" si="18"/>
        <v>0</v>
      </c>
      <c r="K91" s="39"/>
      <c r="L91" s="39"/>
      <c r="M91" s="39"/>
      <c r="N91" s="39"/>
      <c r="O91" s="39"/>
      <c r="P91" s="39"/>
      <c r="Q91" s="39"/>
      <c r="R91" s="39"/>
      <c r="S91" s="10">
        <f t="shared" si="19"/>
        <v>0</v>
      </c>
      <c r="T91" s="10">
        <v>100000</v>
      </c>
      <c r="U91" s="10">
        <f t="shared" si="20"/>
        <v>0</v>
      </c>
      <c r="V91" s="4"/>
      <c r="W91" s="4"/>
      <c r="X91" s="4"/>
      <c r="Y91" s="4"/>
    </row>
    <row r="92" spans="2:25" ht="37.5" hidden="1">
      <c r="B92" s="58"/>
      <c r="C92" s="60"/>
      <c r="D92" s="52" t="s">
        <v>54</v>
      </c>
      <c r="E92" s="63"/>
      <c r="F92" s="8">
        <v>0.66666666666666663</v>
      </c>
      <c r="G92" s="67" t="s">
        <v>75</v>
      </c>
      <c r="H92" s="68"/>
      <c r="I92" s="35">
        <v>50</v>
      </c>
      <c r="J92" s="9">
        <f t="shared" si="18"/>
        <v>0</v>
      </c>
      <c r="K92" s="39"/>
      <c r="L92" s="39"/>
      <c r="M92" s="39"/>
      <c r="N92" s="39"/>
      <c r="O92" s="39"/>
      <c r="P92" s="39"/>
      <c r="Q92" s="39"/>
      <c r="R92" s="39"/>
      <c r="S92" s="10">
        <f t="shared" si="19"/>
        <v>0</v>
      </c>
      <c r="T92" s="10">
        <v>100000</v>
      </c>
      <c r="U92" s="10">
        <f>T92*S92</f>
        <v>0</v>
      </c>
      <c r="V92" s="4"/>
      <c r="W92" s="4"/>
      <c r="X92" s="4"/>
      <c r="Y92" s="4"/>
    </row>
    <row r="93" spans="2:25" ht="37.5" hidden="1">
      <c r="B93" s="58"/>
      <c r="C93" s="60"/>
      <c r="D93" s="52" t="s">
        <v>54</v>
      </c>
      <c r="E93" s="63"/>
      <c r="F93" s="8">
        <v>0.75</v>
      </c>
      <c r="G93" s="67" t="s">
        <v>75</v>
      </c>
      <c r="H93" s="68"/>
      <c r="I93" s="35">
        <v>45</v>
      </c>
      <c r="J93" s="9">
        <f t="shared" si="18"/>
        <v>0</v>
      </c>
      <c r="K93" s="39"/>
      <c r="L93" s="39"/>
      <c r="M93" s="39"/>
      <c r="N93" s="39"/>
      <c r="O93" s="39"/>
      <c r="P93" s="39"/>
      <c r="Q93" s="39"/>
      <c r="R93" s="39"/>
      <c r="S93" s="10">
        <f t="shared" si="19"/>
        <v>0</v>
      </c>
      <c r="T93" s="10">
        <v>100000</v>
      </c>
      <c r="U93" s="10">
        <f t="shared" ref="U93:U100" si="21">T93*S93</f>
        <v>0</v>
      </c>
      <c r="V93" s="4"/>
      <c r="W93" s="4"/>
      <c r="X93" s="11"/>
      <c r="Y93" s="4"/>
    </row>
    <row r="94" spans="2:25" ht="37.5" hidden="1">
      <c r="B94" s="58"/>
      <c r="C94" s="60"/>
      <c r="D94" s="53" t="s">
        <v>54</v>
      </c>
      <c r="E94" s="64"/>
      <c r="F94" s="12">
        <v>0.83333333333333337</v>
      </c>
      <c r="G94" s="67" t="s">
        <v>75</v>
      </c>
      <c r="H94" s="68"/>
      <c r="I94" s="36">
        <v>60</v>
      </c>
      <c r="J94" s="9">
        <f t="shared" si="18"/>
        <v>0</v>
      </c>
      <c r="K94" s="41"/>
      <c r="L94" s="41"/>
      <c r="M94" s="41"/>
      <c r="N94" s="41"/>
      <c r="O94" s="41"/>
      <c r="P94" s="41"/>
      <c r="Q94" s="41"/>
      <c r="R94" s="41"/>
      <c r="S94" s="13">
        <f t="shared" si="19"/>
        <v>0</v>
      </c>
      <c r="T94" s="13">
        <v>100000</v>
      </c>
      <c r="U94" s="13">
        <f t="shared" si="21"/>
        <v>0</v>
      </c>
      <c r="V94" s="4"/>
      <c r="Y94" s="4"/>
    </row>
    <row r="95" spans="2:25" ht="37.5" hidden="1">
      <c r="B95" s="58"/>
      <c r="C95" s="60"/>
      <c r="D95" s="51" t="s">
        <v>54</v>
      </c>
      <c r="E95" s="62" t="s">
        <v>102</v>
      </c>
      <c r="F95" s="5">
        <v>0.91666666666666663</v>
      </c>
      <c r="G95" s="65" t="s">
        <v>88</v>
      </c>
      <c r="H95" s="66"/>
      <c r="I95" s="34">
        <v>40</v>
      </c>
      <c r="J95" s="6">
        <f t="shared" si="18"/>
        <v>0.25</v>
      </c>
      <c r="K95" s="38"/>
      <c r="L95" s="38"/>
      <c r="M95" s="38"/>
      <c r="N95" s="38"/>
      <c r="O95" s="38"/>
      <c r="P95" s="38"/>
      <c r="Q95" s="38">
        <v>10</v>
      </c>
      <c r="R95" s="38"/>
      <c r="S95" s="7">
        <f t="shared" si="19"/>
        <v>10</v>
      </c>
      <c r="T95" s="7">
        <v>100000</v>
      </c>
      <c r="U95" s="7">
        <f t="shared" si="21"/>
        <v>1000000</v>
      </c>
      <c r="V95" s="4"/>
      <c r="Y95" s="4"/>
    </row>
    <row r="96" spans="2:25" ht="37.5" hidden="1">
      <c r="B96" s="58"/>
      <c r="C96" s="60"/>
      <c r="D96" s="52" t="s">
        <v>54</v>
      </c>
      <c r="E96" s="63"/>
      <c r="F96" s="8">
        <v>1</v>
      </c>
      <c r="G96" s="67" t="s">
        <v>88</v>
      </c>
      <c r="H96" s="68"/>
      <c r="I96" s="35">
        <v>50</v>
      </c>
      <c r="J96" s="9">
        <f t="shared" si="18"/>
        <v>0.04</v>
      </c>
      <c r="K96" s="39"/>
      <c r="L96" s="39"/>
      <c r="M96" s="39">
        <v>2</v>
      </c>
      <c r="N96" s="39"/>
      <c r="O96" s="39"/>
      <c r="P96" s="39"/>
      <c r="Q96" s="39"/>
      <c r="R96" s="39"/>
      <c r="S96" s="10">
        <f t="shared" si="19"/>
        <v>2</v>
      </c>
      <c r="T96" s="10">
        <v>100000</v>
      </c>
      <c r="U96" s="10">
        <f t="shared" si="21"/>
        <v>200000</v>
      </c>
      <c r="V96" s="4"/>
      <c r="Y96" s="4"/>
    </row>
    <row r="97" spans="2:25" ht="37.5" hidden="1">
      <c r="B97" s="58"/>
      <c r="C97" s="60"/>
      <c r="D97" s="52" t="s">
        <v>54</v>
      </c>
      <c r="E97" s="63"/>
      <c r="F97" s="8">
        <v>8.3333333333333329E-2</v>
      </c>
      <c r="G97" s="67" t="s">
        <v>88</v>
      </c>
      <c r="H97" s="68"/>
      <c r="I97" s="35">
        <v>50</v>
      </c>
      <c r="J97" s="9">
        <f t="shared" si="18"/>
        <v>0.04</v>
      </c>
      <c r="K97" s="39"/>
      <c r="L97" s="39"/>
      <c r="M97" s="39">
        <v>2</v>
      </c>
      <c r="N97" s="39"/>
      <c r="O97" s="39"/>
      <c r="P97" s="39"/>
      <c r="Q97" s="39"/>
      <c r="R97" s="39"/>
      <c r="S97" s="10">
        <f t="shared" si="19"/>
        <v>2</v>
      </c>
      <c r="T97" s="10">
        <v>100000</v>
      </c>
      <c r="U97" s="10">
        <f t="shared" si="21"/>
        <v>200000</v>
      </c>
      <c r="V97" s="4"/>
      <c r="Y97" s="4"/>
    </row>
    <row r="98" spans="2:25" ht="37.5" hidden="1">
      <c r="B98" s="58"/>
      <c r="C98" s="60"/>
      <c r="D98" s="52" t="s">
        <v>54</v>
      </c>
      <c r="E98" s="63"/>
      <c r="F98" s="8">
        <v>0.16666666666666666</v>
      </c>
      <c r="G98" s="67" t="s">
        <v>88</v>
      </c>
      <c r="H98" s="68"/>
      <c r="I98" s="35">
        <v>50</v>
      </c>
      <c r="J98" s="9">
        <f t="shared" si="18"/>
        <v>0</v>
      </c>
      <c r="K98" s="39"/>
      <c r="L98" s="39"/>
      <c r="M98" s="39"/>
      <c r="N98" s="39"/>
      <c r="O98" s="39"/>
      <c r="P98" s="39"/>
      <c r="Q98" s="39"/>
      <c r="R98" s="39"/>
      <c r="S98" s="10">
        <f t="shared" si="19"/>
        <v>0</v>
      </c>
      <c r="T98" s="10">
        <v>100000</v>
      </c>
      <c r="U98" s="10">
        <f t="shared" si="21"/>
        <v>0</v>
      </c>
      <c r="V98" s="4"/>
      <c r="W98" s="4"/>
      <c r="X98" s="4"/>
      <c r="Y98" s="4"/>
    </row>
    <row r="99" spans="2:25" ht="37.5" hidden="1">
      <c r="B99" s="58"/>
      <c r="C99" s="60"/>
      <c r="D99" s="52" t="s">
        <v>54</v>
      </c>
      <c r="E99" s="63"/>
      <c r="F99" s="8">
        <v>0.25</v>
      </c>
      <c r="G99" s="67" t="s">
        <v>88</v>
      </c>
      <c r="H99" s="68"/>
      <c r="I99" s="35">
        <v>50</v>
      </c>
      <c r="J99" s="9">
        <f t="shared" si="18"/>
        <v>0</v>
      </c>
      <c r="K99" s="39"/>
      <c r="L99" s="39"/>
      <c r="M99" s="39"/>
      <c r="N99" s="39"/>
      <c r="O99" s="39"/>
      <c r="P99" s="39"/>
      <c r="Q99" s="39"/>
      <c r="R99" s="39"/>
      <c r="S99" s="10">
        <f t="shared" si="19"/>
        <v>0</v>
      </c>
      <c r="T99" s="10">
        <v>100000</v>
      </c>
      <c r="U99" s="10">
        <f t="shared" si="21"/>
        <v>0</v>
      </c>
      <c r="V99" s="4"/>
      <c r="Y99" s="4"/>
    </row>
    <row r="100" spans="2:25" ht="37.5" hidden="1">
      <c r="B100" s="58"/>
      <c r="C100" s="60"/>
      <c r="D100" s="53" t="s">
        <v>54</v>
      </c>
      <c r="E100" s="64"/>
      <c r="F100" s="14">
        <v>0.33333333333333331</v>
      </c>
      <c r="G100" s="67" t="s">
        <v>88</v>
      </c>
      <c r="H100" s="68"/>
      <c r="I100" s="37"/>
      <c r="J100" s="9" t="str">
        <f t="shared" si="18"/>
        <v/>
      </c>
      <c r="K100" s="40"/>
      <c r="L100" s="40"/>
      <c r="M100" s="40"/>
      <c r="N100" s="40"/>
      <c r="O100" s="40"/>
      <c r="P100" s="40"/>
      <c r="Q100" s="40"/>
      <c r="R100" s="40"/>
      <c r="S100" s="16">
        <f t="shared" si="19"/>
        <v>0</v>
      </c>
      <c r="T100" s="16">
        <v>100000</v>
      </c>
      <c r="U100" s="16">
        <f t="shared" si="21"/>
        <v>0</v>
      </c>
      <c r="V100" s="4"/>
      <c r="W100" s="4"/>
      <c r="X100" s="4"/>
      <c r="Y100" s="4"/>
    </row>
    <row r="101" spans="2:25" ht="16.5" hidden="1" customHeight="1">
      <c r="B101" s="58">
        <v>46089</v>
      </c>
      <c r="C101" s="59" t="s">
        <v>16</v>
      </c>
      <c r="D101" s="51"/>
      <c r="E101" s="62" t="s">
        <v>101</v>
      </c>
      <c r="F101" s="5">
        <v>0.41666666666666669</v>
      </c>
      <c r="G101" s="65"/>
      <c r="H101" s="66"/>
      <c r="I101" s="34"/>
      <c r="J101" s="6" t="str">
        <f t="shared" si="18"/>
        <v/>
      </c>
      <c r="K101" s="38"/>
      <c r="L101" s="38"/>
      <c r="M101" s="38"/>
      <c r="N101" s="38"/>
      <c r="O101" s="38"/>
      <c r="P101" s="38"/>
      <c r="Q101" s="38"/>
      <c r="R101" s="38"/>
      <c r="S101" s="7">
        <f>SUM(K101:R101)</f>
        <v>0</v>
      </c>
      <c r="T101" s="7">
        <v>100000</v>
      </c>
      <c r="U101" s="7">
        <f>T101*S101</f>
        <v>0</v>
      </c>
      <c r="V101" s="4"/>
      <c r="W101" s="4"/>
      <c r="X101" s="4"/>
      <c r="Y101" s="4"/>
    </row>
    <row r="102" spans="2:25" ht="18.75" hidden="1">
      <c r="B102" s="58"/>
      <c r="C102" s="60"/>
      <c r="D102" s="52"/>
      <c r="E102" s="63"/>
      <c r="F102" s="8">
        <v>0.5</v>
      </c>
      <c r="G102" s="67"/>
      <c r="H102" s="68"/>
      <c r="I102" s="35"/>
      <c r="J102" s="9" t="str">
        <f t="shared" si="18"/>
        <v/>
      </c>
      <c r="K102" s="39"/>
      <c r="L102" s="39"/>
      <c r="M102" s="39"/>
      <c r="N102" s="39"/>
      <c r="O102" s="39"/>
      <c r="P102" s="39"/>
      <c r="Q102" s="39"/>
      <c r="R102" s="39"/>
      <c r="S102" s="10">
        <f t="shared" ref="S102:S112" si="22">SUM(K102:R102)</f>
        <v>0</v>
      </c>
      <c r="T102" s="10">
        <v>100000</v>
      </c>
      <c r="U102" s="10">
        <f t="shared" ref="U102:U103" si="23">T102*S102</f>
        <v>0</v>
      </c>
      <c r="V102" s="4"/>
      <c r="W102" s="4"/>
      <c r="X102" s="4"/>
      <c r="Y102" s="4"/>
    </row>
    <row r="103" spans="2:25" ht="18.75" hidden="1">
      <c r="B103" s="58"/>
      <c r="C103" s="60"/>
      <c r="D103" s="52"/>
      <c r="E103" s="63"/>
      <c r="F103" s="8">
        <v>0.58333333333333337</v>
      </c>
      <c r="G103" s="67"/>
      <c r="H103" s="68"/>
      <c r="I103" s="35"/>
      <c r="J103" s="9" t="str">
        <f t="shared" si="18"/>
        <v/>
      </c>
      <c r="K103" s="39"/>
      <c r="L103" s="39"/>
      <c r="M103" s="39"/>
      <c r="N103" s="39"/>
      <c r="O103" s="39"/>
      <c r="P103" s="39"/>
      <c r="Q103" s="39"/>
      <c r="R103" s="39"/>
      <c r="S103" s="10">
        <f t="shared" si="22"/>
        <v>0</v>
      </c>
      <c r="T103" s="10">
        <v>100000</v>
      </c>
      <c r="U103" s="10">
        <f t="shared" si="23"/>
        <v>0</v>
      </c>
      <c r="V103" s="4"/>
      <c r="W103" s="4"/>
      <c r="X103" s="4"/>
      <c r="Y103" s="4"/>
    </row>
    <row r="104" spans="2:25" ht="18.75" hidden="1">
      <c r="B104" s="58"/>
      <c r="C104" s="60"/>
      <c r="D104" s="52"/>
      <c r="E104" s="63"/>
      <c r="F104" s="8">
        <v>0.66666666666666663</v>
      </c>
      <c r="G104" s="67"/>
      <c r="H104" s="68"/>
      <c r="I104" s="35"/>
      <c r="J104" s="9" t="str">
        <f t="shared" si="18"/>
        <v/>
      </c>
      <c r="K104" s="39"/>
      <c r="L104" s="39"/>
      <c r="M104" s="39"/>
      <c r="N104" s="39"/>
      <c r="O104" s="39"/>
      <c r="P104" s="39"/>
      <c r="Q104" s="39"/>
      <c r="R104" s="39"/>
      <c r="S104" s="10">
        <f t="shared" si="22"/>
        <v>0</v>
      </c>
      <c r="T104" s="10">
        <v>100000</v>
      </c>
      <c r="U104" s="10">
        <f>T104*S104</f>
        <v>0</v>
      </c>
      <c r="V104" s="4"/>
      <c r="W104" s="4"/>
      <c r="X104" s="4"/>
      <c r="Y104" s="4"/>
    </row>
    <row r="105" spans="2:25" ht="18.75" hidden="1">
      <c r="B105" s="58"/>
      <c r="C105" s="60"/>
      <c r="D105" s="52"/>
      <c r="E105" s="63"/>
      <c r="F105" s="8">
        <v>0.75</v>
      </c>
      <c r="G105" s="67"/>
      <c r="H105" s="68"/>
      <c r="I105" s="35"/>
      <c r="J105" s="9" t="str">
        <f t="shared" si="18"/>
        <v/>
      </c>
      <c r="K105" s="39"/>
      <c r="L105" s="39"/>
      <c r="M105" s="39"/>
      <c r="N105" s="39"/>
      <c r="O105" s="39"/>
      <c r="P105" s="39"/>
      <c r="Q105" s="39"/>
      <c r="R105" s="39"/>
      <c r="S105" s="10">
        <f t="shared" si="22"/>
        <v>0</v>
      </c>
      <c r="T105" s="10">
        <v>100000</v>
      </c>
      <c r="U105" s="10">
        <f t="shared" ref="U105:U112" si="24">T105*S105</f>
        <v>0</v>
      </c>
      <c r="V105" s="4"/>
      <c r="W105" s="4"/>
      <c r="X105" s="11"/>
      <c r="Y105" s="4"/>
    </row>
    <row r="106" spans="2:25" ht="18.75" hidden="1">
      <c r="B106" s="58"/>
      <c r="C106" s="60"/>
      <c r="D106" s="53"/>
      <c r="E106" s="64"/>
      <c r="F106" s="12">
        <v>0.83333333333333337</v>
      </c>
      <c r="G106" s="67"/>
      <c r="H106" s="68"/>
      <c r="I106" s="36"/>
      <c r="J106" s="9" t="str">
        <f t="shared" si="18"/>
        <v/>
      </c>
      <c r="K106" s="41"/>
      <c r="L106" s="41"/>
      <c r="M106" s="41"/>
      <c r="N106" s="41"/>
      <c r="O106" s="41"/>
      <c r="P106" s="41"/>
      <c r="Q106" s="41"/>
      <c r="R106" s="41"/>
      <c r="S106" s="13">
        <f t="shared" si="22"/>
        <v>0</v>
      </c>
      <c r="T106" s="13">
        <v>100000</v>
      </c>
      <c r="U106" s="13">
        <f t="shared" si="24"/>
        <v>0</v>
      </c>
      <c r="V106" s="4"/>
      <c r="Y106" s="4"/>
    </row>
    <row r="107" spans="2:25" ht="18.75" hidden="1">
      <c r="B107" s="58"/>
      <c r="C107" s="60"/>
      <c r="D107" s="51"/>
      <c r="E107" s="62" t="s">
        <v>102</v>
      </c>
      <c r="F107" s="5">
        <v>0.91666666666666663</v>
      </c>
      <c r="G107" s="65"/>
      <c r="H107" s="66"/>
      <c r="I107" s="34"/>
      <c r="J107" s="6" t="str">
        <f t="shared" si="18"/>
        <v/>
      </c>
      <c r="K107" s="38"/>
      <c r="L107" s="38"/>
      <c r="M107" s="38"/>
      <c r="N107" s="38"/>
      <c r="O107" s="38"/>
      <c r="P107" s="38"/>
      <c r="Q107" s="38"/>
      <c r="R107" s="38"/>
      <c r="S107" s="7">
        <f t="shared" si="22"/>
        <v>0</v>
      </c>
      <c r="T107" s="7">
        <v>100000</v>
      </c>
      <c r="U107" s="7">
        <f t="shared" si="24"/>
        <v>0</v>
      </c>
      <c r="V107" s="4"/>
      <c r="Y107" s="4"/>
    </row>
    <row r="108" spans="2:25" ht="18.75" hidden="1">
      <c r="B108" s="58"/>
      <c r="C108" s="60"/>
      <c r="D108" s="52"/>
      <c r="E108" s="63"/>
      <c r="F108" s="8">
        <v>1</v>
      </c>
      <c r="G108" s="67"/>
      <c r="H108" s="68"/>
      <c r="I108" s="35"/>
      <c r="J108" s="9" t="str">
        <f t="shared" si="18"/>
        <v/>
      </c>
      <c r="K108" s="39"/>
      <c r="L108" s="39"/>
      <c r="M108" s="39"/>
      <c r="N108" s="39"/>
      <c r="O108" s="39"/>
      <c r="P108" s="39"/>
      <c r="Q108" s="39"/>
      <c r="R108" s="39"/>
      <c r="S108" s="10">
        <f t="shared" si="22"/>
        <v>0</v>
      </c>
      <c r="T108" s="10">
        <v>100000</v>
      </c>
      <c r="U108" s="10">
        <f t="shared" si="24"/>
        <v>0</v>
      </c>
      <c r="V108" s="4"/>
      <c r="Y108" s="4"/>
    </row>
    <row r="109" spans="2:25" ht="18.75" hidden="1">
      <c r="B109" s="58"/>
      <c r="C109" s="60"/>
      <c r="D109" s="52"/>
      <c r="E109" s="63"/>
      <c r="F109" s="8">
        <v>8.3333333333333329E-2</v>
      </c>
      <c r="G109" s="67"/>
      <c r="H109" s="68"/>
      <c r="I109" s="35"/>
      <c r="J109" s="9" t="str">
        <f t="shared" si="18"/>
        <v/>
      </c>
      <c r="K109" s="39"/>
      <c r="L109" s="39"/>
      <c r="M109" s="39"/>
      <c r="N109" s="39"/>
      <c r="O109" s="39"/>
      <c r="P109" s="39"/>
      <c r="Q109" s="39"/>
      <c r="R109" s="39"/>
      <c r="S109" s="10">
        <f t="shared" si="22"/>
        <v>0</v>
      </c>
      <c r="T109" s="10">
        <v>100000</v>
      </c>
      <c r="U109" s="10">
        <f t="shared" si="24"/>
        <v>0</v>
      </c>
      <c r="V109" s="4"/>
      <c r="Y109" s="4"/>
    </row>
    <row r="110" spans="2:25" ht="18.75" hidden="1">
      <c r="B110" s="58"/>
      <c r="C110" s="60"/>
      <c r="D110" s="52"/>
      <c r="E110" s="63"/>
      <c r="F110" s="8">
        <v>0.16666666666666666</v>
      </c>
      <c r="G110" s="67"/>
      <c r="H110" s="68"/>
      <c r="I110" s="35"/>
      <c r="J110" s="9" t="str">
        <f t="shared" si="18"/>
        <v/>
      </c>
      <c r="K110" s="39"/>
      <c r="L110" s="39"/>
      <c r="M110" s="39"/>
      <c r="N110" s="39"/>
      <c r="O110" s="39"/>
      <c r="P110" s="39"/>
      <c r="Q110" s="39"/>
      <c r="R110" s="39"/>
      <c r="S110" s="10">
        <f t="shared" si="22"/>
        <v>0</v>
      </c>
      <c r="T110" s="10">
        <v>100000</v>
      </c>
      <c r="U110" s="10">
        <f t="shared" si="24"/>
        <v>0</v>
      </c>
      <c r="V110" s="4"/>
      <c r="W110" s="4"/>
      <c r="X110" s="4"/>
      <c r="Y110" s="4"/>
    </row>
    <row r="111" spans="2:25" ht="18.75" hidden="1">
      <c r="B111" s="58"/>
      <c r="C111" s="60"/>
      <c r="D111" s="52"/>
      <c r="E111" s="63"/>
      <c r="F111" s="8">
        <v>0.25</v>
      </c>
      <c r="G111" s="67"/>
      <c r="H111" s="68"/>
      <c r="I111" s="35"/>
      <c r="J111" s="9" t="str">
        <f t="shared" si="18"/>
        <v/>
      </c>
      <c r="K111" s="39"/>
      <c r="L111" s="39"/>
      <c r="M111" s="39"/>
      <c r="N111" s="39"/>
      <c r="O111" s="39"/>
      <c r="P111" s="39"/>
      <c r="Q111" s="39"/>
      <c r="R111" s="39"/>
      <c r="S111" s="10">
        <f t="shared" si="22"/>
        <v>0</v>
      </c>
      <c r="T111" s="10">
        <v>100000</v>
      </c>
      <c r="U111" s="10">
        <f t="shared" si="24"/>
        <v>0</v>
      </c>
      <c r="V111" s="4"/>
      <c r="Y111" s="4"/>
    </row>
    <row r="112" spans="2:25" ht="18.75" hidden="1">
      <c r="B112" s="58"/>
      <c r="C112" s="60"/>
      <c r="D112" s="53"/>
      <c r="E112" s="64"/>
      <c r="F112" s="14">
        <v>0.33333333333333331</v>
      </c>
      <c r="G112" s="67"/>
      <c r="H112" s="68"/>
      <c r="I112" s="37"/>
      <c r="J112" s="9" t="str">
        <f t="shared" si="18"/>
        <v/>
      </c>
      <c r="K112" s="40"/>
      <c r="L112" s="40"/>
      <c r="M112" s="40"/>
      <c r="N112" s="40"/>
      <c r="O112" s="40"/>
      <c r="P112" s="40"/>
      <c r="Q112" s="40"/>
      <c r="R112" s="40"/>
      <c r="S112" s="16">
        <f t="shared" si="22"/>
        <v>0</v>
      </c>
      <c r="T112" s="16">
        <v>100000</v>
      </c>
      <c r="U112" s="16">
        <f t="shared" si="24"/>
        <v>0</v>
      </c>
      <c r="V112" s="4"/>
      <c r="W112" s="4"/>
      <c r="X112" s="4"/>
      <c r="Y112" s="4"/>
    </row>
    <row r="113" spans="2:25" ht="39.75" hidden="1" customHeight="1">
      <c r="B113" s="58">
        <v>46090</v>
      </c>
      <c r="C113" s="59" t="s">
        <v>16</v>
      </c>
      <c r="D113" s="51" t="s">
        <v>54</v>
      </c>
      <c r="E113" s="62" t="s">
        <v>101</v>
      </c>
      <c r="F113" s="5">
        <v>0.41666666666666669</v>
      </c>
      <c r="G113" s="65" t="s">
        <v>74</v>
      </c>
      <c r="H113" s="66"/>
      <c r="I113" s="34"/>
      <c r="J113" s="6" t="str">
        <f t="shared" si="18"/>
        <v/>
      </c>
      <c r="K113" s="38"/>
      <c r="L113" s="38"/>
      <c r="M113" s="38"/>
      <c r="N113" s="38"/>
      <c r="O113" s="38"/>
      <c r="P113" s="38"/>
      <c r="Q113" s="38"/>
      <c r="R113" s="38"/>
      <c r="S113" s="7">
        <f>SUM(K113:R113)</f>
        <v>0</v>
      </c>
      <c r="T113" s="7">
        <v>100000</v>
      </c>
      <c r="U113" s="7">
        <f>T113*S113</f>
        <v>0</v>
      </c>
      <c r="V113" s="4"/>
      <c r="W113" s="4"/>
      <c r="X113" s="4"/>
      <c r="Y113" s="4"/>
    </row>
    <row r="114" spans="2:25" ht="37.5" hidden="1">
      <c r="B114" s="58"/>
      <c r="C114" s="60"/>
      <c r="D114" s="52" t="s">
        <v>54</v>
      </c>
      <c r="E114" s="63"/>
      <c r="F114" s="8">
        <v>0.5</v>
      </c>
      <c r="G114" s="67" t="s">
        <v>74</v>
      </c>
      <c r="H114" s="68"/>
      <c r="I114" s="35"/>
      <c r="J114" s="9" t="str">
        <f t="shared" si="18"/>
        <v/>
      </c>
      <c r="K114" s="39"/>
      <c r="L114" s="39"/>
      <c r="M114" s="39"/>
      <c r="N114" s="39"/>
      <c r="O114" s="39"/>
      <c r="P114" s="39"/>
      <c r="Q114" s="39"/>
      <c r="R114" s="39"/>
      <c r="S114" s="10">
        <f t="shared" ref="S114:S124" si="25">SUM(K114:R114)</f>
        <v>0</v>
      </c>
      <c r="T114" s="10">
        <v>100000</v>
      </c>
      <c r="U114" s="10">
        <f t="shared" ref="U114:U115" si="26">T114*S114</f>
        <v>0</v>
      </c>
      <c r="V114" s="4"/>
      <c r="W114" s="4"/>
      <c r="X114" s="4"/>
      <c r="Y114" s="4"/>
    </row>
    <row r="115" spans="2:25" ht="37.5" hidden="1">
      <c r="B115" s="58"/>
      <c r="C115" s="60"/>
      <c r="D115" s="52" t="s">
        <v>54</v>
      </c>
      <c r="E115" s="63"/>
      <c r="F115" s="8">
        <v>0.58333333333333337</v>
      </c>
      <c r="G115" s="67" t="s">
        <v>74</v>
      </c>
      <c r="H115" s="68"/>
      <c r="I115" s="35">
        <v>10</v>
      </c>
      <c r="J115" s="9">
        <f t="shared" si="18"/>
        <v>0.5</v>
      </c>
      <c r="K115" s="39"/>
      <c r="L115" s="39"/>
      <c r="M115" s="39"/>
      <c r="N115" s="39"/>
      <c r="O115" s="39"/>
      <c r="P115" s="39"/>
      <c r="Q115" s="39">
        <v>5</v>
      </c>
      <c r="R115" s="39"/>
      <c r="S115" s="10">
        <f t="shared" si="25"/>
        <v>5</v>
      </c>
      <c r="T115" s="10">
        <v>100000</v>
      </c>
      <c r="U115" s="10">
        <f t="shared" si="26"/>
        <v>500000</v>
      </c>
      <c r="V115" s="4"/>
      <c r="W115" s="4"/>
      <c r="X115" s="4"/>
      <c r="Y115" s="4"/>
    </row>
    <row r="116" spans="2:25" ht="37.5" hidden="1">
      <c r="B116" s="58"/>
      <c r="C116" s="60"/>
      <c r="D116" s="52" t="s">
        <v>54</v>
      </c>
      <c r="E116" s="63"/>
      <c r="F116" s="8">
        <v>0.66666666666666663</v>
      </c>
      <c r="G116" s="67" t="s">
        <v>74</v>
      </c>
      <c r="H116" s="68"/>
      <c r="I116" s="35">
        <v>50</v>
      </c>
      <c r="J116" s="9">
        <f t="shared" si="18"/>
        <v>0</v>
      </c>
      <c r="K116" s="39"/>
      <c r="L116" s="39"/>
      <c r="M116" s="39"/>
      <c r="N116" s="39"/>
      <c r="O116" s="39"/>
      <c r="P116" s="39"/>
      <c r="Q116" s="39"/>
      <c r="R116" s="39"/>
      <c r="S116" s="10">
        <f t="shared" si="25"/>
        <v>0</v>
      </c>
      <c r="T116" s="10">
        <v>100000</v>
      </c>
      <c r="U116" s="10">
        <f>T116*S116</f>
        <v>0</v>
      </c>
      <c r="V116" s="4"/>
      <c r="W116" s="4"/>
      <c r="X116" s="4"/>
      <c r="Y116" s="4"/>
    </row>
    <row r="117" spans="2:25" ht="37.5" hidden="1">
      <c r="B117" s="58"/>
      <c r="C117" s="60"/>
      <c r="D117" s="52" t="s">
        <v>54</v>
      </c>
      <c r="E117" s="63"/>
      <c r="F117" s="8">
        <v>0.75</v>
      </c>
      <c r="G117" s="67" t="s">
        <v>74</v>
      </c>
      <c r="H117" s="68"/>
      <c r="I117" s="35">
        <v>60</v>
      </c>
      <c r="J117" s="9">
        <f t="shared" si="18"/>
        <v>0</v>
      </c>
      <c r="K117" s="39"/>
      <c r="L117" s="39"/>
      <c r="M117" s="39"/>
      <c r="N117" s="39"/>
      <c r="O117" s="39"/>
      <c r="P117" s="39"/>
      <c r="Q117" s="39"/>
      <c r="R117" s="39"/>
      <c r="S117" s="10">
        <f t="shared" si="25"/>
        <v>0</v>
      </c>
      <c r="T117" s="10">
        <v>100000</v>
      </c>
      <c r="U117" s="10">
        <f t="shared" ref="U117:U124" si="27">T117*S117</f>
        <v>0</v>
      </c>
      <c r="V117" s="4"/>
      <c r="W117" s="4"/>
      <c r="X117" s="11"/>
      <c r="Y117" s="4"/>
    </row>
    <row r="118" spans="2:25" ht="37.5" hidden="1">
      <c r="B118" s="58"/>
      <c r="C118" s="60"/>
      <c r="D118" s="53" t="s">
        <v>54</v>
      </c>
      <c r="E118" s="64"/>
      <c r="F118" s="12">
        <v>0.83333333333333337</v>
      </c>
      <c r="G118" s="67" t="s">
        <v>74</v>
      </c>
      <c r="H118" s="68"/>
      <c r="I118" s="36">
        <v>60</v>
      </c>
      <c r="J118" s="9">
        <f t="shared" si="18"/>
        <v>0</v>
      </c>
      <c r="K118" s="41"/>
      <c r="L118" s="41"/>
      <c r="M118" s="41"/>
      <c r="N118" s="41"/>
      <c r="O118" s="41"/>
      <c r="P118" s="41"/>
      <c r="Q118" s="41"/>
      <c r="R118" s="41"/>
      <c r="S118" s="13">
        <f t="shared" si="25"/>
        <v>0</v>
      </c>
      <c r="T118" s="13">
        <v>100000</v>
      </c>
      <c r="U118" s="13">
        <f t="shared" si="27"/>
        <v>0</v>
      </c>
      <c r="V118" s="4"/>
      <c r="Y118" s="4"/>
    </row>
    <row r="119" spans="2:25" ht="18.75" hidden="1">
      <c r="B119" s="58"/>
      <c r="C119" s="60"/>
      <c r="D119" s="51"/>
      <c r="E119" s="62" t="s">
        <v>102</v>
      </c>
      <c r="F119" s="5">
        <v>0.91666666666666663</v>
      </c>
      <c r="G119" s="65"/>
      <c r="H119" s="66"/>
      <c r="I119" s="34"/>
      <c r="J119" s="6" t="str">
        <f t="shared" si="18"/>
        <v/>
      </c>
      <c r="K119" s="38"/>
      <c r="L119" s="38"/>
      <c r="M119" s="38"/>
      <c r="N119" s="38"/>
      <c r="O119" s="38"/>
      <c r="P119" s="38"/>
      <c r="Q119" s="38"/>
      <c r="R119" s="38"/>
      <c r="S119" s="7">
        <f t="shared" si="25"/>
        <v>0</v>
      </c>
      <c r="T119" s="7">
        <v>100000</v>
      </c>
      <c r="U119" s="7">
        <f t="shared" si="27"/>
        <v>0</v>
      </c>
      <c r="V119" s="4"/>
      <c r="Y119" s="4"/>
    </row>
    <row r="120" spans="2:25" ht="18.75" hidden="1">
      <c r="B120" s="58"/>
      <c r="C120" s="60"/>
      <c r="D120" s="52"/>
      <c r="E120" s="63"/>
      <c r="F120" s="8">
        <v>1</v>
      </c>
      <c r="G120" s="67"/>
      <c r="H120" s="68"/>
      <c r="I120" s="35"/>
      <c r="J120" s="9" t="str">
        <f t="shared" si="18"/>
        <v/>
      </c>
      <c r="K120" s="39"/>
      <c r="L120" s="39"/>
      <c r="M120" s="39"/>
      <c r="N120" s="39"/>
      <c r="O120" s="39"/>
      <c r="P120" s="39"/>
      <c r="Q120" s="39"/>
      <c r="R120" s="39"/>
      <c r="S120" s="10">
        <f t="shared" si="25"/>
        <v>0</v>
      </c>
      <c r="T120" s="10">
        <v>100000</v>
      </c>
      <c r="U120" s="10">
        <f t="shared" si="27"/>
        <v>0</v>
      </c>
      <c r="V120" s="4"/>
      <c r="Y120" s="4"/>
    </row>
    <row r="121" spans="2:25" ht="18.75" hidden="1">
      <c r="B121" s="58"/>
      <c r="C121" s="60"/>
      <c r="D121" s="52"/>
      <c r="E121" s="63"/>
      <c r="F121" s="8">
        <v>8.3333333333333329E-2</v>
      </c>
      <c r="G121" s="67"/>
      <c r="H121" s="68"/>
      <c r="I121" s="35"/>
      <c r="J121" s="9" t="str">
        <f t="shared" si="18"/>
        <v/>
      </c>
      <c r="K121" s="39"/>
      <c r="L121" s="39"/>
      <c r="M121" s="39"/>
      <c r="N121" s="39"/>
      <c r="O121" s="39"/>
      <c r="P121" s="39"/>
      <c r="Q121" s="39"/>
      <c r="R121" s="39"/>
      <c r="S121" s="10">
        <f t="shared" si="25"/>
        <v>0</v>
      </c>
      <c r="T121" s="10">
        <v>100000</v>
      </c>
      <c r="U121" s="10">
        <f t="shared" si="27"/>
        <v>0</v>
      </c>
      <c r="V121" s="4"/>
      <c r="Y121" s="4"/>
    </row>
    <row r="122" spans="2:25" ht="18.75" hidden="1">
      <c r="B122" s="58"/>
      <c r="C122" s="60"/>
      <c r="D122" s="52"/>
      <c r="E122" s="63"/>
      <c r="F122" s="8">
        <v>0.16666666666666666</v>
      </c>
      <c r="G122" s="67"/>
      <c r="H122" s="68"/>
      <c r="I122" s="35"/>
      <c r="J122" s="9" t="str">
        <f t="shared" si="18"/>
        <v/>
      </c>
      <c r="K122" s="39"/>
      <c r="L122" s="39"/>
      <c r="M122" s="39"/>
      <c r="N122" s="39"/>
      <c r="O122" s="39"/>
      <c r="P122" s="39"/>
      <c r="Q122" s="39"/>
      <c r="R122" s="39"/>
      <c r="S122" s="10">
        <f t="shared" si="25"/>
        <v>0</v>
      </c>
      <c r="T122" s="10">
        <v>100000</v>
      </c>
      <c r="U122" s="10">
        <f t="shared" si="27"/>
        <v>0</v>
      </c>
      <c r="V122" s="4"/>
      <c r="W122" s="4"/>
      <c r="X122" s="4"/>
      <c r="Y122" s="4"/>
    </row>
    <row r="123" spans="2:25" ht="18.75" hidden="1">
      <c r="B123" s="58"/>
      <c r="C123" s="60"/>
      <c r="D123" s="52"/>
      <c r="E123" s="63"/>
      <c r="F123" s="8">
        <v>0.25</v>
      </c>
      <c r="G123" s="67"/>
      <c r="H123" s="68"/>
      <c r="I123" s="35"/>
      <c r="J123" s="9" t="str">
        <f t="shared" si="18"/>
        <v/>
      </c>
      <c r="K123" s="39"/>
      <c r="L123" s="39"/>
      <c r="M123" s="39"/>
      <c r="N123" s="39"/>
      <c r="O123" s="39"/>
      <c r="P123" s="39"/>
      <c r="Q123" s="39"/>
      <c r="R123" s="39"/>
      <c r="S123" s="10">
        <f t="shared" si="25"/>
        <v>0</v>
      </c>
      <c r="T123" s="10">
        <v>100000</v>
      </c>
      <c r="U123" s="10">
        <f t="shared" si="27"/>
        <v>0</v>
      </c>
      <c r="V123" s="4"/>
      <c r="Y123" s="4"/>
    </row>
    <row r="124" spans="2:25" ht="18.75" hidden="1">
      <c r="B124" s="58"/>
      <c r="C124" s="60"/>
      <c r="D124" s="53"/>
      <c r="E124" s="64"/>
      <c r="F124" s="14">
        <v>0.33333333333333331</v>
      </c>
      <c r="G124" s="67"/>
      <c r="H124" s="68"/>
      <c r="I124" s="37"/>
      <c r="J124" s="9" t="str">
        <f t="shared" si="18"/>
        <v/>
      </c>
      <c r="K124" s="40"/>
      <c r="L124" s="40"/>
      <c r="M124" s="40"/>
      <c r="N124" s="40"/>
      <c r="O124" s="40"/>
      <c r="P124" s="40"/>
      <c r="Q124" s="40"/>
      <c r="R124" s="40"/>
      <c r="S124" s="16">
        <f t="shared" si="25"/>
        <v>0</v>
      </c>
      <c r="T124" s="16">
        <v>100000</v>
      </c>
      <c r="U124" s="16">
        <f t="shared" si="27"/>
        <v>0</v>
      </c>
      <c r="V124" s="4"/>
      <c r="W124" s="4"/>
      <c r="X124" s="4"/>
      <c r="Y124" s="4"/>
    </row>
    <row r="125" spans="2:25" ht="33.75" hidden="1" customHeight="1">
      <c r="B125" s="58">
        <v>46091</v>
      </c>
      <c r="C125" s="59" t="s">
        <v>16</v>
      </c>
      <c r="D125" s="51" t="s">
        <v>53</v>
      </c>
      <c r="E125" s="62" t="s">
        <v>101</v>
      </c>
      <c r="F125" s="5">
        <v>0.41666666666666669</v>
      </c>
      <c r="G125" s="65" t="s">
        <v>78</v>
      </c>
      <c r="H125" s="66"/>
      <c r="I125" s="34">
        <v>0</v>
      </c>
      <c r="J125" s="6" t="str">
        <f t="shared" si="18"/>
        <v/>
      </c>
      <c r="K125" s="38"/>
      <c r="L125" s="38"/>
      <c r="M125" s="38"/>
      <c r="N125" s="38"/>
      <c r="O125" s="38"/>
      <c r="P125" s="38"/>
      <c r="Q125" s="38"/>
      <c r="R125" s="38"/>
      <c r="S125" s="7">
        <f>SUM(K125:R125)</f>
        <v>0</v>
      </c>
      <c r="T125" s="7">
        <v>100000</v>
      </c>
      <c r="U125" s="7">
        <f>T125*S125</f>
        <v>0</v>
      </c>
      <c r="V125" s="4"/>
      <c r="W125" s="4"/>
      <c r="X125" s="4"/>
      <c r="Y125" s="4"/>
    </row>
    <row r="126" spans="2:25" ht="37.5" hidden="1">
      <c r="B126" s="58"/>
      <c r="C126" s="60"/>
      <c r="D126" s="52" t="s">
        <v>53</v>
      </c>
      <c r="E126" s="63"/>
      <c r="F126" s="8">
        <v>0.5</v>
      </c>
      <c r="G126" s="67" t="s">
        <v>78</v>
      </c>
      <c r="H126" s="68"/>
      <c r="I126" s="35">
        <v>60</v>
      </c>
      <c r="J126" s="9">
        <f t="shared" si="18"/>
        <v>0.15</v>
      </c>
      <c r="K126" s="39"/>
      <c r="L126" s="39"/>
      <c r="M126" s="39">
        <v>1</v>
      </c>
      <c r="N126" s="39"/>
      <c r="O126" s="39"/>
      <c r="P126" s="39"/>
      <c r="Q126" s="39">
        <v>8</v>
      </c>
      <c r="R126" s="39"/>
      <c r="S126" s="10">
        <f t="shared" ref="S126:S136" si="28">SUM(K126:R126)</f>
        <v>9</v>
      </c>
      <c r="T126" s="10">
        <v>100000</v>
      </c>
      <c r="U126" s="10">
        <f t="shared" ref="U126:U127" si="29">T126*S126</f>
        <v>900000</v>
      </c>
      <c r="V126" s="4"/>
      <c r="W126" s="4"/>
      <c r="X126" s="4"/>
      <c r="Y126" s="4"/>
    </row>
    <row r="127" spans="2:25" ht="37.5" hidden="1">
      <c r="B127" s="58"/>
      <c r="C127" s="60"/>
      <c r="D127" s="52" t="s">
        <v>53</v>
      </c>
      <c r="E127" s="63"/>
      <c r="F127" s="8">
        <v>0.58333333333333337</v>
      </c>
      <c r="G127" s="67" t="s">
        <v>78</v>
      </c>
      <c r="H127" s="68"/>
      <c r="I127" s="35">
        <v>65</v>
      </c>
      <c r="J127" s="9">
        <f t="shared" si="18"/>
        <v>0</v>
      </c>
      <c r="K127" s="39"/>
      <c r="L127" s="39"/>
      <c r="M127" s="39"/>
      <c r="N127" s="39"/>
      <c r="O127" s="39"/>
      <c r="P127" s="39"/>
      <c r="Q127" s="39"/>
      <c r="R127" s="39"/>
      <c r="S127" s="10">
        <f t="shared" si="28"/>
        <v>0</v>
      </c>
      <c r="T127" s="10">
        <v>100000</v>
      </c>
      <c r="U127" s="10">
        <f t="shared" si="29"/>
        <v>0</v>
      </c>
      <c r="V127" s="4"/>
      <c r="W127" s="4"/>
      <c r="X127" s="4"/>
      <c r="Y127" s="4"/>
    </row>
    <row r="128" spans="2:25" ht="37.5" hidden="1">
      <c r="B128" s="58"/>
      <c r="C128" s="60"/>
      <c r="D128" s="52" t="s">
        <v>53</v>
      </c>
      <c r="E128" s="63"/>
      <c r="F128" s="8">
        <v>0.66666666666666663</v>
      </c>
      <c r="G128" s="67" t="s">
        <v>78</v>
      </c>
      <c r="H128" s="68"/>
      <c r="I128" s="35">
        <v>65</v>
      </c>
      <c r="J128" s="9">
        <f t="shared" si="18"/>
        <v>0</v>
      </c>
      <c r="K128" s="39"/>
      <c r="L128" s="39"/>
      <c r="M128" s="39"/>
      <c r="N128" s="39"/>
      <c r="O128" s="39"/>
      <c r="P128" s="39"/>
      <c r="Q128" s="39"/>
      <c r="R128" s="39"/>
      <c r="S128" s="10">
        <f t="shared" si="28"/>
        <v>0</v>
      </c>
      <c r="T128" s="10">
        <v>100000</v>
      </c>
      <c r="U128" s="10">
        <f>T128*S128</f>
        <v>0</v>
      </c>
      <c r="V128" s="4"/>
      <c r="W128" s="4"/>
      <c r="X128" s="4"/>
      <c r="Y128" s="4"/>
    </row>
    <row r="129" spans="2:25" ht="37.5" hidden="1">
      <c r="B129" s="58"/>
      <c r="C129" s="60"/>
      <c r="D129" s="52" t="s">
        <v>53</v>
      </c>
      <c r="E129" s="63"/>
      <c r="F129" s="8">
        <v>0.75</v>
      </c>
      <c r="G129" s="67" t="s">
        <v>78</v>
      </c>
      <c r="H129" s="68"/>
      <c r="I129" s="35">
        <v>65</v>
      </c>
      <c r="J129" s="9">
        <f t="shared" si="18"/>
        <v>0</v>
      </c>
      <c r="K129" s="39"/>
      <c r="L129" s="39"/>
      <c r="M129" s="39"/>
      <c r="N129" s="39"/>
      <c r="O129" s="39"/>
      <c r="P129" s="39"/>
      <c r="Q129" s="39"/>
      <c r="R129" s="39"/>
      <c r="S129" s="10">
        <f t="shared" si="28"/>
        <v>0</v>
      </c>
      <c r="T129" s="10">
        <v>100000</v>
      </c>
      <c r="U129" s="10">
        <f t="shared" ref="U129:U136" si="30">T129*S129</f>
        <v>0</v>
      </c>
      <c r="V129" s="4"/>
      <c r="W129" s="4"/>
      <c r="X129" s="11"/>
      <c r="Y129" s="4"/>
    </row>
    <row r="130" spans="2:25" ht="37.5" hidden="1">
      <c r="B130" s="58"/>
      <c r="C130" s="60"/>
      <c r="D130" s="53" t="s">
        <v>53</v>
      </c>
      <c r="E130" s="64"/>
      <c r="F130" s="12">
        <v>0.83333333333333337</v>
      </c>
      <c r="G130" s="67" t="s">
        <v>78</v>
      </c>
      <c r="H130" s="68"/>
      <c r="I130" s="36">
        <v>65</v>
      </c>
      <c r="J130" s="9">
        <f t="shared" si="18"/>
        <v>0</v>
      </c>
      <c r="K130" s="41"/>
      <c r="L130" s="41"/>
      <c r="M130" s="39"/>
      <c r="N130" s="41"/>
      <c r="O130" s="41"/>
      <c r="P130" s="41"/>
      <c r="Q130" s="41"/>
      <c r="R130" s="41"/>
      <c r="S130" s="13">
        <f t="shared" si="28"/>
        <v>0</v>
      </c>
      <c r="T130" s="13">
        <v>100000</v>
      </c>
      <c r="U130" s="13">
        <f t="shared" si="30"/>
        <v>0</v>
      </c>
      <c r="V130" s="4"/>
      <c r="Y130" s="4"/>
    </row>
    <row r="131" spans="2:25" ht="37.5" hidden="1">
      <c r="B131" s="58"/>
      <c r="C131" s="60"/>
      <c r="D131" s="51" t="s">
        <v>53</v>
      </c>
      <c r="E131" s="62" t="s">
        <v>102</v>
      </c>
      <c r="F131" s="5">
        <v>0.91666666666666663</v>
      </c>
      <c r="G131" s="65" t="s">
        <v>84</v>
      </c>
      <c r="H131" s="66"/>
      <c r="I131" s="34">
        <v>60</v>
      </c>
      <c r="J131" s="6">
        <f t="shared" si="18"/>
        <v>1.6666666666666666E-2</v>
      </c>
      <c r="K131" s="38">
        <v>1</v>
      </c>
      <c r="L131" s="38"/>
      <c r="M131" s="38"/>
      <c r="N131" s="38"/>
      <c r="O131" s="38"/>
      <c r="P131" s="38"/>
      <c r="Q131" s="38"/>
      <c r="R131" s="38"/>
      <c r="S131" s="7">
        <f t="shared" si="28"/>
        <v>1</v>
      </c>
      <c r="T131" s="7">
        <v>100000</v>
      </c>
      <c r="U131" s="7">
        <f t="shared" si="30"/>
        <v>100000</v>
      </c>
      <c r="V131" s="4"/>
      <c r="Y131" s="4"/>
    </row>
    <row r="132" spans="2:25" ht="37.5" hidden="1">
      <c r="B132" s="58"/>
      <c r="C132" s="60"/>
      <c r="D132" s="52" t="s">
        <v>53</v>
      </c>
      <c r="E132" s="63"/>
      <c r="F132" s="8">
        <v>1</v>
      </c>
      <c r="G132" s="67" t="s">
        <v>84</v>
      </c>
      <c r="H132" s="68"/>
      <c r="I132" s="35">
        <v>60</v>
      </c>
      <c r="J132" s="9">
        <f t="shared" si="18"/>
        <v>1.6666666666666666E-2</v>
      </c>
      <c r="K132" s="39">
        <v>1</v>
      </c>
      <c r="L132" s="39"/>
      <c r="M132" s="39"/>
      <c r="N132" s="39"/>
      <c r="O132" s="39"/>
      <c r="P132" s="39"/>
      <c r="Q132" s="39"/>
      <c r="R132" s="39"/>
      <c r="S132" s="10">
        <f t="shared" si="28"/>
        <v>1</v>
      </c>
      <c r="T132" s="10">
        <v>100000</v>
      </c>
      <c r="U132" s="10">
        <f t="shared" si="30"/>
        <v>100000</v>
      </c>
      <c r="V132" s="4"/>
      <c r="Y132" s="4"/>
    </row>
    <row r="133" spans="2:25" ht="37.5" hidden="1">
      <c r="B133" s="58"/>
      <c r="C133" s="60"/>
      <c r="D133" s="52" t="s">
        <v>53</v>
      </c>
      <c r="E133" s="63"/>
      <c r="F133" s="8">
        <v>8.3333333333333329E-2</v>
      </c>
      <c r="G133" s="67" t="s">
        <v>84</v>
      </c>
      <c r="H133" s="68"/>
      <c r="I133" s="35">
        <v>60</v>
      </c>
      <c r="J133" s="9">
        <f t="shared" si="18"/>
        <v>1.6666666666666666E-2</v>
      </c>
      <c r="K133" s="39">
        <v>1</v>
      </c>
      <c r="L133" s="39"/>
      <c r="M133" s="39"/>
      <c r="N133" s="39"/>
      <c r="O133" s="39"/>
      <c r="P133" s="39"/>
      <c r="Q133" s="39"/>
      <c r="R133" s="39"/>
      <c r="S133" s="10">
        <f t="shared" si="28"/>
        <v>1</v>
      </c>
      <c r="T133" s="10">
        <v>100000</v>
      </c>
      <c r="U133" s="10">
        <f t="shared" si="30"/>
        <v>100000</v>
      </c>
      <c r="V133" s="4"/>
      <c r="Y133" s="4"/>
    </row>
    <row r="134" spans="2:25" ht="37.5" hidden="1">
      <c r="B134" s="58"/>
      <c r="C134" s="60"/>
      <c r="D134" s="52" t="s">
        <v>53</v>
      </c>
      <c r="E134" s="63"/>
      <c r="F134" s="8">
        <v>0.16666666666666666</v>
      </c>
      <c r="G134" s="67" t="s">
        <v>84</v>
      </c>
      <c r="H134" s="68"/>
      <c r="I134" s="35">
        <v>60</v>
      </c>
      <c r="J134" s="9">
        <f t="shared" si="18"/>
        <v>1.6666666666666666E-2</v>
      </c>
      <c r="K134" s="39">
        <v>1</v>
      </c>
      <c r="L134" s="39"/>
      <c r="M134" s="39"/>
      <c r="N134" s="39"/>
      <c r="O134" s="39"/>
      <c r="P134" s="39"/>
      <c r="Q134" s="39"/>
      <c r="R134" s="39"/>
      <c r="S134" s="10">
        <f t="shared" si="28"/>
        <v>1</v>
      </c>
      <c r="T134" s="10">
        <v>100000</v>
      </c>
      <c r="U134" s="10">
        <f t="shared" si="30"/>
        <v>100000</v>
      </c>
      <c r="V134" s="4"/>
      <c r="W134" s="4"/>
      <c r="X134" s="4"/>
      <c r="Y134" s="4"/>
    </row>
    <row r="135" spans="2:25" ht="37.5" hidden="1">
      <c r="B135" s="58"/>
      <c r="C135" s="60"/>
      <c r="D135" s="52" t="s">
        <v>53</v>
      </c>
      <c r="E135" s="63"/>
      <c r="F135" s="8">
        <v>0.25</v>
      </c>
      <c r="G135" s="67" t="s">
        <v>84</v>
      </c>
      <c r="H135" s="68"/>
      <c r="I135" s="35">
        <v>60</v>
      </c>
      <c r="J135" s="9">
        <f t="shared" si="18"/>
        <v>0</v>
      </c>
      <c r="K135" s="39"/>
      <c r="L135" s="39"/>
      <c r="M135" s="39"/>
      <c r="N135" s="39"/>
      <c r="O135" s="39"/>
      <c r="P135" s="39"/>
      <c r="Q135" s="39"/>
      <c r="R135" s="39"/>
      <c r="S135" s="10">
        <f t="shared" si="28"/>
        <v>0</v>
      </c>
      <c r="T135" s="10">
        <v>100000</v>
      </c>
      <c r="U135" s="10">
        <f t="shared" si="30"/>
        <v>0</v>
      </c>
      <c r="V135" s="4"/>
      <c r="Y135" s="4"/>
    </row>
    <row r="136" spans="2:25" ht="37.5" hidden="1">
      <c r="B136" s="58"/>
      <c r="C136" s="61"/>
      <c r="D136" s="53" t="s">
        <v>53</v>
      </c>
      <c r="E136" s="64"/>
      <c r="F136" s="14">
        <v>0.33333333333333331</v>
      </c>
      <c r="G136" s="67" t="s">
        <v>84</v>
      </c>
      <c r="H136" s="68"/>
      <c r="I136" s="37">
        <v>60</v>
      </c>
      <c r="J136" s="15">
        <f t="shared" si="18"/>
        <v>0</v>
      </c>
      <c r="K136" s="40"/>
      <c r="L136" s="40"/>
      <c r="M136" s="40"/>
      <c r="N136" s="40"/>
      <c r="O136" s="40"/>
      <c r="P136" s="40"/>
      <c r="Q136" s="40"/>
      <c r="R136" s="40"/>
      <c r="S136" s="16">
        <f t="shared" si="28"/>
        <v>0</v>
      </c>
      <c r="T136" s="16">
        <v>100000</v>
      </c>
      <c r="U136" s="16">
        <f t="shared" si="30"/>
        <v>0</v>
      </c>
      <c r="V136" s="4"/>
      <c r="W136" s="4"/>
      <c r="X136" s="4"/>
      <c r="Y136" s="4"/>
    </row>
    <row r="137" spans="2:25" ht="16.5" hidden="1" customHeight="1">
      <c r="B137" s="58">
        <v>46092</v>
      </c>
      <c r="C137" s="59" t="s">
        <v>16</v>
      </c>
      <c r="D137" s="51"/>
      <c r="E137" s="62" t="s">
        <v>101</v>
      </c>
      <c r="F137" s="5">
        <v>0.41666666666666669</v>
      </c>
      <c r="G137" s="65"/>
      <c r="H137" s="66"/>
      <c r="I137" s="34"/>
      <c r="J137" s="6" t="str">
        <f t="shared" ref="J137:J148" si="31">IFERROR(S137/I137,"")</f>
        <v/>
      </c>
      <c r="K137" s="38"/>
      <c r="L137" s="38"/>
      <c r="M137" s="38"/>
      <c r="N137" s="38"/>
      <c r="O137" s="38"/>
      <c r="P137" s="38"/>
      <c r="Q137" s="38"/>
      <c r="R137" s="38"/>
      <c r="S137" s="7">
        <f>SUM(K137:R137)</f>
        <v>0</v>
      </c>
      <c r="T137" s="7">
        <v>100000</v>
      </c>
      <c r="U137" s="7">
        <f>T137*S137</f>
        <v>0</v>
      </c>
      <c r="V137" s="4"/>
      <c r="W137" s="4"/>
      <c r="X137" s="4"/>
      <c r="Y137" s="4"/>
    </row>
    <row r="138" spans="2:25" ht="18.75" hidden="1">
      <c r="B138" s="58"/>
      <c r="C138" s="60"/>
      <c r="D138" s="52"/>
      <c r="E138" s="63"/>
      <c r="F138" s="8">
        <v>0.5</v>
      </c>
      <c r="G138" s="67"/>
      <c r="H138" s="68"/>
      <c r="I138" s="35"/>
      <c r="J138" s="9" t="str">
        <f t="shared" si="31"/>
        <v/>
      </c>
      <c r="K138" s="39"/>
      <c r="L138" s="39"/>
      <c r="M138" s="39"/>
      <c r="N138" s="39"/>
      <c r="O138" s="39"/>
      <c r="P138" s="39"/>
      <c r="Q138" s="39"/>
      <c r="R138" s="39"/>
      <c r="S138" s="10">
        <f t="shared" ref="S138:S148" si="32">SUM(K138:R138)</f>
        <v>0</v>
      </c>
      <c r="T138" s="10">
        <v>100000</v>
      </c>
      <c r="U138" s="10">
        <f t="shared" ref="U138:U139" si="33">T138*S138</f>
        <v>0</v>
      </c>
      <c r="V138" s="4"/>
      <c r="W138" s="4"/>
      <c r="X138" s="4"/>
      <c r="Y138" s="4"/>
    </row>
    <row r="139" spans="2:25" ht="18.75" hidden="1">
      <c r="B139" s="58"/>
      <c r="C139" s="60"/>
      <c r="D139" s="52"/>
      <c r="E139" s="63"/>
      <c r="F139" s="8">
        <v>0.58333333333333337</v>
      </c>
      <c r="G139" s="67"/>
      <c r="H139" s="68"/>
      <c r="I139" s="35"/>
      <c r="J139" s="9" t="str">
        <f t="shared" si="31"/>
        <v/>
      </c>
      <c r="K139" s="39"/>
      <c r="L139" s="39"/>
      <c r="M139" s="39"/>
      <c r="N139" s="39"/>
      <c r="O139" s="39"/>
      <c r="P139" s="39"/>
      <c r="Q139" s="39"/>
      <c r="R139" s="39"/>
      <c r="S139" s="10">
        <f t="shared" si="32"/>
        <v>0</v>
      </c>
      <c r="T139" s="10">
        <v>100000</v>
      </c>
      <c r="U139" s="10">
        <f t="shared" si="33"/>
        <v>0</v>
      </c>
      <c r="V139" s="4"/>
      <c r="W139" s="4"/>
      <c r="X139" s="4"/>
      <c r="Y139" s="4"/>
    </row>
    <row r="140" spans="2:25" ht="18.75" hidden="1">
      <c r="B140" s="58"/>
      <c r="C140" s="60"/>
      <c r="D140" s="52"/>
      <c r="E140" s="63"/>
      <c r="F140" s="8">
        <v>0.66666666666666663</v>
      </c>
      <c r="G140" s="67"/>
      <c r="H140" s="68"/>
      <c r="I140" s="35"/>
      <c r="J140" s="9" t="str">
        <f t="shared" si="31"/>
        <v/>
      </c>
      <c r="K140" s="39"/>
      <c r="L140" s="39"/>
      <c r="M140" s="39"/>
      <c r="N140" s="39"/>
      <c r="O140" s="39"/>
      <c r="P140" s="39"/>
      <c r="Q140" s="39"/>
      <c r="R140" s="39"/>
      <c r="S140" s="10">
        <f t="shared" si="32"/>
        <v>0</v>
      </c>
      <c r="T140" s="10">
        <v>100000</v>
      </c>
      <c r="U140" s="10">
        <f>T140*S140</f>
        <v>0</v>
      </c>
      <c r="V140" s="4"/>
      <c r="W140" s="4"/>
      <c r="X140" s="4"/>
      <c r="Y140" s="4"/>
    </row>
    <row r="141" spans="2:25" ht="18.75" hidden="1">
      <c r="B141" s="58"/>
      <c r="C141" s="60"/>
      <c r="D141" s="52"/>
      <c r="E141" s="63"/>
      <c r="F141" s="8">
        <v>0.75</v>
      </c>
      <c r="G141" s="67"/>
      <c r="H141" s="68"/>
      <c r="I141" s="35"/>
      <c r="J141" s="9" t="str">
        <f t="shared" si="31"/>
        <v/>
      </c>
      <c r="K141" s="39"/>
      <c r="L141" s="39"/>
      <c r="M141" s="39"/>
      <c r="N141" s="39"/>
      <c r="O141" s="39"/>
      <c r="P141" s="39"/>
      <c r="Q141" s="39"/>
      <c r="R141" s="39"/>
      <c r="S141" s="10">
        <f t="shared" si="32"/>
        <v>0</v>
      </c>
      <c r="T141" s="10">
        <v>100000</v>
      </c>
      <c r="U141" s="10">
        <f t="shared" ref="U141:U148" si="34">T141*S141</f>
        <v>0</v>
      </c>
      <c r="V141" s="4"/>
      <c r="W141" s="4"/>
      <c r="X141" s="11"/>
      <c r="Y141" s="4"/>
    </row>
    <row r="142" spans="2:25" ht="18.75" hidden="1">
      <c r="B142" s="58"/>
      <c r="C142" s="60"/>
      <c r="D142" s="53"/>
      <c r="E142" s="64"/>
      <c r="F142" s="12">
        <v>0.83333333333333337</v>
      </c>
      <c r="G142" s="67"/>
      <c r="H142" s="68"/>
      <c r="I142" s="36"/>
      <c r="J142" s="9" t="str">
        <f t="shared" si="31"/>
        <v/>
      </c>
      <c r="K142" s="41"/>
      <c r="L142" s="41"/>
      <c r="M142" s="39"/>
      <c r="N142" s="41"/>
      <c r="O142" s="41"/>
      <c r="P142" s="41"/>
      <c r="Q142" s="41"/>
      <c r="R142" s="41"/>
      <c r="S142" s="13">
        <f t="shared" si="32"/>
        <v>0</v>
      </c>
      <c r="T142" s="13">
        <v>100000</v>
      </c>
      <c r="U142" s="13">
        <f t="shared" si="34"/>
        <v>0</v>
      </c>
      <c r="V142" s="4"/>
      <c r="Y142" s="4"/>
    </row>
    <row r="143" spans="2:25" ht="37.5" hidden="1">
      <c r="B143" s="58"/>
      <c r="C143" s="60"/>
      <c r="D143" s="51" t="s">
        <v>53</v>
      </c>
      <c r="E143" s="62" t="s">
        <v>102</v>
      </c>
      <c r="F143" s="5">
        <v>0.91666666666666663</v>
      </c>
      <c r="G143" s="65" t="s">
        <v>84</v>
      </c>
      <c r="H143" s="66"/>
      <c r="I143" s="34">
        <v>60</v>
      </c>
      <c r="J143" s="6">
        <f t="shared" si="31"/>
        <v>1.6666666666666666E-2</v>
      </c>
      <c r="K143" s="38">
        <v>1</v>
      </c>
      <c r="L143" s="38"/>
      <c r="M143" s="38"/>
      <c r="N143" s="38"/>
      <c r="O143" s="38"/>
      <c r="P143" s="38"/>
      <c r="Q143" s="38"/>
      <c r="R143" s="38"/>
      <c r="S143" s="7">
        <f t="shared" si="32"/>
        <v>1</v>
      </c>
      <c r="T143" s="7">
        <v>100000</v>
      </c>
      <c r="U143" s="7">
        <f t="shared" si="34"/>
        <v>100000</v>
      </c>
      <c r="V143" s="4"/>
      <c r="Y143" s="4"/>
    </row>
    <row r="144" spans="2:25" ht="37.5" hidden="1">
      <c r="B144" s="58"/>
      <c r="C144" s="60"/>
      <c r="D144" s="52" t="s">
        <v>53</v>
      </c>
      <c r="E144" s="63"/>
      <c r="F144" s="8">
        <v>1</v>
      </c>
      <c r="G144" s="67" t="s">
        <v>84</v>
      </c>
      <c r="H144" s="68"/>
      <c r="I144" s="35">
        <v>60</v>
      </c>
      <c r="J144" s="9">
        <f t="shared" si="31"/>
        <v>1.6666666666666666E-2</v>
      </c>
      <c r="K144" s="39"/>
      <c r="L144" s="39"/>
      <c r="M144" s="39">
        <v>1</v>
      </c>
      <c r="N144" s="39"/>
      <c r="O144" s="39"/>
      <c r="P144" s="39"/>
      <c r="Q144" s="39"/>
      <c r="R144" s="39"/>
      <c r="S144" s="10">
        <f t="shared" si="32"/>
        <v>1</v>
      </c>
      <c r="T144" s="10">
        <v>100000</v>
      </c>
      <c r="U144" s="10">
        <f t="shared" si="34"/>
        <v>100000</v>
      </c>
      <c r="V144" s="4"/>
      <c r="Y144" s="4"/>
    </row>
    <row r="145" spans="2:25" ht="37.5" hidden="1">
      <c r="B145" s="58"/>
      <c r="C145" s="60"/>
      <c r="D145" s="52" t="s">
        <v>53</v>
      </c>
      <c r="E145" s="63"/>
      <c r="F145" s="8">
        <v>8.3333333333333329E-2</v>
      </c>
      <c r="G145" s="67" t="s">
        <v>84</v>
      </c>
      <c r="H145" s="68"/>
      <c r="I145" s="35">
        <v>60</v>
      </c>
      <c r="J145" s="9">
        <f t="shared" si="31"/>
        <v>0</v>
      </c>
      <c r="K145" s="39"/>
      <c r="L145" s="39"/>
      <c r="M145" s="39"/>
      <c r="N145" s="39"/>
      <c r="O145" s="39"/>
      <c r="P145" s="39"/>
      <c r="Q145" s="39"/>
      <c r="R145" s="39"/>
      <c r="S145" s="10">
        <f t="shared" si="32"/>
        <v>0</v>
      </c>
      <c r="T145" s="10">
        <v>100000</v>
      </c>
      <c r="U145" s="10">
        <f t="shared" si="34"/>
        <v>0</v>
      </c>
      <c r="V145" s="4"/>
      <c r="Y145" s="4"/>
    </row>
    <row r="146" spans="2:25" ht="37.5" hidden="1">
      <c r="B146" s="58"/>
      <c r="C146" s="60"/>
      <c r="D146" s="52" t="s">
        <v>53</v>
      </c>
      <c r="E146" s="63"/>
      <c r="F146" s="8">
        <v>0.16666666666666666</v>
      </c>
      <c r="G146" s="67" t="s">
        <v>84</v>
      </c>
      <c r="H146" s="68"/>
      <c r="I146" s="35">
        <v>60</v>
      </c>
      <c r="J146" s="9">
        <f t="shared" si="31"/>
        <v>0</v>
      </c>
      <c r="K146" s="39"/>
      <c r="L146" s="39"/>
      <c r="M146" s="39"/>
      <c r="N146" s="39"/>
      <c r="O146" s="39"/>
      <c r="P146" s="39"/>
      <c r="Q146" s="39"/>
      <c r="R146" s="39"/>
      <c r="S146" s="10">
        <f t="shared" si="32"/>
        <v>0</v>
      </c>
      <c r="T146" s="10">
        <v>100000</v>
      </c>
      <c r="U146" s="10">
        <f t="shared" si="34"/>
        <v>0</v>
      </c>
      <c r="V146" s="4"/>
      <c r="W146" s="4"/>
      <c r="X146" s="4"/>
      <c r="Y146" s="4"/>
    </row>
    <row r="147" spans="2:25" ht="37.5" hidden="1">
      <c r="B147" s="58"/>
      <c r="C147" s="60"/>
      <c r="D147" s="52" t="s">
        <v>53</v>
      </c>
      <c r="E147" s="63"/>
      <c r="F147" s="8">
        <v>0.25</v>
      </c>
      <c r="G147" s="67" t="s">
        <v>84</v>
      </c>
      <c r="H147" s="68"/>
      <c r="I147" s="35">
        <v>60</v>
      </c>
      <c r="J147" s="9">
        <f t="shared" si="31"/>
        <v>0</v>
      </c>
      <c r="K147" s="39"/>
      <c r="L147" s="39"/>
      <c r="M147" s="39"/>
      <c r="N147" s="39"/>
      <c r="O147" s="39"/>
      <c r="P147" s="39"/>
      <c r="Q147" s="39"/>
      <c r="R147" s="39"/>
      <c r="S147" s="10">
        <f t="shared" si="32"/>
        <v>0</v>
      </c>
      <c r="T147" s="10">
        <v>100000</v>
      </c>
      <c r="U147" s="10">
        <f t="shared" si="34"/>
        <v>0</v>
      </c>
      <c r="V147" s="4"/>
      <c r="Y147" s="4"/>
    </row>
    <row r="148" spans="2:25" ht="37.5" hidden="1">
      <c r="B148" s="58"/>
      <c r="C148" s="61"/>
      <c r="D148" s="53" t="s">
        <v>53</v>
      </c>
      <c r="E148" s="69"/>
      <c r="F148" s="14">
        <v>0.33333333333333331</v>
      </c>
      <c r="G148" s="67" t="s">
        <v>84</v>
      </c>
      <c r="H148" s="68"/>
      <c r="I148" s="37">
        <v>0</v>
      </c>
      <c r="J148" s="15" t="str">
        <f t="shared" si="31"/>
        <v/>
      </c>
      <c r="K148" s="40"/>
      <c r="L148" s="40"/>
      <c r="M148" s="40"/>
      <c r="N148" s="40"/>
      <c r="O148" s="40"/>
      <c r="P148" s="40"/>
      <c r="Q148" s="40"/>
      <c r="R148" s="40"/>
      <c r="S148" s="16">
        <f t="shared" si="32"/>
        <v>0</v>
      </c>
      <c r="T148" s="16">
        <v>100000</v>
      </c>
      <c r="U148" s="16">
        <f t="shared" si="34"/>
        <v>0</v>
      </c>
      <c r="V148" s="4"/>
      <c r="W148" s="4"/>
      <c r="X148" s="4"/>
      <c r="Y148" s="4"/>
    </row>
    <row r="149" spans="2:25" ht="32.25" hidden="1" customHeight="1">
      <c r="B149" s="58">
        <v>46093</v>
      </c>
      <c r="C149" s="59" t="s">
        <v>16</v>
      </c>
      <c r="D149" s="51" t="s">
        <v>47</v>
      </c>
      <c r="E149" s="62" t="s">
        <v>101</v>
      </c>
      <c r="F149" s="5">
        <v>0.41666666666666669</v>
      </c>
      <c r="G149" s="65" t="s">
        <v>74</v>
      </c>
      <c r="H149" s="66"/>
      <c r="I149" s="34">
        <v>58</v>
      </c>
      <c r="J149" s="6">
        <f t="shared" ref="J149:J160" si="35">IFERROR(S149/I149,"")</f>
        <v>0</v>
      </c>
      <c r="K149" s="38"/>
      <c r="L149" s="38"/>
      <c r="M149" s="38"/>
      <c r="N149" s="38"/>
      <c r="O149" s="38"/>
      <c r="P149" s="38"/>
      <c r="Q149" s="38"/>
      <c r="R149" s="38"/>
      <c r="S149" s="7">
        <f>SUM(K149:R149)</f>
        <v>0</v>
      </c>
      <c r="T149" s="7">
        <v>100000</v>
      </c>
      <c r="U149" s="7">
        <f>T149*S149</f>
        <v>0</v>
      </c>
      <c r="V149" s="4"/>
      <c r="W149" s="4"/>
      <c r="X149" s="4"/>
      <c r="Y149" s="4"/>
    </row>
    <row r="150" spans="2:25" ht="37.5" hidden="1">
      <c r="B150" s="58"/>
      <c r="C150" s="60"/>
      <c r="D150" s="52" t="s">
        <v>47</v>
      </c>
      <c r="E150" s="63"/>
      <c r="F150" s="8">
        <v>0.5</v>
      </c>
      <c r="G150" s="67" t="s">
        <v>74</v>
      </c>
      <c r="H150" s="68"/>
      <c r="I150" s="35">
        <v>41</v>
      </c>
      <c r="J150" s="9">
        <f t="shared" si="35"/>
        <v>0.12195121951219512</v>
      </c>
      <c r="K150" s="39"/>
      <c r="L150" s="39"/>
      <c r="M150" s="39"/>
      <c r="N150" s="39"/>
      <c r="O150" s="39"/>
      <c r="P150" s="39"/>
      <c r="Q150" s="39"/>
      <c r="R150" s="39">
        <v>5</v>
      </c>
      <c r="S150" s="10">
        <f t="shared" ref="S150:S160" si="36">SUM(K150:R150)</f>
        <v>5</v>
      </c>
      <c r="T150" s="10">
        <v>100000</v>
      </c>
      <c r="U150" s="10">
        <f t="shared" ref="U150:U151" si="37">T150*S150</f>
        <v>500000</v>
      </c>
      <c r="V150" s="4"/>
      <c r="W150" s="4"/>
      <c r="X150" s="4"/>
      <c r="Y150" s="4"/>
    </row>
    <row r="151" spans="2:25" ht="37.5" hidden="1">
      <c r="B151" s="58"/>
      <c r="C151" s="60"/>
      <c r="D151" s="52" t="s">
        <v>47</v>
      </c>
      <c r="E151" s="63"/>
      <c r="F151" s="8">
        <v>0.58333333333333337</v>
      </c>
      <c r="G151" s="67" t="s">
        <v>74</v>
      </c>
      <c r="H151" s="68"/>
      <c r="I151" s="35">
        <v>38</v>
      </c>
      <c r="J151" s="9">
        <f t="shared" si="35"/>
        <v>0.21052631578947367</v>
      </c>
      <c r="K151" s="39"/>
      <c r="L151" s="39"/>
      <c r="M151" s="39"/>
      <c r="N151" s="39"/>
      <c r="O151" s="39"/>
      <c r="P151" s="39"/>
      <c r="Q151" s="39">
        <v>8</v>
      </c>
      <c r="R151" s="39"/>
      <c r="S151" s="10">
        <f t="shared" si="36"/>
        <v>8</v>
      </c>
      <c r="T151" s="10">
        <v>100000</v>
      </c>
      <c r="U151" s="10">
        <f t="shared" si="37"/>
        <v>800000</v>
      </c>
      <c r="V151" s="4"/>
      <c r="W151" s="4"/>
      <c r="X151" s="4"/>
      <c r="Y151" s="4"/>
    </row>
    <row r="152" spans="2:25" ht="37.5" hidden="1">
      <c r="B152" s="58"/>
      <c r="C152" s="60"/>
      <c r="D152" s="52" t="s">
        <v>47</v>
      </c>
      <c r="E152" s="63"/>
      <c r="F152" s="8">
        <v>0.66666666666666663</v>
      </c>
      <c r="G152" s="67" t="s">
        <v>74</v>
      </c>
      <c r="H152" s="68"/>
      <c r="I152" s="35">
        <v>59</v>
      </c>
      <c r="J152" s="9">
        <f t="shared" si="35"/>
        <v>0</v>
      </c>
      <c r="K152" s="39"/>
      <c r="L152" s="39"/>
      <c r="M152" s="39"/>
      <c r="N152" s="39"/>
      <c r="O152" s="39"/>
      <c r="P152" s="39"/>
      <c r="Q152" s="39"/>
      <c r="R152" s="39"/>
      <c r="S152" s="10">
        <f t="shared" si="36"/>
        <v>0</v>
      </c>
      <c r="T152" s="10">
        <v>100000</v>
      </c>
      <c r="U152" s="10">
        <f>T152*S152</f>
        <v>0</v>
      </c>
      <c r="V152" s="4"/>
      <c r="W152" s="4"/>
      <c r="X152" s="4"/>
      <c r="Y152" s="4"/>
    </row>
    <row r="153" spans="2:25" ht="37.5" hidden="1">
      <c r="B153" s="58"/>
      <c r="C153" s="60"/>
      <c r="D153" s="52" t="s">
        <v>47</v>
      </c>
      <c r="E153" s="63"/>
      <c r="F153" s="8">
        <v>0.75</v>
      </c>
      <c r="G153" s="67" t="s">
        <v>74</v>
      </c>
      <c r="H153" s="68"/>
      <c r="I153" s="35">
        <v>34</v>
      </c>
      <c r="J153" s="9">
        <f t="shared" si="35"/>
        <v>8.8235294117647065E-2</v>
      </c>
      <c r="K153" s="39"/>
      <c r="L153" s="39"/>
      <c r="M153" s="39"/>
      <c r="N153" s="39"/>
      <c r="O153" s="39"/>
      <c r="P153" s="39"/>
      <c r="Q153" s="39">
        <v>3</v>
      </c>
      <c r="R153" s="39"/>
      <c r="S153" s="10">
        <f t="shared" si="36"/>
        <v>3</v>
      </c>
      <c r="T153" s="10">
        <v>100000</v>
      </c>
      <c r="U153" s="10">
        <f t="shared" ref="U153:U160" si="38">T153*S153</f>
        <v>300000</v>
      </c>
      <c r="V153" s="4"/>
      <c r="W153" s="4"/>
      <c r="X153" s="11"/>
      <c r="Y153" s="4"/>
    </row>
    <row r="154" spans="2:25" ht="37.5" hidden="1">
      <c r="B154" s="58"/>
      <c r="C154" s="60"/>
      <c r="D154" s="53" t="s">
        <v>47</v>
      </c>
      <c r="E154" s="64"/>
      <c r="F154" s="12">
        <v>0.83333333333333337</v>
      </c>
      <c r="G154" s="67" t="s">
        <v>74</v>
      </c>
      <c r="H154" s="68"/>
      <c r="I154" s="36">
        <v>50</v>
      </c>
      <c r="J154" s="9">
        <f t="shared" si="35"/>
        <v>0.1</v>
      </c>
      <c r="K154" s="41"/>
      <c r="L154" s="41"/>
      <c r="M154" s="39"/>
      <c r="N154" s="41"/>
      <c r="O154" s="41"/>
      <c r="P154" s="41"/>
      <c r="Q154" s="41"/>
      <c r="R154" s="41">
        <v>5</v>
      </c>
      <c r="S154" s="13">
        <f t="shared" si="36"/>
        <v>5</v>
      </c>
      <c r="T154" s="13">
        <v>100000</v>
      </c>
      <c r="U154" s="13">
        <f t="shared" si="38"/>
        <v>500000</v>
      </c>
      <c r="V154" s="4"/>
      <c r="Y154" s="4"/>
    </row>
    <row r="155" spans="2:25" ht="37.5" hidden="1">
      <c r="B155" s="58"/>
      <c r="C155" s="60"/>
      <c r="D155" s="51" t="s">
        <v>47</v>
      </c>
      <c r="E155" s="62" t="s">
        <v>102</v>
      </c>
      <c r="F155" s="5">
        <v>0.91666666666666663</v>
      </c>
      <c r="G155" s="65" t="s">
        <v>84</v>
      </c>
      <c r="H155" s="66"/>
      <c r="I155" s="34">
        <v>63</v>
      </c>
      <c r="J155" s="6">
        <f t="shared" si="35"/>
        <v>3.1746031746031744E-2</v>
      </c>
      <c r="K155" s="38">
        <v>2</v>
      </c>
      <c r="L155" s="38"/>
      <c r="M155" s="38"/>
      <c r="N155" s="38"/>
      <c r="O155" s="38"/>
      <c r="P155" s="38"/>
      <c r="Q155" s="38"/>
      <c r="R155" s="38"/>
      <c r="S155" s="7">
        <f t="shared" si="36"/>
        <v>2</v>
      </c>
      <c r="T155" s="7">
        <v>100000</v>
      </c>
      <c r="U155" s="7">
        <f t="shared" si="38"/>
        <v>200000</v>
      </c>
      <c r="V155" s="4"/>
      <c r="Y155" s="4"/>
    </row>
    <row r="156" spans="2:25" ht="37.5" hidden="1">
      <c r="B156" s="58"/>
      <c r="C156" s="60"/>
      <c r="D156" s="52" t="s">
        <v>47</v>
      </c>
      <c r="E156" s="63"/>
      <c r="F156" s="8">
        <v>1</v>
      </c>
      <c r="G156" s="67" t="s">
        <v>84</v>
      </c>
      <c r="H156" s="68"/>
      <c r="I156" s="35">
        <v>30</v>
      </c>
      <c r="J156" s="9">
        <f t="shared" si="35"/>
        <v>6.6666666666666666E-2</v>
      </c>
      <c r="K156" s="39">
        <v>2</v>
      </c>
      <c r="L156" s="39"/>
      <c r="M156" s="39"/>
      <c r="N156" s="39"/>
      <c r="O156" s="39"/>
      <c r="P156" s="39"/>
      <c r="Q156" s="39"/>
      <c r="R156" s="39"/>
      <c r="S156" s="10">
        <f t="shared" si="36"/>
        <v>2</v>
      </c>
      <c r="T156" s="10">
        <v>100000</v>
      </c>
      <c r="U156" s="10">
        <f t="shared" si="38"/>
        <v>200000</v>
      </c>
      <c r="V156" s="4"/>
      <c r="Y156" s="4"/>
    </row>
    <row r="157" spans="2:25" ht="37.5" hidden="1">
      <c r="B157" s="58"/>
      <c r="C157" s="60"/>
      <c r="D157" s="52" t="s">
        <v>47</v>
      </c>
      <c r="E157" s="63"/>
      <c r="F157" s="8">
        <v>8.3333333333333329E-2</v>
      </c>
      <c r="G157" s="67" t="s">
        <v>84</v>
      </c>
      <c r="H157" s="68"/>
      <c r="I157" s="35">
        <v>30</v>
      </c>
      <c r="J157" s="9">
        <f t="shared" si="35"/>
        <v>6.6666666666666666E-2</v>
      </c>
      <c r="K157" s="39">
        <v>2</v>
      </c>
      <c r="L157" s="39"/>
      <c r="M157" s="39"/>
      <c r="N157" s="39"/>
      <c r="O157" s="39"/>
      <c r="P157" s="39"/>
      <c r="Q157" s="39"/>
      <c r="R157" s="39"/>
      <c r="S157" s="10">
        <f t="shared" si="36"/>
        <v>2</v>
      </c>
      <c r="T157" s="10">
        <v>100000</v>
      </c>
      <c r="U157" s="10">
        <f t="shared" si="38"/>
        <v>200000</v>
      </c>
      <c r="V157" s="4"/>
      <c r="Y157" s="4"/>
    </row>
    <row r="158" spans="2:25" ht="37.5" hidden="1">
      <c r="B158" s="58"/>
      <c r="C158" s="60"/>
      <c r="D158" s="52" t="s">
        <v>47</v>
      </c>
      <c r="E158" s="63"/>
      <c r="F158" s="8">
        <v>0.16666666666666666</v>
      </c>
      <c r="G158" s="67" t="s">
        <v>84</v>
      </c>
      <c r="H158" s="68"/>
      <c r="I158" s="35">
        <v>63</v>
      </c>
      <c r="J158" s="9">
        <f t="shared" si="35"/>
        <v>3.1746031746031744E-2</v>
      </c>
      <c r="K158" s="39">
        <v>2</v>
      </c>
      <c r="L158" s="39"/>
      <c r="M158" s="39"/>
      <c r="N158" s="39"/>
      <c r="O158" s="39"/>
      <c r="P158" s="39"/>
      <c r="Q158" s="39"/>
      <c r="R158" s="39"/>
      <c r="S158" s="10">
        <f t="shared" si="36"/>
        <v>2</v>
      </c>
      <c r="T158" s="10">
        <v>100000</v>
      </c>
      <c r="U158" s="10">
        <f t="shared" si="38"/>
        <v>200000</v>
      </c>
      <c r="V158" s="4"/>
      <c r="W158" s="4"/>
      <c r="X158" s="4"/>
      <c r="Y158" s="4"/>
    </row>
    <row r="159" spans="2:25" ht="37.5" hidden="1">
      <c r="B159" s="58"/>
      <c r="C159" s="60"/>
      <c r="D159" s="52" t="s">
        <v>47</v>
      </c>
      <c r="E159" s="63"/>
      <c r="F159" s="8">
        <v>0.25</v>
      </c>
      <c r="G159" s="67" t="s">
        <v>84</v>
      </c>
      <c r="H159" s="68"/>
      <c r="I159" s="35">
        <v>50</v>
      </c>
      <c r="J159" s="9">
        <f t="shared" si="35"/>
        <v>0.04</v>
      </c>
      <c r="K159" s="39">
        <v>2</v>
      </c>
      <c r="L159" s="39"/>
      <c r="M159" s="39"/>
      <c r="N159" s="39"/>
      <c r="O159" s="39"/>
      <c r="P159" s="39"/>
      <c r="Q159" s="39"/>
      <c r="R159" s="39"/>
      <c r="S159" s="10">
        <f t="shared" si="36"/>
        <v>2</v>
      </c>
      <c r="T159" s="10">
        <v>100000</v>
      </c>
      <c r="U159" s="10">
        <f t="shared" si="38"/>
        <v>200000</v>
      </c>
      <c r="V159" s="4"/>
      <c r="Y159" s="4"/>
    </row>
    <row r="160" spans="2:25" ht="37.5" hidden="1">
      <c r="B160" s="58"/>
      <c r="C160" s="61"/>
      <c r="D160" s="53" t="s">
        <v>47</v>
      </c>
      <c r="E160" s="69"/>
      <c r="F160" s="14">
        <v>0.33333333333333331</v>
      </c>
      <c r="G160" s="67" t="s">
        <v>84</v>
      </c>
      <c r="H160" s="68"/>
      <c r="I160" s="37">
        <v>64</v>
      </c>
      <c r="J160" s="15">
        <f t="shared" si="35"/>
        <v>1.5625E-2</v>
      </c>
      <c r="K160" s="40">
        <v>1</v>
      </c>
      <c r="L160" s="40"/>
      <c r="M160" s="40"/>
      <c r="N160" s="40"/>
      <c r="O160" s="40"/>
      <c r="P160" s="40"/>
      <c r="Q160" s="40"/>
      <c r="R160" s="40"/>
      <c r="S160" s="16">
        <f t="shared" si="36"/>
        <v>1</v>
      </c>
      <c r="T160" s="16">
        <v>100000</v>
      </c>
      <c r="U160" s="16">
        <f t="shared" si="38"/>
        <v>100000</v>
      </c>
      <c r="V160" s="4"/>
      <c r="W160" s="4"/>
      <c r="X160" s="4"/>
      <c r="Y160" s="4"/>
    </row>
    <row r="161" spans="2:25" ht="39.75" hidden="1" customHeight="1">
      <c r="B161" s="58">
        <v>46094</v>
      </c>
      <c r="C161" s="59" t="s">
        <v>16</v>
      </c>
      <c r="D161" s="51" t="s">
        <v>47</v>
      </c>
      <c r="E161" s="62" t="s">
        <v>101</v>
      </c>
      <c r="F161" s="5">
        <v>0.41666666666666669</v>
      </c>
      <c r="G161" s="65" t="s">
        <v>79</v>
      </c>
      <c r="H161" s="66"/>
      <c r="I161" s="34">
        <v>45</v>
      </c>
      <c r="J161" s="6">
        <f t="shared" ref="J161:J184" si="39">IFERROR(S161/I161,"")</f>
        <v>0.15555555555555556</v>
      </c>
      <c r="K161" s="38"/>
      <c r="L161" s="38"/>
      <c r="M161" s="38"/>
      <c r="N161" s="38"/>
      <c r="O161" s="38"/>
      <c r="P161" s="38"/>
      <c r="Q161" s="38">
        <v>5</v>
      </c>
      <c r="R161" s="38">
        <v>2</v>
      </c>
      <c r="S161" s="7">
        <f>SUM(K161:R161)</f>
        <v>7</v>
      </c>
      <c r="T161" s="7">
        <v>100000</v>
      </c>
      <c r="U161" s="7">
        <f>T161*S161</f>
        <v>700000</v>
      </c>
      <c r="V161" s="4"/>
      <c r="W161" s="4"/>
      <c r="X161" s="4"/>
      <c r="Y161" s="4"/>
    </row>
    <row r="162" spans="2:25" ht="37.5" hidden="1">
      <c r="B162" s="58"/>
      <c r="C162" s="60"/>
      <c r="D162" s="52" t="s">
        <v>47</v>
      </c>
      <c r="E162" s="63"/>
      <c r="F162" s="8">
        <v>0.5</v>
      </c>
      <c r="G162" s="67" t="s">
        <v>79</v>
      </c>
      <c r="H162" s="68"/>
      <c r="I162" s="35">
        <v>30</v>
      </c>
      <c r="J162" s="9">
        <f t="shared" si="39"/>
        <v>0</v>
      </c>
      <c r="K162" s="39"/>
      <c r="L162" s="39"/>
      <c r="M162" s="39"/>
      <c r="N162" s="39"/>
      <c r="O162" s="39"/>
      <c r="P162" s="39"/>
      <c r="Q162" s="39"/>
      <c r="R162" s="39"/>
      <c r="S162" s="10">
        <f t="shared" ref="S162:S172" si="40">SUM(K162:R162)</f>
        <v>0</v>
      </c>
      <c r="T162" s="10">
        <v>100000</v>
      </c>
      <c r="U162" s="10">
        <f t="shared" ref="U162:U163" si="41">T162*S162</f>
        <v>0</v>
      </c>
      <c r="V162" s="4"/>
      <c r="W162" s="4"/>
      <c r="X162" s="4"/>
      <c r="Y162" s="4"/>
    </row>
    <row r="163" spans="2:25" ht="37.5" hidden="1">
      <c r="B163" s="58"/>
      <c r="C163" s="60"/>
      <c r="D163" s="52" t="s">
        <v>47</v>
      </c>
      <c r="E163" s="63"/>
      <c r="F163" s="8">
        <v>0.58333333333333337</v>
      </c>
      <c r="G163" s="67" t="s">
        <v>79</v>
      </c>
      <c r="H163" s="68"/>
      <c r="I163" s="35">
        <v>65</v>
      </c>
      <c r="J163" s="9">
        <f t="shared" si="39"/>
        <v>0</v>
      </c>
      <c r="K163" s="39"/>
      <c r="L163" s="39"/>
      <c r="M163" s="39"/>
      <c r="N163" s="39"/>
      <c r="O163" s="39"/>
      <c r="P163" s="39"/>
      <c r="Q163" s="39"/>
      <c r="R163" s="39"/>
      <c r="S163" s="10">
        <f t="shared" si="40"/>
        <v>0</v>
      </c>
      <c r="T163" s="10">
        <v>100000</v>
      </c>
      <c r="U163" s="10">
        <f t="shared" si="41"/>
        <v>0</v>
      </c>
      <c r="V163" s="4"/>
      <c r="W163" s="4"/>
      <c r="X163" s="4"/>
      <c r="Y163" s="4"/>
    </row>
    <row r="164" spans="2:25" ht="37.5" hidden="1">
      <c r="B164" s="58"/>
      <c r="C164" s="60"/>
      <c r="D164" s="52" t="s">
        <v>47</v>
      </c>
      <c r="E164" s="63"/>
      <c r="F164" s="8">
        <v>0.66666666666666663</v>
      </c>
      <c r="G164" s="67" t="s">
        <v>79</v>
      </c>
      <c r="H164" s="68"/>
      <c r="I164" s="35">
        <v>60</v>
      </c>
      <c r="J164" s="9">
        <f t="shared" si="39"/>
        <v>0</v>
      </c>
      <c r="K164" s="39"/>
      <c r="L164" s="39"/>
      <c r="M164" s="39"/>
      <c r="N164" s="39"/>
      <c r="O164" s="39"/>
      <c r="P164" s="39"/>
      <c r="Q164" s="39"/>
      <c r="R164" s="39"/>
      <c r="S164" s="10">
        <f t="shared" si="40"/>
        <v>0</v>
      </c>
      <c r="T164" s="10">
        <v>100000</v>
      </c>
      <c r="U164" s="10">
        <f>T164*S164</f>
        <v>0</v>
      </c>
      <c r="V164" s="4"/>
      <c r="W164" s="4"/>
      <c r="X164" s="4"/>
      <c r="Y164" s="4"/>
    </row>
    <row r="165" spans="2:25" ht="37.5" hidden="1">
      <c r="B165" s="58"/>
      <c r="C165" s="60"/>
      <c r="D165" s="52" t="s">
        <v>47</v>
      </c>
      <c r="E165" s="63"/>
      <c r="F165" s="8">
        <v>0.75</v>
      </c>
      <c r="G165" s="67" t="s">
        <v>79</v>
      </c>
      <c r="H165" s="68"/>
      <c r="I165" s="35"/>
      <c r="J165" s="9" t="str">
        <f t="shared" si="39"/>
        <v/>
      </c>
      <c r="K165" s="39"/>
      <c r="L165" s="39"/>
      <c r="M165" s="39"/>
      <c r="N165" s="39"/>
      <c r="O165" s="39"/>
      <c r="P165" s="39"/>
      <c r="Q165" s="39"/>
      <c r="R165" s="39"/>
      <c r="S165" s="10">
        <f t="shared" si="40"/>
        <v>0</v>
      </c>
      <c r="T165" s="10">
        <v>100000</v>
      </c>
      <c r="U165" s="10">
        <f t="shared" ref="U165:U172" si="42">T165*S165</f>
        <v>0</v>
      </c>
      <c r="V165" s="4"/>
      <c r="W165" s="4"/>
      <c r="X165" s="11"/>
      <c r="Y165" s="4"/>
    </row>
    <row r="166" spans="2:25" ht="37.5" hidden="1">
      <c r="B166" s="58"/>
      <c r="C166" s="60"/>
      <c r="D166" s="53" t="s">
        <v>47</v>
      </c>
      <c r="E166" s="64"/>
      <c r="F166" s="12">
        <v>0.83333333333333337</v>
      </c>
      <c r="G166" s="67" t="s">
        <v>79</v>
      </c>
      <c r="H166" s="68"/>
      <c r="I166" s="36"/>
      <c r="J166" s="9" t="str">
        <f t="shared" si="39"/>
        <v/>
      </c>
      <c r="K166" s="41"/>
      <c r="L166" s="41"/>
      <c r="M166" s="39"/>
      <c r="N166" s="41"/>
      <c r="O166" s="41"/>
      <c r="P166" s="41"/>
      <c r="Q166" s="41"/>
      <c r="R166" s="41"/>
      <c r="S166" s="13">
        <f t="shared" si="40"/>
        <v>0</v>
      </c>
      <c r="T166" s="13">
        <v>100000</v>
      </c>
      <c r="U166" s="13">
        <f t="shared" si="42"/>
        <v>0</v>
      </c>
      <c r="V166" s="4"/>
      <c r="Y166" s="4"/>
    </row>
    <row r="167" spans="2:25" ht="37.5" hidden="1">
      <c r="B167" s="58"/>
      <c r="C167" s="60"/>
      <c r="D167" s="51" t="s">
        <v>49</v>
      </c>
      <c r="E167" s="62" t="s">
        <v>102</v>
      </c>
      <c r="F167" s="5">
        <v>0.91666666666666663</v>
      </c>
      <c r="G167" s="65" t="s">
        <v>84</v>
      </c>
      <c r="H167" s="66"/>
      <c r="I167" s="34">
        <v>66</v>
      </c>
      <c r="J167" s="6">
        <f t="shared" si="39"/>
        <v>1.5151515151515152E-2</v>
      </c>
      <c r="K167" s="38"/>
      <c r="L167" s="38"/>
      <c r="M167" s="38">
        <v>1</v>
      </c>
      <c r="N167" s="38"/>
      <c r="O167" s="38"/>
      <c r="P167" s="38"/>
      <c r="Q167" s="38"/>
      <c r="R167" s="38"/>
      <c r="S167" s="7">
        <f t="shared" si="40"/>
        <v>1</v>
      </c>
      <c r="T167" s="7">
        <v>100000</v>
      </c>
      <c r="U167" s="7">
        <f t="shared" si="42"/>
        <v>100000</v>
      </c>
      <c r="V167" s="4"/>
      <c r="Y167" s="4"/>
    </row>
    <row r="168" spans="2:25" ht="37.5" hidden="1">
      <c r="B168" s="58"/>
      <c r="C168" s="60"/>
      <c r="D168" s="52" t="s">
        <v>49</v>
      </c>
      <c r="E168" s="63"/>
      <c r="F168" s="8">
        <v>1</v>
      </c>
      <c r="G168" s="67" t="s">
        <v>84</v>
      </c>
      <c r="H168" s="68"/>
      <c r="I168" s="35">
        <v>66</v>
      </c>
      <c r="J168" s="9">
        <f t="shared" si="39"/>
        <v>1.5151515151515152E-2</v>
      </c>
      <c r="K168" s="39"/>
      <c r="L168" s="39"/>
      <c r="M168" s="39"/>
      <c r="N168" s="39"/>
      <c r="O168" s="39"/>
      <c r="P168" s="39"/>
      <c r="Q168" s="39"/>
      <c r="R168" s="39">
        <v>1</v>
      </c>
      <c r="S168" s="10">
        <f t="shared" si="40"/>
        <v>1</v>
      </c>
      <c r="T168" s="10">
        <v>100000</v>
      </c>
      <c r="U168" s="10">
        <f t="shared" si="42"/>
        <v>100000</v>
      </c>
      <c r="V168" s="4"/>
      <c r="Y168" s="4"/>
    </row>
    <row r="169" spans="2:25" ht="37.5" hidden="1">
      <c r="B169" s="58"/>
      <c r="C169" s="60"/>
      <c r="D169" s="52" t="s">
        <v>49</v>
      </c>
      <c r="E169" s="63"/>
      <c r="F169" s="8">
        <v>8.3333333333333329E-2</v>
      </c>
      <c r="G169" s="67" t="s">
        <v>84</v>
      </c>
      <c r="H169" s="68"/>
      <c r="I169" s="35">
        <v>66</v>
      </c>
      <c r="J169" s="9">
        <f t="shared" si="39"/>
        <v>1.5151515151515152E-2</v>
      </c>
      <c r="K169" s="39"/>
      <c r="L169" s="39"/>
      <c r="M169" s="39"/>
      <c r="N169" s="39"/>
      <c r="O169" s="39"/>
      <c r="P169" s="39"/>
      <c r="Q169" s="39"/>
      <c r="R169" s="39">
        <v>1</v>
      </c>
      <c r="S169" s="10">
        <f t="shared" si="40"/>
        <v>1</v>
      </c>
      <c r="T169" s="10">
        <v>100000</v>
      </c>
      <c r="U169" s="10">
        <f t="shared" si="42"/>
        <v>100000</v>
      </c>
      <c r="V169" s="4"/>
      <c r="Y169" s="4"/>
    </row>
    <row r="170" spans="2:25" ht="37.5" hidden="1">
      <c r="B170" s="58"/>
      <c r="C170" s="60"/>
      <c r="D170" s="52" t="s">
        <v>49</v>
      </c>
      <c r="E170" s="63"/>
      <c r="F170" s="8">
        <v>0.16666666666666666</v>
      </c>
      <c r="G170" s="67" t="s">
        <v>84</v>
      </c>
      <c r="H170" s="68"/>
      <c r="I170" s="35">
        <v>66</v>
      </c>
      <c r="J170" s="9">
        <f t="shared" si="39"/>
        <v>1.5151515151515152E-2</v>
      </c>
      <c r="K170" s="39"/>
      <c r="L170" s="39"/>
      <c r="M170" s="39"/>
      <c r="N170" s="39"/>
      <c r="O170" s="39"/>
      <c r="P170" s="39"/>
      <c r="Q170" s="39"/>
      <c r="R170" s="39">
        <v>1</v>
      </c>
      <c r="S170" s="10">
        <f t="shared" si="40"/>
        <v>1</v>
      </c>
      <c r="T170" s="10">
        <v>100000</v>
      </c>
      <c r="U170" s="10">
        <f t="shared" si="42"/>
        <v>100000</v>
      </c>
      <c r="V170" s="4"/>
      <c r="W170" s="4"/>
      <c r="X170" s="4"/>
      <c r="Y170" s="4"/>
    </row>
    <row r="171" spans="2:25" ht="37.5" hidden="1">
      <c r="B171" s="58"/>
      <c r="C171" s="60"/>
      <c r="D171" s="52" t="s">
        <v>49</v>
      </c>
      <c r="E171" s="63"/>
      <c r="F171" s="8">
        <v>0.25</v>
      </c>
      <c r="G171" s="67" t="s">
        <v>84</v>
      </c>
      <c r="H171" s="68"/>
      <c r="I171" s="35">
        <v>68</v>
      </c>
      <c r="J171" s="9">
        <f t="shared" si="39"/>
        <v>0</v>
      </c>
      <c r="K171" s="39"/>
      <c r="L171" s="39"/>
      <c r="M171" s="39"/>
      <c r="N171" s="39"/>
      <c r="O171" s="39"/>
      <c r="P171" s="39"/>
      <c r="Q171" s="39"/>
      <c r="R171" s="39"/>
      <c r="S171" s="10">
        <f t="shared" si="40"/>
        <v>0</v>
      </c>
      <c r="T171" s="10">
        <v>100000</v>
      </c>
      <c r="U171" s="10">
        <f t="shared" si="42"/>
        <v>0</v>
      </c>
      <c r="V171" s="4"/>
      <c r="Y171" s="4"/>
    </row>
    <row r="172" spans="2:25" ht="37.5" hidden="1">
      <c r="B172" s="58"/>
      <c r="C172" s="61"/>
      <c r="D172" s="53" t="s">
        <v>49</v>
      </c>
      <c r="E172" s="69"/>
      <c r="F172" s="14">
        <v>0.33333333333333331</v>
      </c>
      <c r="G172" s="67" t="s">
        <v>84</v>
      </c>
      <c r="H172" s="68"/>
      <c r="I172" s="37">
        <v>68</v>
      </c>
      <c r="J172" s="15">
        <f t="shared" si="39"/>
        <v>0</v>
      </c>
      <c r="K172" s="40"/>
      <c r="L172" s="40"/>
      <c r="M172" s="40"/>
      <c r="N172" s="40"/>
      <c r="O172" s="40"/>
      <c r="P172" s="40"/>
      <c r="Q172" s="40"/>
      <c r="R172" s="40"/>
      <c r="S172" s="16">
        <f t="shared" si="40"/>
        <v>0</v>
      </c>
      <c r="T172" s="16">
        <v>100000</v>
      </c>
      <c r="U172" s="16">
        <f t="shared" si="42"/>
        <v>0</v>
      </c>
      <c r="V172" s="4"/>
      <c r="W172" s="4"/>
      <c r="X172" s="4"/>
      <c r="Y172" s="4"/>
    </row>
    <row r="173" spans="2:25" ht="29.25" hidden="1" customHeight="1">
      <c r="B173" s="58">
        <v>46095</v>
      </c>
      <c r="C173" s="59" t="s">
        <v>16</v>
      </c>
      <c r="D173" s="51" t="s">
        <v>49</v>
      </c>
      <c r="E173" s="62" t="s">
        <v>101</v>
      </c>
      <c r="F173" s="5">
        <v>0.41666666666666669</v>
      </c>
      <c r="G173" s="65" t="s">
        <v>75</v>
      </c>
      <c r="H173" s="66"/>
      <c r="I173" s="34">
        <v>60</v>
      </c>
      <c r="J173" s="6">
        <f t="shared" si="39"/>
        <v>3.3333333333333333E-2</v>
      </c>
      <c r="K173" s="38"/>
      <c r="L173" s="38"/>
      <c r="M173" s="38"/>
      <c r="N173" s="38"/>
      <c r="O173" s="38"/>
      <c r="P173" s="38"/>
      <c r="Q173" s="38"/>
      <c r="R173" s="38">
        <v>2</v>
      </c>
      <c r="S173" s="7">
        <f>SUM(K173:R173)</f>
        <v>2</v>
      </c>
      <c r="T173" s="7">
        <v>100000</v>
      </c>
      <c r="U173" s="7">
        <f>T173*S173</f>
        <v>200000</v>
      </c>
      <c r="V173" s="4"/>
      <c r="W173" s="4"/>
      <c r="X173" s="4"/>
      <c r="Y173" s="4"/>
    </row>
    <row r="174" spans="2:25" ht="37.5" hidden="1">
      <c r="B174" s="58"/>
      <c r="C174" s="60"/>
      <c r="D174" s="52" t="s">
        <v>49</v>
      </c>
      <c r="E174" s="63"/>
      <c r="F174" s="8">
        <v>0.5</v>
      </c>
      <c r="G174" s="67" t="s">
        <v>75</v>
      </c>
      <c r="H174" s="68"/>
      <c r="I174" s="35">
        <v>25</v>
      </c>
      <c r="J174" s="9">
        <f t="shared" si="39"/>
        <v>0.04</v>
      </c>
      <c r="K174" s="39"/>
      <c r="L174" s="39"/>
      <c r="M174" s="39"/>
      <c r="N174" s="39"/>
      <c r="O174" s="39"/>
      <c r="P174" s="39"/>
      <c r="Q174" s="39">
        <v>1</v>
      </c>
      <c r="R174" s="39"/>
      <c r="S174" s="10">
        <f t="shared" ref="S174:S184" si="43">SUM(K174:R174)</f>
        <v>1</v>
      </c>
      <c r="T174" s="10">
        <v>100000</v>
      </c>
      <c r="U174" s="10">
        <f t="shared" ref="U174:U175" si="44">T174*S174</f>
        <v>100000</v>
      </c>
      <c r="V174" s="4"/>
      <c r="W174" s="4"/>
      <c r="X174" s="4"/>
      <c r="Y174" s="4"/>
    </row>
    <row r="175" spans="2:25" ht="37.5" hidden="1">
      <c r="B175" s="58"/>
      <c r="C175" s="60"/>
      <c r="D175" s="52" t="s">
        <v>49</v>
      </c>
      <c r="E175" s="63"/>
      <c r="F175" s="8">
        <v>0.58333333333333337</v>
      </c>
      <c r="G175" s="67" t="s">
        <v>75</v>
      </c>
      <c r="H175" s="68"/>
      <c r="I175" s="35">
        <v>66</v>
      </c>
      <c r="J175" s="9">
        <f t="shared" si="39"/>
        <v>0</v>
      </c>
      <c r="K175" s="39"/>
      <c r="L175" s="39"/>
      <c r="M175" s="39"/>
      <c r="N175" s="39"/>
      <c r="O175" s="39"/>
      <c r="P175" s="39"/>
      <c r="Q175" s="39"/>
      <c r="R175" s="39"/>
      <c r="S175" s="10">
        <f t="shared" si="43"/>
        <v>0</v>
      </c>
      <c r="T175" s="10">
        <v>100000</v>
      </c>
      <c r="U175" s="10">
        <f t="shared" si="44"/>
        <v>0</v>
      </c>
      <c r="V175" s="4"/>
      <c r="W175" s="4"/>
      <c r="X175" s="4"/>
      <c r="Y175" s="4"/>
    </row>
    <row r="176" spans="2:25" ht="37.5" hidden="1">
      <c r="B176" s="58"/>
      <c r="C176" s="60"/>
      <c r="D176" s="52" t="s">
        <v>49</v>
      </c>
      <c r="E176" s="63"/>
      <c r="F176" s="8">
        <v>0.66666666666666663</v>
      </c>
      <c r="G176" s="67" t="s">
        <v>75</v>
      </c>
      <c r="H176" s="68"/>
      <c r="I176" s="35">
        <v>60</v>
      </c>
      <c r="J176" s="9">
        <f t="shared" si="39"/>
        <v>3.3333333333333333E-2</v>
      </c>
      <c r="K176" s="39"/>
      <c r="L176" s="39"/>
      <c r="M176" s="39"/>
      <c r="N176" s="39"/>
      <c r="O176" s="39"/>
      <c r="P176" s="39"/>
      <c r="Q176" s="39">
        <v>2</v>
      </c>
      <c r="R176" s="39"/>
      <c r="S176" s="10">
        <f t="shared" si="43"/>
        <v>2</v>
      </c>
      <c r="T176" s="10">
        <v>100000</v>
      </c>
      <c r="U176" s="10">
        <f>T176*S176</f>
        <v>200000</v>
      </c>
      <c r="V176" s="4"/>
      <c r="W176" s="4"/>
      <c r="X176" s="4"/>
      <c r="Y176" s="4"/>
    </row>
    <row r="177" spans="2:25" ht="37.5" hidden="1">
      <c r="B177" s="58"/>
      <c r="C177" s="60"/>
      <c r="D177" s="52" t="s">
        <v>49</v>
      </c>
      <c r="E177" s="63"/>
      <c r="F177" s="8">
        <v>0.75</v>
      </c>
      <c r="G177" s="67" t="s">
        <v>75</v>
      </c>
      <c r="H177" s="68"/>
      <c r="I177" s="35">
        <v>30</v>
      </c>
      <c r="J177" s="9">
        <f t="shared" si="39"/>
        <v>6.6666666666666666E-2</v>
      </c>
      <c r="K177" s="39"/>
      <c r="L177" s="39"/>
      <c r="M177" s="39"/>
      <c r="N177" s="39"/>
      <c r="O177" s="39"/>
      <c r="P177" s="39"/>
      <c r="Q177" s="39">
        <v>2</v>
      </c>
      <c r="R177" s="39"/>
      <c r="S177" s="10">
        <f t="shared" si="43"/>
        <v>2</v>
      </c>
      <c r="T177" s="10">
        <v>100000</v>
      </c>
      <c r="U177" s="10">
        <f t="shared" ref="U177:U184" si="45">T177*S177</f>
        <v>200000</v>
      </c>
      <c r="V177" s="4"/>
      <c r="W177" s="4"/>
      <c r="X177" s="11"/>
      <c r="Y177" s="4"/>
    </row>
    <row r="178" spans="2:25" ht="37.5" hidden="1">
      <c r="B178" s="58"/>
      <c r="C178" s="60"/>
      <c r="D178" s="53" t="s">
        <v>49</v>
      </c>
      <c r="E178" s="64"/>
      <c r="F178" s="12">
        <v>0.83333333333333337</v>
      </c>
      <c r="G178" s="67" t="s">
        <v>75</v>
      </c>
      <c r="H178" s="68"/>
      <c r="I178" s="36">
        <v>59</v>
      </c>
      <c r="J178" s="15">
        <f t="shared" si="39"/>
        <v>3.3898305084745763E-2</v>
      </c>
      <c r="K178" s="41"/>
      <c r="L178" s="41"/>
      <c r="M178" s="39"/>
      <c r="N178" s="41"/>
      <c r="O178" s="41"/>
      <c r="P178" s="41"/>
      <c r="Q178" s="41"/>
      <c r="R178" s="41">
        <v>2</v>
      </c>
      <c r="S178" s="13">
        <f t="shared" si="43"/>
        <v>2</v>
      </c>
      <c r="T178" s="13">
        <v>100000</v>
      </c>
      <c r="U178" s="13">
        <f t="shared" si="45"/>
        <v>200000</v>
      </c>
      <c r="V178" s="4"/>
      <c r="Y178" s="4"/>
    </row>
    <row r="179" spans="2:25" ht="37.5" hidden="1">
      <c r="B179" s="58"/>
      <c r="C179" s="60"/>
      <c r="D179" s="51" t="s">
        <v>49</v>
      </c>
      <c r="E179" s="62" t="s">
        <v>102</v>
      </c>
      <c r="F179" s="5">
        <v>0.91666666666666663</v>
      </c>
      <c r="G179" s="65" t="s">
        <v>84</v>
      </c>
      <c r="H179" s="66"/>
      <c r="I179" s="34">
        <v>36</v>
      </c>
      <c r="J179" s="9">
        <f t="shared" si="39"/>
        <v>0</v>
      </c>
      <c r="K179" s="38"/>
      <c r="L179" s="38"/>
      <c r="M179" s="38"/>
      <c r="N179" s="38"/>
      <c r="O179" s="38"/>
      <c r="P179" s="38"/>
      <c r="Q179" s="38"/>
      <c r="R179" s="38"/>
      <c r="S179" s="7">
        <f t="shared" si="43"/>
        <v>0</v>
      </c>
      <c r="T179" s="7">
        <v>100000</v>
      </c>
      <c r="U179" s="7">
        <f t="shared" si="45"/>
        <v>0</v>
      </c>
      <c r="V179" s="4"/>
      <c r="Y179" s="4"/>
    </row>
    <row r="180" spans="2:25" ht="18.75" hidden="1">
      <c r="B180" s="58"/>
      <c r="C180" s="60"/>
      <c r="D180" s="52"/>
      <c r="E180" s="63"/>
      <c r="F180" s="8">
        <v>1</v>
      </c>
      <c r="G180" s="67"/>
      <c r="H180" s="68"/>
      <c r="I180" s="35"/>
      <c r="J180" s="9" t="str">
        <f t="shared" si="39"/>
        <v/>
      </c>
      <c r="K180" s="39"/>
      <c r="L180" s="39"/>
      <c r="M180" s="39"/>
      <c r="N180" s="39"/>
      <c r="O180" s="39"/>
      <c r="P180" s="39"/>
      <c r="Q180" s="39"/>
      <c r="R180" s="39"/>
      <c r="S180" s="10">
        <f t="shared" si="43"/>
        <v>0</v>
      </c>
      <c r="T180" s="10">
        <v>100000</v>
      </c>
      <c r="U180" s="10">
        <f t="shared" si="45"/>
        <v>0</v>
      </c>
      <c r="V180" s="4"/>
      <c r="Y180" s="4"/>
    </row>
    <row r="181" spans="2:25" ht="18.75" hidden="1">
      <c r="B181" s="58"/>
      <c r="C181" s="60"/>
      <c r="D181" s="52"/>
      <c r="E181" s="63"/>
      <c r="F181" s="8">
        <v>8.3333333333333329E-2</v>
      </c>
      <c r="G181" s="67"/>
      <c r="H181" s="68"/>
      <c r="I181" s="35"/>
      <c r="J181" s="9" t="str">
        <f t="shared" si="39"/>
        <v/>
      </c>
      <c r="K181" s="39"/>
      <c r="L181" s="39"/>
      <c r="M181" s="39"/>
      <c r="N181" s="39"/>
      <c r="O181" s="39"/>
      <c r="P181" s="39"/>
      <c r="Q181" s="39"/>
      <c r="R181" s="39"/>
      <c r="S181" s="10">
        <f t="shared" si="43"/>
        <v>0</v>
      </c>
      <c r="T181" s="10">
        <v>100000</v>
      </c>
      <c r="U181" s="10">
        <f t="shared" si="45"/>
        <v>0</v>
      </c>
      <c r="V181" s="4"/>
      <c r="Y181" s="4"/>
    </row>
    <row r="182" spans="2:25" ht="18.75" hidden="1">
      <c r="B182" s="58"/>
      <c r="C182" s="60"/>
      <c r="D182" s="52"/>
      <c r="E182" s="63"/>
      <c r="F182" s="8">
        <v>0.16666666666666666</v>
      </c>
      <c r="G182" s="67"/>
      <c r="H182" s="68"/>
      <c r="I182" s="35"/>
      <c r="J182" s="9" t="str">
        <f t="shared" si="39"/>
        <v/>
      </c>
      <c r="K182" s="39"/>
      <c r="L182" s="39"/>
      <c r="M182" s="39"/>
      <c r="N182" s="39"/>
      <c r="O182" s="39"/>
      <c r="P182" s="39"/>
      <c r="Q182" s="39"/>
      <c r="R182" s="39"/>
      <c r="S182" s="10">
        <f t="shared" si="43"/>
        <v>0</v>
      </c>
      <c r="T182" s="10">
        <v>100000</v>
      </c>
      <c r="U182" s="10">
        <f t="shared" si="45"/>
        <v>0</v>
      </c>
      <c r="V182" s="4"/>
      <c r="W182" s="4"/>
      <c r="X182" s="4"/>
      <c r="Y182" s="4"/>
    </row>
    <row r="183" spans="2:25" ht="18.75" hidden="1">
      <c r="B183" s="58"/>
      <c r="C183" s="60"/>
      <c r="D183" s="52"/>
      <c r="E183" s="63"/>
      <c r="F183" s="8">
        <v>0.25</v>
      </c>
      <c r="G183" s="67"/>
      <c r="H183" s="68"/>
      <c r="I183" s="35"/>
      <c r="J183" s="9" t="str">
        <f t="shared" si="39"/>
        <v/>
      </c>
      <c r="K183" s="39"/>
      <c r="L183" s="39"/>
      <c r="M183" s="39"/>
      <c r="N183" s="39"/>
      <c r="O183" s="39"/>
      <c r="P183" s="39"/>
      <c r="Q183" s="39"/>
      <c r="R183" s="39"/>
      <c r="S183" s="10">
        <f t="shared" si="43"/>
        <v>0</v>
      </c>
      <c r="T183" s="10">
        <v>100000</v>
      </c>
      <c r="U183" s="10">
        <f t="shared" si="45"/>
        <v>0</v>
      </c>
      <c r="V183" s="4"/>
      <c r="Y183" s="4"/>
    </row>
    <row r="184" spans="2:25" ht="18.75" hidden="1">
      <c r="B184" s="58"/>
      <c r="C184" s="61"/>
      <c r="D184" s="53"/>
      <c r="E184" s="69"/>
      <c r="F184" s="14">
        <v>0.33333333333333331</v>
      </c>
      <c r="G184" s="67"/>
      <c r="H184" s="68"/>
      <c r="I184" s="37"/>
      <c r="J184" s="15" t="str">
        <f t="shared" si="39"/>
        <v/>
      </c>
      <c r="K184" s="40"/>
      <c r="L184" s="40"/>
      <c r="M184" s="40"/>
      <c r="N184" s="40"/>
      <c r="O184" s="40"/>
      <c r="P184" s="40"/>
      <c r="Q184" s="40"/>
      <c r="R184" s="40"/>
      <c r="S184" s="16">
        <f t="shared" si="43"/>
        <v>0</v>
      </c>
      <c r="T184" s="16">
        <v>100000</v>
      </c>
      <c r="U184" s="16">
        <f t="shared" si="45"/>
        <v>0</v>
      </c>
      <c r="V184" s="4"/>
      <c r="W184" s="4"/>
      <c r="X184" s="4"/>
      <c r="Y184" s="4"/>
    </row>
    <row r="185" spans="2:25" ht="33.75" hidden="1" customHeight="1">
      <c r="B185" s="58">
        <v>46096</v>
      </c>
      <c r="C185" s="59" t="s">
        <v>16</v>
      </c>
      <c r="D185" s="51"/>
      <c r="E185" s="62" t="s">
        <v>101</v>
      </c>
      <c r="F185" s="5">
        <v>0.41666666666666669</v>
      </c>
      <c r="G185" s="65"/>
      <c r="H185" s="66"/>
      <c r="I185" s="34"/>
      <c r="J185" s="6" t="str">
        <f t="shared" ref="J185:J220" si="46">IFERROR(S185/I185,"")</f>
        <v/>
      </c>
      <c r="K185" s="38"/>
      <c r="L185" s="38"/>
      <c r="M185" s="38"/>
      <c r="N185" s="38"/>
      <c r="O185" s="38"/>
      <c r="P185" s="38"/>
      <c r="Q185" s="38"/>
      <c r="R185" s="38"/>
      <c r="S185" s="7">
        <f>SUM(K185:R185)</f>
        <v>0</v>
      </c>
      <c r="T185" s="7">
        <v>100000</v>
      </c>
      <c r="U185" s="7">
        <f>T185*S185</f>
        <v>0</v>
      </c>
      <c r="V185" s="4"/>
      <c r="W185" s="4"/>
      <c r="X185" s="4"/>
      <c r="Y185" s="4"/>
    </row>
    <row r="186" spans="2:25" ht="18.75" hidden="1">
      <c r="B186" s="58"/>
      <c r="C186" s="60"/>
      <c r="D186" s="52"/>
      <c r="E186" s="63"/>
      <c r="F186" s="8">
        <v>0.5</v>
      </c>
      <c r="G186" s="67"/>
      <c r="H186" s="68"/>
      <c r="I186" s="35"/>
      <c r="J186" s="9" t="str">
        <f t="shared" si="46"/>
        <v/>
      </c>
      <c r="K186" s="39"/>
      <c r="L186" s="39"/>
      <c r="M186" s="39"/>
      <c r="N186" s="39"/>
      <c r="O186" s="39"/>
      <c r="P186" s="39"/>
      <c r="Q186" s="39"/>
      <c r="R186" s="39"/>
      <c r="S186" s="10">
        <f t="shared" ref="S186:S196" si="47">SUM(K186:R186)</f>
        <v>0</v>
      </c>
      <c r="T186" s="10">
        <v>100000</v>
      </c>
      <c r="U186" s="10">
        <f t="shared" ref="U186:U187" si="48">T186*S186</f>
        <v>0</v>
      </c>
      <c r="V186" s="4"/>
      <c r="W186" s="4"/>
      <c r="X186" s="4"/>
      <c r="Y186" s="4"/>
    </row>
    <row r="187" spans="2:25" ht="18.75" hidden="1">
      <c r="B187" s="58"/>
      <c r="C187" s="60"/>
      <c r="D187" s="52"/>
      <c r="E187" s="63"/>
      <c r="F187" s="8">
        <v>0.58333333333333337</v>
      </c>
      <c r="G187" s="67"/>
      <c r="H187" s="68"/>
      <c r="I187" s="35"/>
      <c r="J187" s="9" t="str">
        <f t="shared" si="46"/>
        <v/>
      </c>
      <c r="K187" s="39"/>
      <c r="L187" s="39"/>
      <c r="M187" s="39"/>
      <c r="N187" s="39"/>
      <c r="O187" s="39"/>
      <c r="P187" s="39"/>
      <c r="Q187" s="39"/>
      <c r="R187" s="39"/>
      <c r="S187" s="10">
        <f t="shared" si="47"/>
        <v>0</v>
      </c>
      <c r="T187" s="10">
        <v>100000</v>
      </c>
      <c r="U187" s="10">
        <f t="shared" si="48"/>
        <v>0</v>
      </c>
      <c r="V187" s="4"/>
      <c r="W187" s="4"/>
      <c r="X187" s="4"/>
      <c r="Y187" s="4"/>
    </row>
    <row r="188" spans="2:25" ht="18.75" hidden="1">
      <c r="B188" s="58"/>
      <c r="C188" s="60"/>
      <c r="D188" s="52"/>
      <c r="E188" s="63"/>
      <c r="F188" s="8">
        <v>0.66666666666666663</v>
      </c>
      <c r="G188" s="67"/>
      <c r="H188" s="68"/>
      <c r="I188" s="35"/>
      <c r="J188" s="9" t="str">
        <f t="shared" si="46"/>
        <v/>
      </c>
      <c r="K188" s="39"/>
      <c r="L188" s="39"/>
      <c r="M188" s="39"/>
      <c r="N188" s="39"/>
      <c r="O188" s="39"/>
      <c r="P188" s="39"/>
      <c r="Q188" s="39"/>
      <c r="R188" s="39"/>
      <c r="S188" s="10">
        <f t="shared" si="47"/>
        <v>0</v>
      </c>
      <c r="T188" s="10">
        <v>100000</v>
      </c>
      <c r="U188" s="10">
        <f>T188*S188</f>
        <v>0</v>
      </c>
      <c r="V188" s="4"/>
      <c r="W188" s="4"/>
      <c r="X188" s="4"/>
      <c r="Y188" s="4"/>
    </row>
    <row r="189" spans="2:25" ht="18.75" hidden="1">
      <c r="B189" s="58"/>
      <c r="C189" s="60"/>
      <c r="D189" s="52"/>
      <c r="E189" s="63"/>
      <c r="F189" s="8">
        <v>0.75</v>
      </c>
      <c r="G189" s="67"/>
      <c r="H189" s="68"/>
      <c r="I189" s="35"/>
      <c r="J189" s="9" t="str">
        <f t="shared" si="46"/>
        <v/>
      </c>
      <c r="K189" s="39"/>
      <c r="L189" s="39"/>
      <c r="M189" s="39"/>
      <c r="N189" s="39"/>
      <c r="O189" s="39"/>
      <c r="P189" s="39"/>
      <c r="Q189" s="39"/>
      <c r="R189" s="39"/>
      <c r="S189" s="10">
        <f t="shared" si="47"/>
        <v>0</v>
      </c>
      <c r="T189" s="10">
        <v>100000</v>
      </c>
      <c r="U189" s="10">
        <f t="shared" ref="U189:U196" si="49">T189*S189</f>
        <v>0</v>
      </c>
      <c r="V189" s="4"/>
      <c r="W189" s="4"/>
      <c r="X189" s="11"/>
      <c r="Y189" s="4"/>
    </row>
    <row r="190" spans="2:25" ht="18.75" hidden="1">
      <c r="B190" s="58"/>
      <c r="C190" s="60"/>
      <c r="D190" s="53"/>
      <c r="E190" s="64"/>
      <c r="F190" s="12">
        <v>0.83333333333333337</v>
      </c>
      <c r="G190" s="67"/>
      <c r="H190" s="68"/>
      <c r="I190" s="36"/>
      <c r="J190" s="9" t="str">
        <f t="shared" si="46"/>
        <v/>
      </c>
      <c r="K190" s="41"/>
      <c r="L190" s="41"/>
      <c r="M190" s="39"/>
      <c r="N190" s="41"/>
      <c r="O190" s="41"/>
      <c r="P190" s="41"/>
      <c r="Q190" s="41"/>
      <c r="R190" s="41"/>
      <c r="S190" s="13">
        <f t="shared" si="47"/>
        <v>0</v>
      </c>
      <c r="T190" s="13">
        <v>100000</v>
      </c>
      <c r="U190" s="13">
        <f t="shared" si="49"/>
        <v>0</v>
      </c>
      <c r="V190" s="4"/>
      <c r="Y190" s="4"/>
    </row>
    <row r="191" spans="2:25" ht="18.75" hidden="1">
      <c r="B191" s="58"/>
      <c r="C191" s="60"/>
      <c r="D191" s="51"/>
      <c r="E191" s="62" t="s">
        <v>102</v>
      </c>
      <c r="F191" s="5">
        <v>0.91666666666666663</v>
      </c>
      <c r="G191" s="65"/>
      <c r="H191" s="66"/>
      <c r="I191" s="34"/>
      <c r="J191" s="6" t="str">
        <f t="shared" si="46"/>
        <v/>
      </c>
      <c r="K191" s="38"/>
      <c r="L191" s="38"/>
      <c r="M191" s="38"/>
      <c r="N191" s="38"/>
      <c r="O191" s="38"/>
      <c r="P191" s="38"/>
      <c r="Q191" s="38"/>
      <c r="R191" s="38"/>
      <c r="S191" s="7">
        <f t="shared" si="47"/>
        <v>0</v>
      </c>
      <c r="T191" s="7">
        <v>100000</v>
      </c>
      <c r="U191" s="7">
        <f t="shared" si="49"/>
        <v>0</v>
      </c>
      <c r="V191" s="4"/>
      <c r="Y191" s="4"/>
    </row>
    <row r="192" spans="2:25" ht="18.75" hidden="1">
      <c r="B192" s="58"/>
      <c r="C192" s="60"/>
      <c r="D192" s="52"/>
      <c r="E192" s="63"/>
      <c r="F192" s="8">
        <v>1</v>
      </c>
      <c r="G192" s="67"/>
      <c r="H192" s="68"/>
      <c r="I192" s="35"/>
      <c r="J192" s="9" t="str">
        <f t="shared" si="46"/>
        <v/>
      </c>
      <c r="K192" s="39"/>
      <c r="L192" s="39"/>
      <c r="M192" s="39"/>
      <c r="N192" s="39"/>
      <c r="O192" s="39"/>
      <c r="P192" s="39"/>
      <c r="Q192" s="39"/>
      <c r="R192" s="39"/>
      <c r="S192" s="10">
        <f t="shared" si="47"/>
        <v>0</v>
      </c>
      <c r="T192" s="10">
        <v>100000</v>
      </c>
      <c r="U192" s="10">
        <f t="shared" si="49"/>
        <v>0</v>
      </c>
      <c r="V192" s="4"/>
      <c r="Y192" s="4"/>
    </row>
    <row r="193" spans="2:25" ht="18.75" hidden="1">
      <c r="B193" s="58"/>
      <c r="C193" s="60"/>
      <c r="D193" s="52"/>
      <c r="E193" s="63"/>
      <c r="F193" s="8">
        <v>8.3333333333333329E-2</v>
      </c>
      <c r="G193" s="67"/>
      <c r="H193" s="68"/>
      <c r="I193" s="35"/>
      <c r="J193" s="9" t="str">
        <f t="shared" si="46"/>
        <v/>
      </c>
      <c r="K193" s="39"/>
      <c r="L193" s="39"/>
      <c r="M193" s="39"/>
      <c r="N193" s="39"/>
      <c r="O193" s="39"/>
      <c r="P193" s="39"/>
      <c r="Q193" s="39"/>
      <c r="R193" s="39"/>
      <c r="S193" s="10">
        <f t="shared" si="47"/>
        <v>0</v>
      </c>
      <c r="T193" s="10">
        <v>100000</v>
      </c>
      <c r="U193" s="10">
        <f t="shared" si="49"/>
        <v>0</v>
      </c>
      <c r="V193" s="4"/>
      <c r="Y193" s="4"/>
    </row>
    <row r="194" spans="2:25" ht="18.75" hidden="1">
      <c r="B194" s="58"/>
      <c r="C194" s="60"/>
      <c r="D194" s="52"/>
      <c r="E194" s="63"/>
      <c r="F194" s="8">
        <v>0.16666666666666666</v>
      </c>
      <c r="G194" s="67"/>
      <c r="H194" s="68"/>
      <c r="I194" s="35"/>
      <c r="J194" s="9" t="str">
        <f t="shared" si="46"/>
        <v/>
      </c>
      <c r="K194" s="39"/>
      <c r="L194" s="39"/>
      <c r="M194" s="39"/>
      <c r="N194" s="39"/>
      <c r="O194" s="39"/>
      <c r="P194" s="39"/>
      <c r="Q194" s="39"/>
      <c r="R194" s="39"/>
      <c r="S194" s="10">
        <f t="shared" si="47"/>
        <v>0</v>
      </c>
      <c r="T194" s="10">
        <v>100000</v>
      </c>
      <c r="U194" s="10">
        <f t="shared" si="49"/>
        <v>0</v>
      </c>
      <c r="V194" s="4"/>
      <c r="W194" s="4"/>
      <c r="X194" s="4"/>
      <c r="Y194" s="4"/>
    </row>
    <row r="195" spans="2:25" ht="18.75" hidden="1">
      <c r="B195" s="58"/>
      <c r="C195" s="60"/>
      <c r="D195" s="52"/>
      <c r="E195" s="63"/>
      <c r="F195" s="8">
        <v>0.25</v>
      </c>
      <c r="G195" s="67"/>
      <c r="H195" s="68"/>
      <c r="I195" s="35"/>
      <c r="J195" s="9" t="str">
        <f t="shared" si="46"/>
        <v/>
      </c>
      <c r="K195" s="39"/>
      <c r="L195" s="39"/>
      <c r="M195" s="39"/>
      <c r="N195" s="39"/>
      <c r="O195" s="39"/>
      <c r="P195" s="39"/>
      <c r="Q195" s="39"/>
      <c r="R195" s="39"/>
      <c r="S195" s="10">
        <f t="shared" si="47"/>
        <v>0</v>
      </c>
      <c r="T195" s="10">
        <v>100000</v>
      </c>
      <c r="U195" s="10">
        <f t="shared" si="49"/>
        <v>0</v>
      </c>
      <c r="V195" s="4"/>
      <c r="Y195" s="4"/>
    </row>
    <row r="196" spans="2:25" ht="18.75" hidden="1">
      <c r="B196" s="58"/>
      <c r="C196" s="61"/>
      <c r="D196" s="53"/>
      <c r="E196" s="69"/>
      <c r="F196" s="14">
        <v>0.33333333333333331</v>
      </c>
      <c r="G196" s="67"/>
      <c r="H196" s="68"/>
      <c r="I196" s="37"/>
      <c r="J196" s="15" t="str">
        <f t="shared" si="46"/>
        <v/>
      </c>
      <c r="K196" s="40"/>
      <c r="L196" s="40"/>
      <c r="M196" s="40"/>
      <c r="N196" s="40"/>
      <c r="O196" s="40"/>
      <c r="P196" s="40"/>
      <c r="Q196" s="40"/>
      <c r="R196" s="40"/>
      <c r="S196" s="16">
        <f t="shared" si="47"/>
        <v>0</v>
      </c>
      <c r="T196" s="16">
        <v>100000</v>
      </c>
      <c r="U196" s="16">
        <f t="shared" si="49"/>
        <v>0</v>
      </c>
      <c r="V196" s="4"/>
      <c r="W196" s="4"/>
      <c r="X196" s="4"/>
      <c r="Y196" s="4"/>
    </row>
    <row r="197" spans="2:25" ht="41.25" customHeight="1">
      <c r="B197" s="58">
        <v>46097</v>
      </c>
      <c r="C197" s="59" t="s">
        <v>16</v>
      </c>
      <c r="D197" s="51" t="s">
        <v>47</v>
      </c>
      <c r="E197" s="62" t="s">
        <v>101</v>
      </c>
      <c r="F197" s="5">
        <v>0.41666666666666669</v>
      </c>
      <c r="G197" s="65" t="s">
        <v>75</v>
      </c>
      <c r="H197" s="66"/>
      <c r="I197" s="34">
        <v>75</v>
      </c>
      <c r="J197" s="6">
        <f t="shared" si="46"/>
        <v>1.3333333333333334E-2</v>
      </c>
      <c r="K197" s="38"/>
      <c r="L197" s="38"/>
      <c r="M197" s="38"/>
      <c r="N197" s="38"/>
      <c r="O197" s="38"/>
      <c r="P197" s="38"/>
      <c r="Q197" s="38">
        <v>1</v>
      </c>
      <c r="R197" s="38"/>
      <c r="S197" s="7">
        <f>SUM(K197:R197)</f>
        <v>1</v>
      </c>
      <c r="T197" s="7">
        <v>100000</v>
      </c>
      <c r="U197" s="7">
        <f>T197*S197</f>
        <v>100000</v>
      </c>
      <c r="V197" s="4"/>
      <c r="W197" s="4"/>
      <c r="X197" s="4"/>
      <c r="Y197" s="4"/>
    </row>
    <row r="198" spans="2:25" ht="37.5">
      <c r="B198" s="58"/>
      <c r="C198" s="60"/>
      <c r="D198" s="52" t="s">
        <v>47</v>
      </c>
      <c r="E198" s="63"/>
      <c r="F198" s="8">
        <v>0.5</v>
      </c>
      <c r="G198" s="67" t="s">
        <v>75</v>
      </c>
      <c r="H198" s="68"/>
      <c r="I198" s="35">
        <v>35</v>
      </c>
      <c r="J198" s="9">
        <f t="shared" si="46"/>
        <v>2.8571428571428571E-2</v>
      </c>
      <c r="K198" s="39"/>
      <c r="L198" s="39"/>
      <c r="M198" s="39"/>
      <c r="N198" s="39"/>
      <c r="O198" s="39"/>
      <c r="P198" s="39"/>
      <c r="Q198" s="39">
        <v>1</v>
      </c>
      <c r="R198" s="39"/>
      <c r="S198" s="10">
        <f t="shared" ref="S198:S208" si="50">SUM(K198:R198)</f>
        <v>1</v>
      </c>
      <c r="T198" s="10">
        <v>100000</v>
      </c>
      <c r="U198" s="10">
        <f t="shared" ref="U198:U199" si="51">T198*S198</f>
        <v>100000</v>
      </c>
      <c r="V198" s="4"/>
      <c r="W198" s="4"/>
      <c r="X198" s="4"/>
      <c r="Y198" s="4"/>
    </row>
    <row r="199" spans="2:25" ht="37.5">
      <c r="B199" s="58"/>
      <c r="C199" s="60"/>
      <c r="D199" s="52" t="s">
        <v>47</v>
      </c>
      <c r="E199" s="63"/>
      <c r="F199" s="8">
        <v>0.58333333333333337</v>
      </c>
      <c r="G199" s="67" t="s">
        <v>75</v>
      </c>
      <c r="H199" s="68"/>
      <c r="I199" s="35">
        <v>70</v>
      </c>
      <c r="J199" s="9">
        <f t="shared" si="46"/>
        <v>2.8571428571428571E-2</v>
      </c>
      <c r="K199" s="39"/>
      <c r="L199" s="39"/>
      <c r="M199" s="39"/>
      <c r="N199" s="39"/>
      <c r="O199" s="39"/>
      <c r="P199" s="39"/>
      <c r="Q199" s="39">
        <v>2</v>
      </c>
      <c r="R199" s="39"/>
      <c r="S199" s="10">
        <f t="shared" si="50"/>
        <v>2</v>
      </c>
      <c r="T199" s="10">
        <v>100000</v>
      </c>
      <c r="U199" s="10">
        <f t="shared" si="51"/>
        <v>200000</v>
      </c>
      <c r="V199" s="4"/>
      <c r="W199" s="4"/>
      <c r="X199" s="4"/>
      <c r="Y199" s="4"/>
    </row>
    <row r="200" spans="2:25" ht="37.5">
      <c r="B200" s="58"/>
      <c r="C200" s="60"/>
      <c r="D200" s="52" t="s">
        <v>47</v>
      </c>
      <c r="E200" s="63"/>
      <c r="F200" s="8">
        <v>0.66666666666666663</v>
      </c>
      <c r="G200" s="67" t="s">
        <v>75</v>
      </c>
      <c r="H200" s="68"/>
      <c r="I200" s="35">
        <v>75</v>
      </c>
      <c r="J200" s="9">
        <f t="shared" si="46"/>
        <v>2.6666666666666668E-2</v>
      </c>
      <c r="K200" s="39"/>
      <c r="L200" s="39"/>
      <c r="M200" s="39"/>
      <c r="N200" s="39"/>
      <c r="O200" s="39"/>
      <c r="P200" s="39"/>
      <c r="Q200" s="39">
        <v>2</v>
      </c>
      <c r="R200" s="39"/>
      <c r="S200" s="10">
        <f t="shared" si="50"/>
        <v>2</v>
      </c>
      <c r="T200" s="10">
        <v>100000</v>
      </c>
      <c r="U200" s="10">
        <f>T200*S200</f>
        <v>200000</v>
      </c>
      <c r="V200" s="4"/>
      <c r="W200" s="4"/>
      <c r="X200" s="4"/>
      <c r="Y200" s="4"/>
    </row>
    <row r="201" spans="2:25" ht="37.5">
      <c r="B201" s="58"/>
      <c r="C201" s="60"/>
      <c r="D201" s="52" t="s">
        <v>47</v>
      </c>
      <c r="E201" s="63"/>
      <c r="F201" s="8">
        <v>0.75</v>
      </c>
      <c r="G201" s="67" t="s">
        <v>75</v>
      </c>
      <c r="H201" s="68"/>
      <c r="I201" s="35">
        <v>65</v>
      </c>
      <c r="J201" s="9">
        <f t="shared" si="46"/>
        <v>3.0769230769230771E-2</v>
      </c>
      <c r="K201" s="39"/>
      <c r="L201" s="39"/>
      <c r="M201" s="39"/>
      <c r="N201" s="39"/>
      <c r="O201" s="39"/>
      <c r="P201" s="39"/>
      <c r="Q201" s="39">
        <v>2</v>
      </c>
      <c r="R201" s="39"/>
      <c r="S201" s="10">
        <f t="shared" si="50"/>
        <v>2</v>
      </c>
      <c r="T201" s="10">
        <v>100000</v>
      </c>
      <c r="U201" s="10">
        <f t="shared" ref="U201:U208" si="52">T201*S201</f>
        <v>200000</v>
      </c>
      <c r="V201" s="4"/>
      <c r="W201" s="4"/>
      <c r="X201" s="11"/>
      <c r="Y201" s="4"/>
    </row>
    <row r="202" spans="2:25" ht="37.5">
      <c r="B202" s="58"/>
      <c r="C202" s="60"/>
      <c r="D202" s="53" t="s">
        <v>47</v>
      </c>
      <c r="E202" s="64"/>
      <c r="F202" s="12">
        <v>0.83333333333333337</v>
      </c>
      <c r="G202" s="67" t="s">
        <v>75</v>
      </c>
      <c r="H202" s="68"/>
      <c r="I202" s="36">
        <v>80</v>
      </c>
      <c r="J202" s="9">
        <f t="shared" si="46"/>
        <v>2.5000000000000001E-2</v>
      </c>
      <c r="K202" s="41"/>
      <c r="L202" s="41"/>
      <c r="M202" s="39"/>
      <c r="N202" s="41"/>
      <c r="O202" s="41"/>
      <c r="P202" s="41"/>
      <c r="Q202" s="41">
        <v>2</v>
      </c>
      <c r="R202" s="41"/>
      <c r="S202" s="13">
        <f t="shared" si="50"/>
        <v>2</v>
      </c>
      <c r="T202" s="13">
        <v>100000</v>
      </c>
      <c r="U202" s="13">
        <f t="shared" si="52"/>
        <v>200000</v>
      </c>
      <c r="V202" s="4"/>
      <c r="Y202" s="4"/>
    </row>
    <row r="203" spans="2:25" ht="37.5">
      <c r="B203" s="58"/>
      <c r="C203" s="60"/>
      <c r="D203" s="51" t="s">
        <v>47</v>
      </c>
      <c r="E203" s="62" t="s">
        <v>102</v>
      </c>
      <c r="F203" s="5">
        <v>0.91666666666666663</v>
      </c>
      <c r="G203" s="65" t="s">
        <v>77</v>
      </c>
      <c r="H203" s="66"/>
      <c r="I203" s="34">
        <v>52</v>
      </c>
      <c r="J203" s="6">
        <f t="shared" si="46"/>
        <v>0.21153846153846154</v>
      </c>
      <c r="K203" s="38">
        <v>1</v>
      </c>
      <c r="L203" s="38"/>
      <c r="M203" s="38"/>
      <c r="N203" s="38"/>
      <c r="O203" s="38"/>
      <c r="P203" s="38"/>
      <c r="Q203" s="38">
        <v>10</v>
      </c>
      <c r="R203" s="38"/>
      <c r="S203" s="7">
        <f t="shared" si="50"/>
        <v>11</v>
      </c>
      <c r="T203" s="7">
        <v>100000</v>
      </c>
      <c r="U203" s="7">
        <f t="shared" si="52"/>
        <v>1100000</v>
      </c>
      <c r="V203" s="4"/>
      <c r="Y203" s="4"/>
    </row>
    <row r="204" spans="2:25" ht="37.5">
      <c r="B204" s="58"/>
      <c r="C204" s="60"/>
      <c r="D204" s="52" t="s">
        <v>47</v>
      </c>
      <c r="E204" s="63"/>
      <c r="F204" s="8">
        <v>1</v>
      </c>
      <c r="G204" s="67" t="s">
        <v>77</v>
      </c>
      <c r="H204" s="68"/>
      <c r="I204" s="35">
        <v>20</v>
      </c>
      <c r="J204" s="9">
        <f t="shared" si="46"/>
        <v>0</v>
      </c>
      <c r="K204" s="39"/>
      <c r="L204" s="39"/>
      <c r="M204" s="39"/>
      <c r="N204" s="39"/>
      <c r="O204" s="39"/>
      <c r="P204" s="39"/>
      <c r="Q204" s="39"/>
      <c r="R204" s="39"/>
      <c r="S204" s="10">
        <f t="shared" si="50"/>
        <v>0</v>
      </c>
      <c r="T204" s="10">
        <v>100000</v>
      </c>
      <c r="U204" s="10">
        <f t="shared" si="52"/>
        <v>0</v>
      </c>
      <c r="V204" s="4"/>
      <c r="Y204" s="4"/>
    </row>
    <row r="205" spans="2:25" ht="37.5">
      <c r="B205" s="58"/>
      <c r="C205" s="60"/>
      <c r="D205" s="52" t="s">
        <v>47</v>
      </c>
      <c r="E205" s="63"/>
      <c r="F205" s="8">
        <v>8.3333333333333329E-2</v>
      </c>
      <c r="G205" s="67" t="s">
        <v>77</v>
      </c>
      <c r="H205" s="68"/>
      <c r="I205" s="35">
        <v>52</v>
      </c>
      <c r="J205" s="9">
        <f t="shared" si="46"/>
        <v>0</v>
      </c>
      <c r="K205" s="39"/>
      <c r="L205" s="39"/>
      <c r="M205" s="39"/>
      <c r="N205" s="39"/>
      <c r="O205" s="39"/>
      <c r="P205" s="39"/>
      <c r="Q205" s="39"/>
      <c r="R205" s="39"/>
      <c r="S205" s="10">
        <f t="shared" si="50"/>
        <v>0</v>
      </c>
      <c r="T205" s="10">
        <v>100000</v>
      </c>
      <c r="U205" s="10">
        <f t="shared" si="52"/>
        <v>0</v>
      </c>
      <c r="V205" s="4"/>
      <c r="Y205" s="4"/>
    </row>
    <row r="206" spans="2:25" ht="37.5">
      <c r="B206" s="58"/>
      <c r="C206" s="60"/>
      <c r="D206" s="52" t="s">
        <v>47</v>
      </c>
      <c r="E206" s="63"/>
      <c r="F206" s="8">
        <v>0.16666666666666666</v>
      </c>
      <c r="G206" s="67" t="s">
        <v>77</v>
      </c>
      <c r="H206" s="68"/>
      <c r="I206" s="35">
        <v>52</v>
      </c>
      <c r="J206" s="9">
        <f t="shared" si="46"/>
        <v>0</v>
      </c>
      <c r="K206" s="39"/>
      <c r="L206" s="39"/>
      <c r="M206" s="39"/>
      <c r="N206" s="39"/>
      <c r="O206" s="39"/>
      <c r="P206" s="39"/>
      <c r="Q206" s="39"/>
      <c r="R206" s="39"/>
      <c r="S206" s="10">
        <f t="shared" si="50"/>
        <v>0</v>
      </c>
      <c r="T206" s="10">
        <v>100000</v>
      </c>
      <c r="U206" s="10">
        <f t="shared" si="52"/>
        <v>0</v>
      </c>
      <c r="V206" s="4"/>
      <c r="W206" s="4"/>
      <c r="X206" s="4"/>
      <c r="Y206" s="4"/>
    </row>
    <row r="207" spans="2:25" ht="37.5">
      <c r="B207" s="58"/>
      <c r="C207" s="60"/>
      <c r="D207" s="52" t="s">
        <v>47</v>
      </c>
      <c r="E207" s="63"/>
      <c r="F207" s="8">
        <v>0.25</v>
      </c>
      <c r="G207" s="67" t="s">
        <v>77</v>
      </c>
      <c r="H207" s="68"/>
      <c r="I207" s="35">
        <v>10</v>
      </c>
      <c r="J207" s="9">
        <f t="shared" si="46"/>
        <v>0</v>
      </c>
      <c r="K207" s="39"/>
      <c r="L207" s="39"/>
      <c r="M207" s="39"/>
      <c r="N207" s="39"/>
      <c r="O207" s="39"/>
      <c r="P207" s="39"/>
      <c r="Q207" s="39"/>
      <c r="R207" s="39"/>
      <c r="S207" s="10">
        <f t="shared" si="50"/>
        <v>0</v>
      </c>
      <c r="T207" s="10">
        <v>100000</v>
      </c>
      <c r="U207" s="10">
        <f t="shared" si="52"/>
        <v>0</v>
      </c>
      <c r="V207" s="4"/>
      <c r="Y207" s="4"/>
    </row>
    <row r="208" spans="2:25" ht="37.5">
      <c r="B208" s="58"/>
      <c r="C208" s="61"/>
      <c r="D208" s="53" t="s">
        <v>47</v>
      </c>
      <c r="E208" s="69"/>
      <c r="F208" s="14">
        <v>0.33333333333333331</v>
      </c>
      <c r="G208" s="67" t="s">
        <v>77</v>
      </c>
      <c r="H208" s="68"/>
      <c r="I208" s="37">
        <v>54</v>
      </c>
      <c r="J208" s="15">
        <f t="shared" si="46"/>
        <v>0</v>
      </c>
      <c r="K208" s="40"/>
      <c r="L208" s="40"/>
      <c r="M208" s="40"/>
      <c r="N208" s="40"/>
      <c r="O208" s="40"/>
      <c r="P208" s="40"/>
      <c r="Q208" s="40"/>
      <c r="R208" s="40"/>
      <c r="S208" s="16">
        <f t="shared" si="50"/>
        <v>0</v>
      </c>
      <c r="T208" s="16">
        <v>100000</v>
      </c>
      <c r="U208" s="16">
        <f t="shared" si="52"/>
        <v>0</v>
      </c>
      <c r="V208" s="4"/>
      <c r="W208" s="4"/>
      <c r="X208" s="4"/>
      <c r="Y208" s="4"/>
    </row>
    <row r="209" spans="2:25" ht="35.25" customHeight="1">
      <c r="B209" s="58">
        <v>46098</v>
      </c>
      <c r="C209" s="59" t="s">
        <v>16</v>
      </c>
      <c r="D209" s="51" t="s">
        <v>47</v>
      </c>
      <c r="E209" s="62" t="s">
        <v>101</v>
      </c>
      <c r="F209" s="5">
        <v>0.41666666666666669</v>
      </c>
      <c r="G209" s="65" t="s">
        <v>76</v>
      </c>
      <c r="H209" s="66"/>
      <c r="I209" s="34">
        <v>80</v>
      </c>
      <c r="J209" s="6">
        <f t="shared" si="46"/>
        <v>3.7499999999999999E-2</v>
      </c>
      <c r="K209" s="38"/>
      <c r="L209" s="38"/>
      <c r="M209" s="38"/>
      <c r="N209" s="38"/>
      <c r="O209" s="38"/>
      <c r="P209" s="38"/>
      <c r="Q209" s="38"/>
      <c r="R209" s="38">
        <v>3</v>
      </c>
      <c r="S209" s="7">
        <f>SUM(K209:R209)</f>
        <v>3</v>
      </c>
      <c r="T209" s="7">
        <v>100000</v>
      </c>
      <c r="U209" s="7">
        <f>T209*S209</f>
        <v>300000</v>
      </c>
      <c r="V209" s="4"/>
      <c r="W209" s="4"/>
      <c r="X209" s="4"/>
      <c r="Y209" s="4"/>
    </row>
    <row r="210" spans="2:25" ht="37.5">
      <c r="B210" s="58"/>
      <c r="C210" s="60"/>
      <c r="D210" s="52" t="s">
        <v>47</v>
      </c>
      <c r="E210" s="63"/>
      <c r="F210" s="8">
        <v>0.5</v>
      </c>
      <c r="G210" s="67" t="s">
        <v>76</v>
      </c>
      <c r="H210" s="68"/>
      <c r="I210" s="35">
        <v>35</v>
      </c>
      <c r="J210" s="9">
        <f t="shared" si="46"/>
        <v>2.8571428571428571E-2</v>
      </c>
      <c r="K210" s="39"/>
      <c r="L210" s="39"/>
      <c r="M210" s="39"/>
      <c r="N210" s="39"/>
      <c r="O210" s="39"/>
      <c r="P210" s="39"/>
      <c r="Q210" s="39">
        <v>1</v>
      </c>
      <c r="R210" s="39"/>
      <c r="S210" s="10">
        <f t="shared" ref="S210:S220" si="53">SUM(K210:R210)</f>
        <v>1</v>
      </c>
      <c r="T210" s="10">
        <v>100000</v>
      </c>
      <c r="U210" s="10">
        <f t="shared" ref="U210:U211" si="54">T210*S210</f>
        <v>100000</v>
      </c>
      <c r="V210" s="4"/>
      <c r="W210" s="4"/>
      <c r="X210" s="4"/>
      <c r="Y210" s="4"/>
    </row>
    <row r="211" spans="2:25" ht="37.5">
      <c r="B211" s="58"/>
      <c r="C211" s="60"/>
      <c r="D211" s="52" t="s">
        <v>47</v>
      </c>
      <c r="E211" s="63"/>
      <c r="F211" s="8">
        <v>0.58333333333333337</v>
      </c>
      <c r="G211" s="67" t="s">
        <v>76</v>
      </c>
      <c r="H211" s="68"/>
      <c r="I211" s="35">
        <v>82</v>
      </c>
      <c r="J211" s="9">
        <f t="shared" si="46"/>
        <v>2.4390243902439025E-2</v>
      </c>
      <c r="K211" s="39"/>
      <c r="L211" s="39"/>
      <c r="M211" s="39"/>
      <c r="N211" s="39"/>
      <c r="O211" s="39"/>
      <c r="P211" s="39"/>
      <c r="Q211" s="39">
        <v>2</v>
      </c>
      <c r="R211" s="39"/>
      <c r="S211" s="10">
        <f t="shared" si="53"/>
        <v>2</v>
      </c>
      <c r="T211" s="10">
        <v>100000</v>
      </c>
      <c r="U211" s="10">
        <f t="shared" si="54"/>
        <v>200000</v>
      </c>
      <c r="V211" s="4"/>
      <c r="W211" s="4"/>
      <c r="X211" s="4"/>
      <c r="Y211" s="4"/>
    </row>
    <row r="212" spans="2:25" ht="37.5">
      <c r="B212" s="58"/>
      <c r="C212" s="60"/>
      <c r="D212" s="52" t="s">
        <v>47</v>
      </c>
      <c r="E212" s="63"/>
      <c r="F212" s="8">
        <v>0.66666666666666663</v>
      </c>
      <c r="G212" s="67" t="s">
        <v>76</v>
      </c>
      <c r="H212" s="68"/>
      <c r="I212" s="35">
        <v>80</v>
      </c>
      <c r="J212" s="9">
        <f t="shared" si="46"/>
        <v>1.2500000000000001E-2</v>
      </c>
      <c r="K212" s="39"/>
      <c r="L212" s="39"/>
      <c r="M212" s="39"/>
      <c r="N212" s="39"/>
      <c r="O212" s="39"/>
      <c r="P212" s="39"/>
      <c r="Q212" s="39">
        <v>1</v>
      </c>
      <c r="R212" s="39"/>
      <c r="S212" s="10">
        <f t="shared" si="53"/>
        <v>1</v>
      </c>
      <c r="T212" s="10">
        <v>100000</v>
      </c>
      <c r="U212" s="10">
        <f>T212*S212</f>
        <v>100000</v>
      </c>
      <c r="V212" s="4"/>
      <c r="W212" s="4"/>
      <c r="X212" s="4"/>
      <c r="Y212" s="4"/>
    </row>
    <row r="213" spans="2:25" ht="37.5">
      <c r="B213" s="58"/>
      <c r="C213" s="60"/>
      <c r="D213" s="52" t="s">
        <v>47</v>
      </c>
      <c r="E213" s="63"/>
      <c r="F213" s="8">
        <v>0.75</v>
      </c>
      <c r="G213" s="67" t="s">
        <v>76</v>
      </c>
      <c r="H213" s="68"/>
      <c r="I213" s="35">
        <v>50</v>
      </c>
      <c r="J213" s="9">
        <f t="shared" si="46"/>
        <v>0.04</v>
      </c>
      <c r="K213" s="39"/>
      <c r="L213" s="39"/>
      <c r="M213" s="39"/>
      <c r="N213" s="39"/>
      <c r="O213" s="39"/>
      <c r="P213" s="39"/>
      <c r="Q213" s="39">
        <v>2</v>
      </c>
      <c r="R213" s="39"/>
      <c r="S213" s="10">
        <f t="shared" si="53"/>
        <v>2</v>
      </c>
      <c r="T213" s="10">
        <v>100000</v>
      </c>
      <c r="U213" s="10">
        <f t="shared" ref="U213:U220" si="55">T213*S213</f>
        <v>200000</v>
      </c>
      <c r="V213" s="4"/>
      <c r="W213" s="4"/>
      <c r="X213" s="11"/>
      <c r="Y213" s="4"/>
    </row>
    <row r="214" spans="2:25" ht="37.5">
      <c r="B214" s="58"/>
      <c r="C214" s="60"/>
      <c r="D214" s="53" t="s">
        <v>47</v>
      </c>
      <c r="E214" s="64"/>
      <c r="F214" s="12">
        <v>0.83333333333333337</v>
      </c>
      <c r="G214" s="67" t="s">
        <v>76</v>
      </c>
      <c r="H214" s="68"/>
      <c r="I214" s="36">
        <v>73</v>
      </c>
      <c r="J214" s="9">
        <f t="shared" si="46"/>
        <v>2.7397260273972601E-2</v>
      </c>
      <c r="K214" s="41"/>
      <c r="L214" s="41"/>
      <c r="M214" s="39"/>
      <c r="N214" s="41"/>
      <c r="O214" s="41"/>
      <c r="P214" s="41"/>
      <c r="Q214" s="41"/>
      <c r="R214" s="41">
        <v>2</v>
      </c>
      <c r="S214" s="13">
        <f t="shared" si="53"/>
        <v>2</v>
      </c>
      <c r="T214" s="13">
        <v>100000</v>
      </c>
      <c r="U214" s="13">
        <f t="shared" si="55"/>
        <v>200000</v>
      </c>
      <c r="V214" s="4"/>
      <c r="Y214" s="4"/>
    </row>
    <row r="215" spans="2:25" ht="37.5">
      <c r="B215" s="58"/>
      <c r="C215" s="60"/>
      <c r="D215" s="51" t="s">
        <v>47</v>
      </c>
      <c r="E215" s="62" t="s">
        <v>102</v>
      </c>
      <c r="F215" s="5">
        <v>0.91666666666666663</v>
      </c>
      <c r="G215" s="65" t="s">
        <v>84</v>
      </c>
      <c r="H215" s="66"/>
      <c r="I215" s="34">
        <v>76</v>
      </c>
      <c r="J215" s="6">
        <f t="shared" si="46"/>
        <v>2.6315789473684209E-2</v>
      </c>
      <c r="K215" s="38">
        <v>2</v>
      </c>
      <c r="L215" s="38"/>
      <c r="M215" s="38"/>
      <c r="N215" s="38"/>
      <c r="O215" s="38"/>
      <c r="P215" s="38"/>
      <c r="Q215" s="38"/>
      <c r="R215" s="38"/>
      <c r="S215" s="7">
        <f t="shared" si="53"/>
        <v>2</v>
      </c>
      <c r="T215" s="7">
        <v>100000</v>
      </c>
      <c r="U215" s="7">
        <f t="shared" si="55"/>
        <v>200000</v>
      </c>
      <c r="V215" s="4"/>
      <c r="Y215" s="4"/>
    </row>
    <row r="216" spans="2:25" ht="37.5">
      <c r="B216" s="58"/>
      <c r="C216" s="60"/>
      <c r="D216" s="52" t="s">
        <v>47</v>
      </c>
      <c r="E216" s="63"/>
      <c r="F216" s="8">
        <v>1</v>
      </c>
      <c r="G216" s="67" t="s">
        <v>84</v>
      </c>
      <c r="H216" s="68"/>
      <c r="I216" s="35">
        <v>76</v>
      </c>
      <c r="J216" s="9">
        <f t="shared" si="46"/>
        <v>2.6315789473684209E-2</v>
      </c>
      <c r="K216" s="39">
        <v>2</v>
      </c>
      <c r="L216" s="39"/>
      <c r="M216" s="39"/>
      <c r="N216" s="39"/>
      <c r="O216" s="39"/>
      <c r="P216" s="39"/>
      <c r="Q216" s="39"/>
      <c r="R216" s="39"/>
      <c r="S216" s="10">
        <f t="shared" si="53"/>
        <v>2</v>
      </c>
      <c r="T216" s="10">
        <v>100000</v>
      </c>
      <c r="U216" s="10">
        <f t="shared" si="55"/>
        <v>200000</v>
      </c>
      <c r="V216" s="4"/>
      <c r="Y216" s="4"/>
    </row>
    <row r="217" spans="2:25" ht="37.5">
      <c r="B217" s="58"/>
      <c r="C217" s="60"/>
      <c r="D217" s="52" t="s">
        <v>47</v>
      </c>
      <c r="E217" s="63"/>
      <c r="F217" s="8">
        <v>8.3333333333333329E-2</v>
      </c>
      <c r="G217" s="67" t="s">
        <v>84</v>
      </c>
      <c r="H217" s="68"/>
      <c r="I217" s="35">
        <v>76</v>
      </c>
      <c r="J217" s="9">
        <f t="shared" si="46"/>
        <v>2.6315789473684209E-2</v>
      </c>
      <c r="K217" s="39"/>
      <c r="L217" s="39"/>
      <c r="M217" s="39"/>
      <c r="N217" s="39"/>
      <c r="O217" s="39"/>
      <c r="P217" s="39"/>
      <c r="Q217" s="39"/>
      <c r="R217" s="39">
        <v>2</v>
      </c>
      <c r="S217" s="10">
        <f t="shared" si="53"/>
        <v>2</v>
      </c>
      <c r="T217" s="10">
        <v>100000</v>
      </c>
      <c r="U217" s="10">
        <f t="shared" si="55"/>
        <v>200000</v>
      </c>
      <c r="V217" s="4"/>
      <c r="Y217" s="4"/>
    </row>
    <row r="218" spans="2:25" ht="37.5">
      <c r="B218" s="58"/>
      <c r="C218" s="60"/>
      <c r="D218" s="52" t="s">
        <v>47</v>
      </c>
      <c r="E218" s="63"/>
      <c r="F218" s="8">
        <v>0.16666666666666666</v>
      </c>
      <c r="G218" s="67" t="s">
        <v>84</v>
      </c>
      <c r="H218" s="68"/>
      <c r="I218" s="35">
        <v>76</v>
      </c>
      <c r="J218" s="9">
        <f t="shared" si="46"/>
        <v>2.6315789473684209E-2</v>
      </c>
      <c r="K218" s="39"/>
      <c r="L218" s="39"/>
      <c r="M218" s="39"/>
      <c r="N218" s="39"/>
      <c r="O218" s="39"/>
      <c r="P218" s="39"/>
      <c r="Q218" s="39"/>
      <c r="R218" s="39">
        <v>2</v>
      </c>
      <c r="S218" s="10">
        <f t="shared" si="53"/>
        <v>2</v>
      </c>
      <c r="T218" s="10">
        <v>100000</v>
      </c>
      <c r="U218" s="10">
        <f t="shared" si="55"/>
        <v>200000</v>
      </c>
      <c r="V218" s="4"/>
      <c r="W218" s="4"/>
      <c r="X218" s="4"/>
      <c r="Y218" s="4"/>
    </row>
    <row r="219" spans="2:25" ht="37.5">
      <c r="B219" s="58"/>
      <c r="C219" s="60"/>
      <c r="D219" s="52" t="s">
        <v>47</v>
      </c>
      <c r="E219" s="63"/>
      <c r="F219" s="8">
        <v>0.25</v>
      </c>
      <c r="G219" s="67" t="s">
        <v>84</v>
      </c>
      <c r="H219" s="68"/>
      <c r="I219" s="35">
        <v>76</v>
      </c>
      <c r="J219" s="9">
        <f t="shared" si="46"/>
        <v>1.3157894736842105E-2</v>
      </c>
      <c r="K219" s="39"/>
      <c r="L219" s="39"/>
      <c r="M219" s="39"/>
      <c r="N219" s="39"/>
      <c r="O219" s="39"/>
      <c r="P219" s="39"/>
      <c r="Q219" s="39"/>
      <c r="R219" s="39">
        <v>1</v>
      </c>
      <c r="S219" s="10">
        <f t="shared" si="53"/>
        <v>1</v>
      </c>
      <c r="T219" s="10">
        <v>100000</v>
      </c>
      <c r="U219" s="10">
        <f t="shared" si="55"/>
        <v>100000</v>
      </c>
      <c r="V219" s="4"/>
      <c r="Y219" s="4"/>
    </row>
    <row r="220" spans="2:25" ht="37.5">
      <c r="B220" s="58"/>
      <c r="C220" s="61"/>
      <c r="D220" s="53" t="s">
        <v>47</v>
      </c>
      <c r="E220" s="69"/>
      <c r="F220" s="14">
        <v>0.33333333333333331</v>
      </c>
      <c r="G220" s="67" t="s">
        <v>84</v>
      </c>
      <c r="H220" s="68"/>
      <c r="I220" s="37">
        <v>80</v>
      </c>
      <c r="J220" s="15">
        <f t="shared" si="46"/>
        <v>0</v>
      </c>
      <c r="K220" s="40"/>
      <c r="L220" s="40"/>
      <c r="M220" s="40"/>
      <c r="N220" s="40"/>
      <c r="O220" s="40"/>
      <c r="P220" s="40"/>
      <c r="Q220" s="40"/>
      <c r="R220" s="40"/>
      <c r="S220" s="16">
        <f t="shared" si="53"/>
        <v>0</v>
      </c>
      <c r="T220" s="16">
        <v>100000</v>
      </c>
      <c r="U220" s="16">
        <f t="shared" si="55"/>
        <v>0</v>
      </c>
      <c r="V220" s="4"/>
      <c r="W220" s="4"/>
      <c r="X220" s="4"/>
      <c r="Y220" s="4"/>
    </row>
    <row r="221" spans="2:25" ht="36" customHeight="1">
      <c r="B221" s="58">
        <v>46099</v>
      </c>
      <c r="C221" s="59" t="s">
        <v>16</v>
      </c>
      <c r="D221" s="51" t="s">
        <v>47</v>
      </c>
      <c r="E221" s="62" t="s">
        <v>101</v>
      </c>
      <c r="F221" s="5">
        <v>0.41666666666666669</v>
      </c>
      <c r="G221" s="65" t="s">
        <v>104</v>
      </c>
      <c r="H221" s="66"/>
      <c r="I221" s="34">
        <v>83</v>
      </c>
      <c r="J221" s="6">
        <f t="shared" ref="J221:J256" si="56">IFERROR(S221/I221,"")</f>
        <v>2.4096385542168676E-2</v>
      </c>
      <c r="K221" s="38"/>
      <c r="L221" s="38"/>
      <c r="M221" s="38"/>
      <c r="N221" s="38"/>
      <c r="O221" s="38"/>
      <c r="P221" s="38"/>
      <c r="Q221" s="38"/>
      <c r="R221" s="38">
        <v>2</v>
      </c>
      <c r="S221" s="7">
        <f>SUM(K221:R221)</f>
        <v>2</v>
      </c>
      <c r="T221" s="7">
        <v>100000</v>
      </c>
      <c r="U221" s="7">
        <f>T221*S221</f>
        <v>200000</v>
      </c>
      <c r="V221" s="4"/>
      <c r="W221" s="4"/>
      <c r="X221" s="4"/>
      <c r="Y221" s="4"/>
    </row>
    <row r="222" spans="2:25" ht="37.5">
      <c r="B222" s="58"/>
      <c r="C222" s="60"/>
      <c r="D222" s="52" t="s">
        <v>47</v>
      </c>
      <c r="E222" s="63"/>
      <c r="F222" s="8">
        <v>0.5</v>
      </c>
      <c r="G222" s="67" t="s">
        <v>104</v>
      </c>
      <c r="H222" s="68"/>
      <c r="I222" s="35">
        <v>84</v>
      </c>
      <c r="J222" s="9">
        <f t="shared" si="56"/>
        <v>4.7619047619047616E-2</v>
      </c>
      <c r="K222" s="39"/>
      <c r="L222" s="39"/>
      <c r="M222" s="39"/>
      <c r="N222" s="39"/>
      <c r="O222" s="39"/>
      <c r="P222" s="39"/>
      <c r="Q222" s="39">
        <v>4</v>
      </c>
      <c r="R222" s="39"/>
      <c r="S222" s="10">
        <f t="shared" ref="S222:S232" si="57">SUM(K222:R222)</f>
        <v>4</v>
      </c>
      <c r="T222" s="10">
        <v>100000</v>
      </c>
      <c r="U222" s="10">
        <f t="shared" ref="U222:U223" si="58">T222*S222</f>
        <v>400000</v>
      </c>
      <c r="V222" s="4"/>
      <c r="W222" s="4"/>
      <c r="X222" s="4"/>
      <c r="Y222" s="4"/>
    </row>
    <row r="223" spans="2:25" ht="37.5">
      <c r="B223" s="58"/>
      <c r="C223" s="60"/>
      <c r="D223" s="52" t="s">
        <v>47</v>
      </c>
      <c r="E223" s="63"/>
      <c r="F223" s="8">
        <v>0.58333333333333337</v>
      </c>
      <c r="G223" s="67" t="s">
        <v>104</v>
      </c>
      <c r="H223" s="68"/>
      <c r="I223" s="35">
        <v>83</v>
      </c>
      <c r="J223" s="9">
        <f t="shared" si="56"/>
        <v>7.2289156626506021E-2</v>
      </c>
      <c r="K223" s="39"/>
      <c r="L223" s="39"/>
      <c r="M223" s="39"/>
      <c r="N223" s="39"/>
      <c r="O223" s="39"/>
      <c r="P223" s="39"/>
      <c r="Q223" s="39"/>
      <c r="R223" s="39">
        <v>6</v>
      </c>
      <c r="S223" s="10">
        <f t="shared" si="57"/>
        <v>6</v>
      </c>
      <c r="T223" s="10">
        <v>100000</v>
      </c>
      <c r="U223" s="10">
        <f t="shared" si="58"/>
        <v>600000</v>
      </c>
      <c r="V223" s="4"/>
      <c r="W223" s="4"/>
      <c r="X223" s="4"/>
      <c r="Y223" s="4"/>
    </row>
    <row r="224" spans="2:25" ht="37.5">
      <c r="B224" s="58"/>
      <c r="C224" s="60"/>
      <c r="D224" s="52" t="s">
        <v>47</v>
      </c>
      <c r="E224" s="63"/>
      <c r="F224" s="8">
        <v>0.66666666666666663</v>
      </c>
      <c r="G224" s="67" t="s">
        <v>104</v>
      </c>
      <c r="H224" s="68"/>
      <c r="I224" s="35">
        <v>25</v>
      </c>
      <c r="J224" s="9">
        <f t="shared" si="56"/>
        <v>0.32</v>
      </c>
      <c r="K224" s="39"/>
      <c r="L224" s="39"/>
      <c r="M224" s="39"/>
      <c r="N224" s="39"/>
      <c r="O224" s="39"/>
      <c r="P224" s="39"/>
      <c r="Q224" s="39"/>
      <c r="R224" s="39">
        <v>8</v>
      </c>
      <c r="S224" s="10">
        <f t="shared" si="57"/>
        <v>8</v>
      </c>
      <c r="T224" s="10">
        <v>100000</v>
      </c>
      <c r="U224" s="10">
        <f>T224*S224</f>
        <v>800000</v>
      </c>
      <c r="V224" s="4"/>
      <c r="W224" s="4"/>
      <c r="X224" s="4"/>
      <c r="Y224" s="4"/>
    </row>
    <row r="225" spans="2:25" ht="37.5">
      <c r="B225" s="58"/>
      <c r="C225" s="60"/>
      <c r="D225" s="52" t="s">
        <v>47</v>
      </c>
      <c r="E225" s="63"/>
      <c r="F225" s="8">
        <v>0.75</v>
      </c>
      <c r="G225" s="67" t="s">
        <v>104</v>
      </c>
      <c r="H225" s="68"/>
      <c r="I225" s="35">
        <v>5</v>
      </c>
      <c r="J225" s="9">
        <f t="shared" si="56"/>
        <v>0.6</v>
      </c>
      <c r="K225" s="39"/>
      <c r="L225" s="39"/>
      <c r="M225" s="39"/>
      <c r="N225" s="39"/>
      <c r="O225" s="39"/>
      <c r="P225" s="39"/>
      <c r="Q225" s="39">
        <v>3</v>
      </c>
      <c r="R225" s="39"/>
      <c r="S225" s="10">
        <f t="shared" si="57"/>
        <v>3</v>
      </c>
      <c r="T225" s="10">
        <v>100000</v>
      </c>
      <c r="U225" s="10">
        <f t="shared" ref="U225:U232" si="59">T225*S225</f>
        <v>300000</v>
      </c>
      <c r="V225" s="4"/>
      <c r="W225" s="4"/>
      <c r="X225" s="11"/>
      <c r="Y225" s="4"/>
    </row>
    <row r="226" spans="2:25" ht="37.5">
      <c r="B226" s="58"/>
      <c r="C226" s="60"/>
      <c r="D226" s="53" t="s">
        <v>47</v>
      </c>
      <c r="E226" s="64"/>
      <c r="F226" s="12">
        <v>0.83333333333333337</v>
      </c>
      <c r="G226" s="67" t="s">
        <v>104</v>
      </c>
      <c r="H226" s="68"/>
      <c r="I226" s="36"/>
      <c r="J226" s="9" t="str">
        <f t="shared" si="56"/>
        <v/>
      </c>
      <c r="K226" s="41"/>
      <c r="L226" s="41"/>
      <c r="M226" s="39"/>
      <c r="N226" s="41"/>
      <c r="O226" s="41"/>
      <c r="P226" s="41"/>
      <c r="Q226" s="41"/>
      <c r="R226" s="41"/>
      <c r="S226" s="13">
        <f t="shared" si="57"/>
        <v>0</v>
      </c>
      <c r="T226" s="13">
        <v>100000</v>
      </c>
      <c r="U226" s="13">
        <f t="shared" si="59"/>
        <v>0</v>
      </c>
      <c r="V226" s="4"/>
      <c r="Y226" s="4"/>
    </row>
    <row r="227" spans="2:25" ht="37.5">
      <c r="B227" s="58"/>
      <c r="C227" s="60"/>
      <c r="D227" s="51" t="s">
        <v>47</v>
      </c>
      <c r="E227" s="62" t="s">
        <v>102</v>
      </c>
      <c r="F227" s="5">
        <v>0.91666666666666663</v>
      </c>
      <c r="G227" s="65" t="s">
        <v>84</v>
      </c>
      <c r="H227" s="66"/>
      <c r="I227" s="34">
        <v>80</v>
      </c>
      <c r="J227" s="6">
        <f t="shared" si="56"/>
        <v>2.5000000000000001E-2</v>
      </c>
      <c r="K227" s="38">
        <v>2</v>
      </c>
      <c r="L227" s="38"/>
      <c r="M227" s="38"/>
      <c r="N227" s="38"/>
      <c r="O227" s="38"/>
      <c r="P227" s="38"/>
      <c r="Q227" s="38"/>
      <c r="R227" s="38"/>
      <c r="S227" s="7">
        <f t="shared" si="57"/>
        <v>2</v>
      </c>
      <c r="T227" s="7">
        <v>100000</v>
      </c>
      <c r="U227" s="7">
        <f t="shared" si="59"/>
        <v>200000</v>
      </c>
      <c r="V227" s="4"/>
      <c r="Y227" s="4"/>
    </row>
    <row r="228" spans="2:25" ht="37.5">
      <c r="B228" s="58"/>
      <c r="C228" s="60"/>
      <c r="D228" s="52" t="s">
        <v>47</v>
      </c>
      <c r="E228" s="63"/>
      <c r="F228" s="8">
        <v>1</v>
      </c>
      <c r="G228" s="67" t="s">
        <v>84</v>
      </c>
      <c r="H228" s="68"/>
      <c r="I228" s="35">
        <v>30</v>
      </c>
      <c r="J228" s="9">
        <f t="shared" si="56"/>
        <v>6.6666666666666666E-2</v>
      </c>
      <c r="K228" s="39">
        <v>2</v>
      </c>
      <c r="L228" s="39"/>
      <c r="M228" s="39"/>
      <c r="N228" s="39"/>
      <c r="O228" s="39"/>
      <c r="P228" s="39"/>
      <c r="Q228" s="39"/>
      <c r="R228" s="39"/>
      <c r="S228" s="10">
        <f t="shared" si="57"/>
        <v>2</v>
      </c>
      <c r="T228" s="10">
        <v>100000</v>
      </c>
      <c r="U228" s="10">
        <f t="shared" si="59"/>
        <v>200000</v>
      </c>
      <c r="V228" s="4"/>
      <c r="Y228" s="4"/>
    </row>
    <row r="229" spans="2:25" ht="37.5">
      <c r="B229" s="58"/>
      <c r="C229" s="60"/>
      <c r="D229" s="52" t="s">
        <v>47</v>
      </c>
      <c r="E229" s="63"/>
      <c r="F229" s="8">
        <v>8.3333333333333329E-2</v>
      </c>
      <c r="G229" s="67" t="s">
        <v>84</v>
      </c>
      <c r="H229" s="68"/>
      <c r="I229" s="35">
        <v>80</v>
      </c>
      <c r="J229" s="9">
        <f t="shared" si="56"/>
        <v>2.5000000000000001E-2</v>
      </c>
      <c r="K229" s="39"/>
      <c r="L229" s="39"/>
      <c r="M229" s="39"/>
      <c r="N229" s="39"/>
      <c r="O229" s="39"/>
      <c r="P229" s="39"/>
      <c r="Q229" s="39"/>
      <c r="R229" s="39">
        <v>2</v>
      </c>
      <c r="S229" s="10">
        <f t="shared" si="57"/>
        <v>2</v>
      </c>
      <c r="T229" s="10">
        <v>100000</v>
      </c>
      <c r="U229" s="10">
        <f t="shared" si="59"/>
        <v>200000</v>
      </c>
      <c r="V229" s="4"/>
      <c r="Y229" s="4"/>
    </row>
    <row r="230" spans="2:25" ht="37.5">
      <c r="B230" s="58"/>
      <c r="C230" s="60"/>
      <c r="D230" s="52" t="s">
        <v>47</v>
      </c>
      <c r="E230" s="63"/>
      <c r="F230" s="8">
        <v>0.16666666666666666</v>
      </c>
      <c r="G230" s="67" t="s">
        <v>84</v>
      </c>
      <c r="H230" s="68"/>
      <c r="I230" s="35">
        <v>80</v>
      </c>
      <c r="J230" s="9">
        <f t="shared" si="56"/>
        <v>1.2500000000000001E-2</v>
      </c>
      <c r="K230" s="39"/>
      <c r="L230" s="39"/>
      <c r="M230" s="39"/>
      <c r="N230" s="39"/>
      <c r="O230" s="39"/>
      <c r="P230" s="39"/>
      <c r="Q230" s="39"/>
      <c r="R230" s="39">
        <v>1</v>
      </c>
      <c r="S230" s="10">
        <f t="shared" si="57"/>
        <v>1</v>
      </c>
      <c r="T230" s="10">
        <v>100000</v>
      </c>
      <c r="U230" s="10">
        <f t="shared" si="59"/>
        <v>100000</v>
      </c>
      <c r="V230" s="4"/>
      <c r="W230" s="4"/>
      <c r="X230" s="4"/>
      <c r="Y230" s="4"/>
    </row>
    <row r="231" spans="2:25" ht="37.5">
      <c r="B231" s="58"/>
      <c r="C231" s="60"/>
      <c r="D231" s="52" t="s">
        <v>47</v>
      </c>
      <c r="E231" s="63"/>
      <c r="F231" s="8">
        <v>0.25</v>
      </c>
      <c r="G231" s="67" t="s">
        <v>84</v>
      </c>
      <c r="H231" s="68"/>
      <c r="I231" s="35">
        <v>50</v>
      </c>
      <c r="J231" s="9">
        <f t="shared" si="56"/>
        <v>0</v>
      </c>
      <c r="K231" s="39"/>
      <c r="L231" s="39"/>
      <c r="M231" s="39"/>
      <c r="N231" s="39"/>
      <c r="O231" s="39"/>
      <c r="P231" s="39"/>
      <c r="Q231" s="39"/>
      <c r="R231" s="39"/>
      <c r="S231" s="10">
        <f t="shared" si="57"/>
        <v>0</v>
      </c>
      <c r="T231" s="10">
        <v>100000</v>
      </c>
      <c r="U231" s="10">
        <f t="shared" si="59"/>
        <v>0</v>
      </c>
      <c r="V231" s="4"/>
      <c r="Y231" s="4"/>
    </row>
    <row r="232" spans="2:25" ht="37.5">
      <c r="B232" s="58"/>
      <c r="C232" s="61"/>
      <c r="D232" s="53" t="s">
        <v>47</v>
      </c>
      <c r="E232" s="69"/>
      <c r="F232" s="14">
        <v>0.33333333333333331</v>
      </c>
      <c r="G232" s="67" t="s">
        <v>84</v>
      </c>
      <c r="H232" s="68"/>
      <c r="I232" s="37">
        <v>80</v>
      </c>
      <c r="J232" s="15">
        <f t="shared" si="56"/>
        <v>0</v>
      </c>
      <c r="K232" s="40"/>
      <c r="L232" s="40"/>
      <c r="M232" s="40"/>
      <c r="N232" s="40"/>
      <c r="O232" s="40"/>
      <c r="P232" s="40"/>
      <c r="Q232" s="40"/>
      <c r="R232" s="40"/>
      <c r="S232" s="16">
        <f t="shared" si="57"/>
        <v>0</v>
      </c>
      <c r="T232" s="16">
        <v>100000</v>
      </c>
      <c r="U232" s="16">
        <f t="shared" si="59"/>
        <v>0</v>
      </c>
      <c r="V232" s="4"/>
      <c r="W232" s="4"/>
      <c r="X232" s="4"/>
      <c r="Y232" s="4"/>
    </row>
    <row r="233" spans="2:25" ht="31.5" customHeight="1">
      <c r="B233" s="58">
        <v>46100</v>
      </c>
      <c r="C233" s="59" t="s">
        <v>16</v>
      </c>
      <c r="D233" s="51" t="s">
        <v>53</v>
      </c>
      <c r="E233" s="62" t="s">
        <v>101</v>
      </c>
      <c r="F233" s="5">
        <v>0.41666666666666669</v>
      </c>
      <c r="G233" s="65" t="s">
        <v>104</v>
      </c>
      <c r="H233" s="66"/>
      <c r="I233" s="34">
        <v>55</v>
      </c>
      <c r="J233" s="6">
        <f t="shared" si="56"/>
        <v>0.18181818181818182</v>
      </c>
      <c r="K233" s="38"/>
      <c r="L233" s="38"/>
      <c r="M233" s="38"/>
      <c r="N233" s="38">
        <v>10</v>
      </c>
      <c r="O233" s="38"/>
      <c r="P233" s="38"/>
      <c r="Q233" s="38"/>
      <c r="R233" s="38"/>
      <c r="S233" s="7">
        <f>SUM(K233:R233)</f>
        <v>10</v>
      </c>
      <c r="T233" s="7">
        <v>100000</v>
      </c>
      <c r="U233" s="7">
        <f>T233*S233</f>
        <v>1000000</v>
      </c>
      <c r="V233" s="4"/>
      <c r="W233" s="4"/>
      <c r="X233" s="4"/>
      <c r="Y233" s="4"/>
    </row>
    <row r="234" spans="2:25" ht="37.5">
      <c r="B234" s="58"/>
      <c r="C234" s="60"/>
      <c r="D234" s="52" t="s">
        <v>53</v>
      </c>
      <c r="E234" s="63"/>
      <c r="F234" s="8">
        <v>0.5</v>
      </c>
      <c r="G234" s="67" t="s">
        <v>104</v>
      </c>
      <c r="H234" s="68"/>
      <c r="I234" s="35">
        <v>65</v>
      </c>
      <c r="J234" s="9">
        <f t="shared" si="56"/>
        <v>0</v>
      </c>
      <c r="K234" s="39"/>
      <c r="L234" s="39"/>
      <c r="M234" s="39"/>
      <c r="N234" s="39"/>
      <c r="O234" s="39"/>
      <c r="P234" s="39"/>
      <c r="Q234" s="39"/>
      <c r="R234" s="39"/>
      <c r="S234" s="10">
        <f t="shared" ref="S234:S244" si="60">SUM(K234:R234)</f>
        <v>0</v>
      </c>
      <c r="T234" s="10">
        <v>100000</v>
      </c>
      <c r="U234" s="10">
        <f t="shared" ref="U234:U235" si="61">T234*S234</f>
        <v>0</v>
      </c>
      <c r="V234" s="4"/>
      <c r="W234" s="4"/>
      <c r="X234" s="4"/>
      <c r="Y234" s="4"/>
    </row>
    <row r="235" spans="2:25" ht="37.5">
      <c r="B235" s="58"/>
      <c r="C235" s="60"/>
      <c r="D235" s="52" t="s">
        <v>53</v>
      </c>
      <c r="E235" s="63"/>
      <c r="F235" s="8">
        <v>0.58333333333333337</v>
      </c>
      <c r="G235" s="67" t="s">
        <v>104</v>
      </c>
      <c r="H235" s="68"/>
      <c r="I235" s="35">
        <v>65</v>
      </c>
      <c r="J235" s="9">
        <f t="shared" si="56"/>
        <v>0</v>
      </c>
      <c r="K235" s="39"/>
      <c r="L235" s="39"/>
      <c r="M235" s="39"/>
      <c r="N235" s="39"/>
      <c r="O235" s="39"/>
      <c r="P235" s="39"/>
      <c r="Q235" s="39"/>
      <c r="R235" s="39"/>
      <c r="S235" s="10">
        <f t="shared" si="60"/>
        <v>0</v>
      </c>
      <c r="T235" s="10">
        <v>100000</v>
      </c>
      <c r="U235" s="10">
        <f t="shared" si="61"/>
        <v>0</v>
      </c>
      <c r="V235" s="4"/>
      <c r="W235" s="4"/>
      <c r="X235" s="4"/>
      <c r="Y235" s="4"/>
    </row>
    <row r="236" spans="2:25" ht="37.5">
      <c r="B236" s="58"/>
      <c r="C236" s="60"/>
      <c r="D236" s="52" t="s">
        <v>53</v>
      </c>
      <c r="E236" s="63"/>
      <c r="F236" s="8">
        <v>0.66666666666666663</v>
      </c>
      <c r="G236" s="67" t="s">
        <v>104</v>
      </c>
      <c r="H236" s="68"/>
      <c r="I236" s="35">
        <v>65</v>
      </c>
      <c r="J236" s="9">
        <f t="shared" si="56"/>
        <v>0</v>
      </c>
      <c r="K236" s="39"/>
      <c r="L236" s="39"/>
      <c r="M236" s="39"/>
      <c r="N236" s="39"/>
      <c r="O236" s="39"/>
      <c r="P236" s="39"/>
      <c r="Q236" s="39"/>
      <c r="R236" s="39"/>
      <c r="S236" s="10">
        <f t="shared" si="60"/>
        <v>0</v>
      </c>
      <c r="T236" s="10">
        <v>100000</v>
      </c>
      <c r="U236" s="10">
        <f>T236*S236</f>
        <v>0</v>
      </c>
      <c r="V236" s="4"/>
      <c r="W236" s="4"/>
      <c r="X236" s="4"/>
      <c r="Y236" s="4"/>
    </row>
    <row r="237" spans="2:25" ht="37.5">
      <c r="B237" s="58"/>
      <c r="C237" s="60"/>
      <c r="D237" s="52" t="s">
        <v>53</v>
      </c>
      <c r="E237" s="63"/>
      <c r="F237" s="8">
        <v>0.75</v>
      </c>
      <c r="G237" s="67" t="s">
        <v>104</v>
      </c>
      <c r="H237" s="68"/>
      <c r="I237" s="35">
        <v>65</v>
      </c>
      <c r="J237" s="9">
        <f t="shared" si="56"/>
        <v>0</v>
      </c>
      <c r="K237" s="39"/>
      <c r="L237" s="39"/>
      <c r="M237" s="39"/>
      <c r="N237" s="39"/>
      <c r="O237" s="39"/>
      <c r="P237" s="39"/>
      <c r="Q237" s="39"/>
      <c r="R237" s="39"/>
      <c r="S237" s="10">
        <f t="shared" si="60"/>
        <v>0</v>
      </c>
      <c r="T237" s="10">
        <v>100000</v>
      </c>
      <c r="U237" s="10">
        <f t="shared" ref="U237:U244" si="62">T237*S237</f>
        <v>0</v>
      </c>
      <c r="V237" s="4"/>
      <c r="W237" s="4"/>
      <c r="X237" s="11"/>
      <c r="Y237" s="4"/>
    </row>
    <row r="238" spans="2:25" ht="37.5">
      <c r="B238" s="58"/>
      <c r="C238" s="60"/>
      <c r="D238" s="53" t="s">
        <v>53</v>
      </c>
      <c r="E238" s="64"/>
      <c r="F238" s="12">
        <v>0.83333333333333337</v>
      </c>
      <c r="G238" s="67" t="s">
        <v>104</v>
      </c>
      <c r="H238" s="68"/>
      <c r="I238" s="36">
        <v>65</v>
      </c>
      <c r="J238" s="9">
        <f t="shared" si="56"/>
        <v>0</v>
      </c>
      <c r="K238" s="41"/>
      <c r="L238" s="41"/>
      <c r="M238" s="39"/>
      <c r="N238" s="41"/>
      <c r="O238" s="41"/>
      <c r="P238" s="41"/>
      <c r="Q238" s="41"/>
      <c r="R238" s="41"/>
      <c r="S238" s="13">
        <f t="shared" si="60"/>
        <v>0</v>
      </c>
      <c r="T238" s="13">
        <v>100000</v>
      </c>
      <c r="U238" s="13">
        <f t="shared" si="62"/>
        <v>0</v>
      </c>
      <c r="V238" s="4"/>
      <c r="Y238" s="4"/>
    </row>
    <row r="239" spans="2:25" ht="37.5">
      <c r="B239" s="58"/>
      <c r="C239" s="60"/>
      <c r="D239" s="51" t="s">
        <v>53</v>
      </c>
      <c r="E239" s="62" t="s">
        <v>102</v>
      </c>
      <c r="F239" s="5">
        <v>0.91666666666666663</v>
      </c>
      <c r="G239" s="65" t="s">
        <v>84</v>
      </c>
      <c r="H239" s="66"/>
      <c r="I239" s="34"/>
      <c r="J239" s="6" t="str">
        <f t="shared" si="56"/>
        <v/>
      </c>
      <c r="K239" s="38"/>
      <c r="L239" s="38"/>
      <c r="M239" s="38"/>
      <c r="N239" s="38"/>
      <c r="O239" s="38"/>
      <c r="P239" s="38"/>
      <c r="Q239" s="38"/>
      <c r="R239" s="38"/>
      <c r="S239" s="7">
        <f t="shared" si="60"/>
        <v>0</v>
      </c>
      <c r="T239" s="7">
        <v>100000</v>
      </c>
      <c r="U239" s="7">
        <f t="shared" si="62"/>
        <v>0</v>
      </c>
      <c r="V239" s="4"/>
      <c r="Y239" s="4"/>
    </row>
    <row r="240" spans="2:25" ht="37.5">
      <c r="B240" s="58"/>
      <c r="C240" s="60"/>
      <c r="D240" s="52" t="s">
        <v>53</v>
      </c>
      <c r="E240" s="63"/>
      <c r="F240" s="8">
        <v>1</v>
      </c>
      <c r="G240" s="67" t="s">
        <v>84</v>
      </c>
      <c r="H240" s="68"/>
      <c r="I240" s="35">
        <v>40</v>
      </c>
      <c r="J240" s="9">
        <f t="shared" si="56"/>
        <v>0.375</v>
      </c>
      <c r="K240" s="39"/>
      <c r="L240" s="39"/>
      <c r="M240" s="39"/>
      <c r="N240" s="39"/>
      <c r="O240" s="39"/>
      <c r="P240" s="39"/>
      <c r="Q240" s="39">
        <v>15</v>
      </c>
      <c r="R240" s="39"/>
      <c r="S240" s="10">
        <f t="shared" si="60"/>
        <v>15</v>
      </c>
      <c r="T240" s="10">
        <v>100000</v>
      </c>
      <c r="U240" s="10">
        <f t="shared" si="62"/>
        <v>1500000</v>
      </c>
      <c r="V240" s="4"/>
      <c r="Y240" s="4"/>
    </row>
    <row r="241" spans="2:25" ht="37.5">
      <c r="B241" s="58"/>
      <c r="C241" s="60"/>
      <c r="D241" s="52" t="s">
        <v>53</v>
      </c>
      <c r="E241" s="63"/>
      <c r="F241" s="8">
        <v>8.3333333333333329E-2</v>
      </c>
      <c r="G241" s="67" t="s">
        <v>84</v>
      </c>
      <c r="H241" s="68"/>
      <c r="I241" s="35">
        <v>60</v>
      </c>
      <c r="J241" s="9">
        <f t="shared" si="56"/>
        <v>3.3333333333333333E-2</v>
      </c>
      <c r="K241" s="39"/>
      <c r="L241" s="39"/>
      <c r="M241" s="39"/>
      <c r="N241" s="39"/>
      <c r="O241" s="39"/>
      <c r="P241" s="39"/>
      <c r="Q241" s="39"/>
      <c r="R241" s="39">
        <v>2</v>
      </c>
      <c r="S241" s="10">
        <f t="shared" si="60"/>
        <v>2</v>
      </c>
      <c r="T241" s="10">
        <v>100000</v>
      </c>
      <c r="U241" s="10">
        <f t="shared" si="62"/>
        <v>200000</v>
      </c>
      <c r="V241" s="4"/>
      <c r="Y241" s="4"/>
    </row>
    <row r="242" spans="2:25" ht="37.5">
      <c r="B242" s="58"/>
      <c r="C242" s="60"/>
      <c r="D242" s="52" t="s">
        <v>53</v>
      </c>
      <c r="E242" s="63"/>
      <c r="F242" s="8">
        <v>0.16666666666666666</v>
      </c>
      <c r="G242" s="67" t="s">
        <v>84</v>
      </c>
      <c r="H242" s="68"/>
      <c r="I242" s="35">
        <v>60</v>
      </c>
      <c r="J242" s="9">
        <f t="shared" si="56"/>
        <v>3.3333333333333333E-2</v>
      </c>
      <c r="K242" s="39"/>
      <c r="L242" s="39"/>
      <c r="M242" s="39">
        <v>2</v>
      </c>
      <c r="N242" s="39"/>
      <c r="O242" s="39"/>
      <c r="P242" s="39"/>
      <c r="Q242" s="39"/>
      <c r="R242" s="39"/>
      <c r="S242" s="10">
        <f t="shared" si="60"/>
        <v>2</v>
      </c>
      <c r="T242" s="10">
        <v>100000</v>
      </c>
      <c r="U242" s="10">
        <f t="shared" si="62"/>
        <v>200000</v>
      </c>
      <c r="V242" s="4"/>
      <c r="W242" s="4"/>
      <c r="X242" s="4"/>
      <c r="Y242" s="4"/>
    </row>
    <row r="243" spans="2:25" ht="37.5">
      <c r="B243" s="58"/>
      <c r="C243" s="60"/>
      <c r="D243" s="52" t="s">
        <v>53</v>
      </c>
      <c r="E243" s="63"/>
      <c r="F243" s="8">
        <v>0.25</v>
      </c>
      <c r="G243" s="67" t="s">
        <v>84</v>
      </c>
      <c r="H243" s="68"/>
      <c r="I243" s="35">
        <v>60</v>
      </c>
      <c r="J243" s="9">
        <f t="shared" si="56"/>
        <v>3.3333333333333333E-2</v>
      </c>
      <c r="K243" s="39"/>
      <c r="L243" s="39"/>
      <c r="M243" s="39"/>
      <c r="N243" s="39"/>
      <c r="O243" s="39"/>
      <c r="P243" s="39"/>
      <c r="Q243" s="39"/>
      <c r="R243" s="39">
        <v>2</v>
      </c>
      <c r="S243" s="10">
        <f t="shared" si="60"/>
        <v>2</v>
      </c>
      <c r="T243" s="10">
        <v>100000</v>
      </c>
      <c r="U243" s="10">
        <f t="shared" si="62"/>
        <v>200000</v>
      </c>
      <c r="V243" s="4"/>
      <c r="Y243" s="4"/>
    </row>
    <row r="244" spans="2:25" ht="37.5">
      <c r="B244" s="58"/>
      <c r="C244" s="61"/>
      <c r="D244" s="53" t="s">
        <v>53</v>
      </c>
      <c r="E244" s="69"/>
      <c r="F244" s="14">
        <v>0.33333333333333331</v>
      </c>
      <c r="G244" s="67" t="s">
        <v>84</v>
      </c>
      <c r="H244" s="68"/>
      <c r="I244" s="37">
        <v>60</v>
      </c>
      <c r="J244" s="15">
        <f t="shared" si="56"/>
        <v>3.3333333333333333E-2</v>
      </c>
      <c r="K244" s="40"/>
      <c r="L244" s="40"/>
      <c r="M244" s="40"/>
      <c r="N244" s="40"/>
      <c r="O244" s="40"/>
      <c r="P244" s="40"/>
      <c r="Q244" s="40"/>
      <c r="R244" s="40">
        <v>2</v>
      </c>
      <c r="S244" s="16">
        <f t="shared" si="60"/>
        <v>2</v>
      </c>
      <c r="T244" s="16">
        <v>100000</v>
      </c>
      <c r="U244" s="16">
        <f t="shared" si="62"/>
        <v>200000</v>
      </c>
      <c r="V244" s="4"/>
      <c r="W244" s="4"/>
      <c r="X244" s="4"/>
      <c r="Y244" s="4"/>
    </row>
    <row r="245" spans="2:25" ht="33.75" customHeight="1">
      <c r="B245" s="58">
        <v>46101</v>
      </c>
      <c r="C245" s="59" t="s">
        <v>16</v>
      </c>
      <c r="D245" s="51" t="s">
        <v>53</v>
      </c>
      <c r="E245" s="62" t="s">
        <v>101</v>
      </c>
      <c r="F245" s="5">
        <v>0.41666666666666669</v>
      </c>
      <c r="G245" s="65" t="s">
        <v>108</v>
      </c>
      <c r="H245" s="66"/>
      <c r="I245" s="34">
        <v>60</v>
      </c>
      <c r="J245" s="6">
        <f t="shared" si="56"/>
        <v>8.3333333333333329E-2</v>
      </c>
      <c r="K245" s="38"/>
      <c r="L245" s="38"/>
      <c r="M245" s="38">
        <v>5</v>
      </c>
      <c r="N245" s="38"/>
      <c r="O245" s="38"/>
      <c r="P245" s="38"/>
      <c r="Q245" s="38"/>
      <c r="R245" s="38"/>
      <c r="S245" s="7">
        <f>SUM(K245:R245)</f>
        <v>5</v>
      </c>
      <c r="T245" s="7">
        <v>100000</v>
      </c>
      <c r="U245" s="7">
        <f>T245*S245</f>
        <v>500000</v>
      </c>
      <c r="V245" s="4"/>
      <c r="W245" s="4"/>
      <c r="X245" s="4"/>
      <c r="Y245" s="4"/>
    </row>
    <row r="246" spans="2:25" ht="37.5">
      <c r="B246" s="58"/>
      <c r="C246" s="60"/>
      <c r="D246" s="52" t="s">
        <v>53</v>
      </c>
      <c r="E246" s="63"/>
      <c r="F246" s="8">
        <v>0.5</v>
      </c>
      <c r="G246" s="67" t="s">
        <v>108</v>
      </c>
      <c r="H246" s="68"/>
      <c r="I246" s="35">
        <v>65</v>
      </c>
      <c r="J246" s="9">
        <f t="shared" si="56"/>
        <v>0</v>
      </c>
      <c r="K246" s="39"/>
      <c r="L246" s="39"/>
      <c r="M246" s="39"/>
      <c r="N246" s="39"/>
      <c r="O246" s="39"/>
      <c r="P246" s="39"/>
      <c r="Q246" s="39"/>
      <c r="R246" s="39"/>
      <c r="S246" s="10">
        <f t="shared" ref="S246:S256" si="63">SUM(K246:R246)</f>
        <v>0</v>
      </c>
      <c r="T246" s="10">
        <v>100000</v>
      </c>
      <c r="U246" s="10">
        <f t="shared" ref="U246:U247" si="64">T246*S246</f>
        <v>0</v>
      </c>
      <c r="V246" s="4"/>
      <c r="W246" s="4"/>
      <c r="X246" s="4"/>
      <c r="Y246" s="4"/>
    </row>
    <row r="247" spans="2:25" ht="37.5">
      <c r="B247" s="58"/>
      <c r="C247" s="60"/>
      <c r="D247" s="52" t="s">
        <v>53</v>
      </c>
      <c r="E247" s="63"/>
      <c r="F247" s="8">
        <v>0.58333333333333337</v>
      </c>
      <c r="G247" s="67" t="s">
        <v>108</v>
      </c>
      <c r="H247" s="68"/>
      <c r="I247" s="35">
        <v>65</v>
      </c>
      <c r="J247" s="9">
        <f t="shared" si="56"/>
        <v>0</v>
      </c>
      <c r="K247" s="39"/>
      <c r="L247" s="39"/>
      <c r="M247" s="39"/>
      <c r="N247" s="39"/>
      <c r="O247" s="39"/>
      <c r="P247" s="39"/>
      <c r="Q247" s="39"/>
      <c r="R247" s="39"/>
      <c r="S247" s="10">
        <f t="shared" si="63"/>
        <v>0</v>
      </c>
      <c r="T247" s="10">
        <v>100000</v>
      </c>
      <c r="U247" s="10">
        <f t="shared" si="64"/>
        <v>0</v>
      </c>
      <c r="V247" s="4"/>
      <c r="W247" s="4"/>
      <c r="X247" s="4"/>
      <c r="Y247" s="4"/>
    </row>
    <row r="248" spans="2:25" ht="37.5">
      <c r="B248" s="58"/>
      <c r="C248" s="60"/>
      <c r="D248" s="52" t="s">
        <v>53</v>
      </c>
      <c r="E248" s="63"/>
      <c r="F248" s="8">
        <v>0.66666666666666663</v>
      </c>
      <c r="G248" s="67" t="s">
        <v>108</v>
      </c>
      <c r="H248" s="68"/>
      <c r="I248" s="35">
        <v>65</v>
      </c>
      <c r="J248" s="9">
        <f t="shared" si="56"/>
        <v>0</v>
      </c>
      <c r="K248" s="39"/>
      <c r="L248" s="39"/>
      <c r="M248" s="39"/>
      <c r="N248" s="39"/>
      <c r="O248" s="39"/>
      <c r="P248" s="39"/>
      <c r="Q248" s="39"/>
      <c r="R248" s="39"/>
      <c r="S248" s="10">
        <f t="shared" si="63"/>
        <v>0</v>
      </c>
      <c r="T248" s="10">
        <v>100000</v>
      </c>
      <c r="U248" s="10">
        <f>T248*S248</f>
        <v>0</v>
      </c>
      <c r="V248" s="4"/>
      <c r="W248" s="4"/>
      <c r="X248" s="4"/>
      <c r="Y248" s="4"/>
    </row>
    <row r="249" spans="2:25" ht="37.5">
      <c r="B249" s="58"/>
      <c r="C249" s="60"/>
      <c r="D249" s="52" t="s">
        <v>53</v>
      </c>
      <c r="E249" s="63"/>
      <c r="F249" s="8">
        <v>0.75</v>
      </c>
      <c r="G249" s="67" t="s">
        <v>108</v>
      </c>
      <c r="H249" s="68"/>
      <c r="I249" s="35">
        <v>25</v>
      </c>
      <c r="J249" s="9">
        <f t="shared" si="56"/>
        <v>0</v>
      </c>
      <c r="K249" s="39"/>
      <c r="L249" s="39"/>
      <c r="M249" s="39"/>
      <c r="N249" s="39"/>
      <c r="O249" s="39"/>
      <c r="P249" s="39"/>
      <c r="Q249" s="39"/>
      <c r="R249" s="39"/>
      <c r="S249" s="10">
        <f t="shared" si="63"/>
        <v>0</v>
      </c>
      <c r="T249" s="10">
        <v>100000</v>
      </c>
      <c r="U249" s="10">
        <f t="shared" ref="U249:U256" si="65">T249*S249</f>
        <v>0</v>
      </c>
      <c r="V249" s="4"/>
      <c r="W249" s="4"/>
      <c r="X249" s="11"/>
      <c r="Y249" s="4"/>
    </row>
    <row r="250" spans="2:25" ht="37.5">
      <c r="B250" s="58"/>
      <c r="C250" s="60"/>
      <c r="D250" s="53" t="s">
        <v>53</v>
      </c>
      <c r="E250" s="64"/>
      <c r="F250" s="12">
        <v>0.83333333333333337</v>
      </c>
      <c r="G250" s="67" t="s">
        <v>108</v>
      </c>
      <c r="H250" s="68"/>
      <c r="I250" s="36"/>
      <c r="J250" s="9" t="str">
        <f t="shared" si="56"/>
        <v/>
      </c>
      <c r="K250" s="41"/>
      <c r="L250" s="41"/>
      <c r="M250" s="39"/>
      <c r="N250" s="41"/>
      <c r="O250" s="41"/>
      <c r="P250" s="41"/>
      <c r="Q250" s="41"/>
      <c r="R250" s="41"/>
      <c r="S250" s="13">
        <f t="shared" si="63"/>
        <v>0</v>
      </c>
      <c r="T250" s="13">
        <v>100000</v>
      </c>
      <c r="U250" s="13">
        <f t="shared" si="65"/>
        <v>0</v>
      </c>
      <c r="V250" s="4"/>
      <c r="Y250" s="4"/>
    </row>
    <row r="251" spans="2:25" ht="37.5">
      <c r="B251" s="58"/>
      <c r="C251" s="60"/>
      <c r="D251" s="51" t="s">
        <v>53</v>
      </c>
      <c r="E251" s="62" t="s">
        <v>102</v>
      </c>
      <c r="F251" s="5">
        <v>0.91666666666666663</v>
      </c>
      <c r="G251" s="65" t="s">
        <v>88</v>
      </c>
      <c r="H251" s="66"/>
      <c r="I251" s="34">
        <v>60</v>
      </c>
      <c r="J251" s="6">
        <f t="shared" si="56"/>
        <v>0.05</v>
      </c>
      <c r="K251" s="38"/>
      <c r="L251" s="38"/>
      <c r="M251" s="38"/>
      <c r="N251" s="38"/>
      <c r="O251" s="38"/>
      <c r="P251" s="38"/>
      <c r="Q251" s="38"/>
      <c r="R251" s="38">
        <v>3</v>
      </c>
      <c r="S251" s="7">
        <f t="shared" si="63"/>
        <v>3</v>
      </c>
      <c r="T251" s="7">
        <v>100000</v>
      </c>
      <c r="U251" s="7">
        <f t="shared" si="65"/>
        <v>300000</v>
      </c>
      <c r="V251" s="4"/>
      <c r="Y251" s="4"/>
    </row>
    <row r="252" spans="2:25" ht="37.5">
      <c r="B252" s="58"/>
      <c r="C252" s="60"/>
      <c r="D252" s="52" t="s">
        <v>53</v>
      </c>
      <c r="E252" s="63"/>
      <c r="F252" s="8">
        <v>1</v>
      </c>
      <c r="G252" s="67" t="s">
        <v>88</v>
      </c>
      <c r="H252" s="68"/>
      <c r="I252" s="35">
        <v>60</v>
      </c>
      <c r="J252" s="9">
        <f t="shared" si="56"/>
        <v>0.05</v>
      </c>
      <c r="K252" s="39"/>
      <c r="L252" s="39"/>
      <c r="M252" s="39"/>
      <c r="N252" s="39"/>
      <c r="O252" s="39"/>
      <c r="P252" s="39"/>
      <c r="Q252" s="39"/>
      <c r="R252" s="39">
        <v>3</v>
      </c>
      <c r="S252" s="10">
        <f t="shared" si="63"/>
        <v>3</v>
      </c>
      <c r="T252" s="10">
        <v>100000</v>
      </c>
      <c r="U252" s="10">
        <f t="shared" si="65"/>
        <v>300000</v>
      </c>
      <c r="V252" s="4"/>
      <c r="Y252" s="4"/>
    </row>
    <row r="253" spans="2:25" ht="37.5">
      <c r="B253" s="58"/>
      <c r="C253" s="60"/>
      <c r="D253" s="52" t="s">
        <v>53</v>
      </c>
      <c r="E253" s="63"/>
      <c r="F253" s="8">
        <v>8.3333333333333329E-2</v>
      </c>
      <c r="G253" s="67" t="s">
        <v>88</v>
      </c>
      <c r="H253" s="68"/>
      <c r="I253" s="35">
        <v>60</v>
      </c>
      <c r="J253" s="9">
        <f t="shared" si="56"/>
        <v>0.05</v>
      </c>
      <c r="K253" s="39"/>
      <c r="L253" s="39"/>
      <c r="M253" s="39">
        <v>3</v>
      </c>
      <c r="N253" s="39"/>
      <c r="O253" s="39"/>
      <c r="P253" s="39"/>
      <c r="Q253" s="39"/>
      <c r="R253" s="39"/>
      <c r="S253" s="10">
        <f t="shared" si="63"/>
        <v>3</v>
      </c>
      <c r="T253" s="10">
        <v>100000</v>
      </c>
      <c r="U253" s="10">
        <f t="shared" si="65"/>
        <v>300000</v>
      </c>
      <c r="V253" s="4"/>
      <c r="Y253" s="4"/>
    </row>
    <row r="254" spans="2:25" ht="37.5">
      <c r="B254" s="58"/>
      <c r="C254" s="60"/>
      <c r="D254" s="52" t="s">
        <v>53</v>
      </c>
      <c r="E254" s="63"/>
      <c r="F254" s="8">
        <v>0.16666666666666666</v>
      </c>
      <c r="G254" s="67" t="s">
        <v>88</v>
      </c>
      <c r="H254" s="68"/>
      <c r="I254" s="35">
        <v>60</v>
      </c>
      <c r="J254" s="9">
        <f t="shared" si="56"/>
        <v>0.05</v>
      </c>
      <c r="K254" s="39"/>
      <c r="L254" s="39"/>
      <c r="M254" s="39">
        <v>3</v>
      </c>
      <c r="N254" s="39"/>
      <c r="O254" s="39"/>
      <c r="P254" s="39"/>
      <c r="Q254" s="39"/>
      <c r="R254" s="39"/>
      <c r="S254" s="10">
        <f t="shared" si="63"/>
        <v>3</v>
      </c>
      <c r="T254" s="10">
        <v>100000</v>
      </c>
      <c r="U254" s="10">
        <f t="shared" si="65"/>
        <v>300000</v>
      </c>
      <c r="V254" s="4"/>
      <c r="W254" s="4"/>
      <c r="X254" s="4"/>
      <c r="Y254" s="4"/>
    </row>
    <row r="255" spans="2:25" ht="37.5">
      <c r="B255" s="58"/>
      <c r="C255" s="60"/>
      <c r="D255" s="52" t="s">
        <v>53</v>
      </c>
      <c r="E255" s="63"/>
      <c r="F255" s="8">
        <v>0.25</v>
      </c>
      <c r="G255" s="67" t="s">
        <v>88</v>
      </c>
      <c r="H255" s="68"/>
      <c r="I255" s="35">
        <v>60</v>
      </c>
      <c r="J255" s="9">
        <f t="shared" si="56"/>
        <v>0.05</v>
      </c>
      <c r="K255" s="39"/>
      <c r="L255" s="39"/>
      <c r="M255" s="39"/>
      <c r="N255" s="39"/>
      <c r="O255" s="39"/>
      <c r="P255" s="39"/>
      <c r="Q255" s="39"/>
      <c r="R255" s="39">
        <v>3</v>
      </c>
      <c r="S255" s="10">
        <f t="shared" si="63"/>
        <v>3</v>
      </c>
      <c r="T255" s="10">
        <v>100000</v>
      </c>
      <c r="U255" s="10">
        <f t="shared" si="65"/>
        <v>300000</v>
      </c>
      <c r="V255" s="4"/>
      <c r="Y255" s="4"/>
    </row>
    <row r="256" spans="2:25" ht="37.5">
      <c r="B256" s="58"/>
      <c r="C256" s="61"/>
      <c r="D256" s="53" t="s">
        <v>53</v>
      </c>
      <c r="E256" s="69"/>
      <c r="F256" s="14">
        <v>0.33333333333333331</v>
      </c>
      <c r="G256" s="67" t="s">
        <v>88</v>
      </c>
      <c r="H256" s="68"/>
      <c r="I256" s="37">
        <v>60</v>
      </c>
      <c r="J256" s="15">
        <f t="shared" si="56"/>
        <v>6.6666666666666666E-2</v>
      </c>
      <c r="K256" s="40"/>
      <c r="L256" s="40"/>
      <c r="M256" s="40"/>
      <c r="N256" s="40"/>
      <c r="O256" s="40"/>
      <c r="P256" s="40"/>
      <c r="Q256" s="40"/>
      <c r="R256" s="40">
        <v>4</v>
      </c>
      <c r="S256" s="16">
        <f t="shared" si="63"/>
        <v>4</v>
      </c>
      <c r="T256" s="16">
        <v>100000</v>
      </c>
      <c r="U256" s="16">
        <f t="shared" si="65"/>
        <v>400000</v>
      </c>
      <c r="V256" s="4"/>
      <c r="W256" s="4"/>
      <c r="X256" s="4"/>
      <c r="Y256" s="4"/>
    </row>
    <row r="257" spans="2:25" ht="30.75" customHeight="1">
      <c r="B257" s="58">
        <v>46102</v>
      </c>
      <c r="C257" s="59" t="s">
        <v>16</v>
      </c>
      <c r="D257" s="51" t="s">
        <v>48</v>
      </c>
      <c r="E257" s="62" t="s">
        <v>101</v>
      </c>
      <c r="F257" s="5">
        <v>0.41666666666666669</v>
      </c>
      <c r="G257" s="65" t="s">
        <v>83</v>
      </c>
      <c r="H257" s="66"/>
      <c r="I257" s="34">
        <v>65</v>
      </c>
      <c r="J257" s="6">
        <f t="shared" ref="J257:J304" si="66">IFERROR(S257/I257,"")</f>
        <v>9.2307692307692313E-2</v>
      </c>
      <c r="K257" s="38"/>
      <c r="L257" s="38"/>
      <c r="M257" s="38">
        <v>5</v>
      </c>
      <c r="N257" s="38"/>
      <c r="O257" s="38"/>
      <c r="P257" s="38"/>
      <c r="Q257" s="38">
        <v>1</v>
      </c>
      <c r="R257" s="38"/>
      <c r="S257" s="7">
        <f>SUM(K257:R257)</f>
        <v>6</v>
      </c>
      <c r="T257" s="7">
        <v>100000</v>
      </c>
      <c r="U257" s="7">
        <f>T257*S257</f>
        <v>600000</v>
      </c>
      <c r="V257" s="4"/>
      <c r="W257" s="4"/>
      <c r="X257" s="4"/>
      <c r="Y257" s="4"/>
    </row>
    <row r="258" spans="2:25" ht="37.5">
      <c r="B258" s="58"/>
      <c r="C258" s="60"/>
      <c r="D258" s="52" t="s">
        <v>48</v>
      </c>
      <c r="E258" s="63"/>
      <c r="F258" s="8">
        <v>0.5</v>
      </c>
      <c r="G258" s="67" t="s">
        <v>83</v>
      </c>
      <c r="H258" s="68"/>
      <c r="I258" s="35">
        <v>85</v>
      </c>
      <c r="J258" s="9">
        <f t="shared" si="66"/>
        <v>0</v>
      </c>
      <c r="K258" s="39"/>
      <c r="L258" s="39"/>
      <c r="M258" s="39"/>
      <c r="N258" s="39"/>
      <c r="O258" s="39"/>
      <c r="P258" s="39"/>
      <c r="Q258" s="39"/>
      <c r="R258" s="39"/>
      <c r="S258" s="10">
        <f t="shared" ref="S258:S268" si="67">SUM(K258:R258)</f>
        <v>0</v>
      </c>
      <c r="T258" s="10">
        <v>100000</v>
      </c>
      <c r="U258" s="10">
        <f t="shared" ref="U258:U259" si="68">T258*S258</f>
        <v>0</v>
      </c>
      <c r="V258" s="4"/>
      <c r="W258" s="4"/>
      <c r="X258" s="4"/>
      <c r="Y258" s="4"/>
    </row>
    <row r="259" spans="2:25" ht="37.5">
      <c r="B259" s="58"/>
      <c r="C259" s="60"/>
      <c r="D259" s="52" t="s">
        <v>48</v>
      </c>
      <c r="E259" s="63"/>
      <c r="F259" s="8">
        <v>0.58333333333333337</v>
      </c>
      <c r="G259" s="67" t="s">
        <v>83</v>
      </c>
      <c r="H259" s="68"/>
      <c r="I259" s="35">
        <v>85</v>
      </c>
      <c r="J259" s="9">
        <f t="shared" si="66"/>
        <v>0</v>
      </c>
      <c r="K259" s="39"/>
      <c r="L259" s="39"/>
      <c r="M259" s="39"/>
      <c r="N259" s="39"/>
      <c r="O259" s="39"/>
      <c r="P259" s="39"/>
      <c r="Q259" s="39"/>
      <c r="R259" s="39"/>
      <c r="S259" s="10">
        <f t="shared" si="67"/>
        <v>0</v>
      </c>
      <c r="T259" s="10">
        <v>100000</v>
      </c>
      <c r="U259" s="10">
        <f t="shared" si="68"/>
        <v>0</v>
      </c>
      <c r="V259" s="4"/>
      <c r="W259" s="4"/>
      <c r="X259" s="4"/>
      <c r="Y259" s="4"/>
    </row>
    <row r="260" spans="2:25" ht="37.5">
      <c r="B260" s="58"/>
      <c r="C260" s="60"/>
      <c r="D260" s="52" t="s">
        <v>48</v>
      </c>
      <c r="E260" s="63"/>
      <c r="F260" s="8">
        <v>0.66666666666666663</v>
      </c>
      <c r="G260" s="67" t="s">
        <v>83</v>
      </c>
      <c r="H260" s="68"/>
      <c r="I260" s="35">
        <v>85</v>
      </c>
      <c r="J260" s="9">
        <f t="shared" si="66"/>
        <v>0</v>
      </c>
      <c r="K260" s="39"/>
      <c r="L260" s="39"/>
      <c r="M260" s="39"/>
      <c r="N260" s="39"/>
      <c r="O260" s="39"/>
      <c r="P260" s="39"/>
      <c r="Q260" s="39"/>
      <c r="R260" s="39"/>
      <c r="S260" s="10">
        <f t="shared" si="67"/>
        <v>0</v>
      </c>
      <c r="T260" s="10">
        <v>100000</v>
      </c>
      <c r="U260" s="10">
        <f>T260*S260</f>
        <v>0</v>
      </c>
      <c r="V260" s="4"/>
      <c r="W260" s="4"/>
      <c r="X260" s="4"/>
      <c r="Y260" s="4"/>
    </row>
    <row r="261" spans="2:25" ht="37.5">
      <c r="B261" s="58"/>
      <c r="C261" s="60"/>
      <c r="D261" s="52" t="s">
        <v>48</v>
      </c>
      <c r="E261" s="63"/>
      <c r="F261" s="8">
        <v>0.75</v>
      </c>
      <c r="G261" s="67" t="s">
        <v>83</v>
      </c>
      <c r="H261" s="68"/>
      <c r="I261" s="35">
        <v>85</v>
      </c>
      <c r="J261" s="9">
        <f t="shared" si="66"/>
        <v>0</v>
      </c>
      <c r="K261" s="39"/>
      <c r="L261" s="39"/>
      <c r="M261" s="39"/>
      <c r="N261" s="39"/>
      <c r="O261" s="39"/>
      <c r="P261" s="39"/>
      <c r="Q261" s="39"/>
      <c r="R261" s="39"/>
      <c r="S261" s="10">
        <f t="shared" si="67"/>
        <v>0</v>
      </c>
      <c r="T261" s="10">
        <v>100000</v>
      </c>
      <c r="U261" s="10">
        <f t="shared" ref="U261:U268" si="69">T261*S261</f>
        <v>0</v>
      </c>
      <c r="V261" s="4"/>
      <c r="W261" s="4"/>
      <c r="X261" s="11"/>
      <c r="Y261" s="4"/>
    </row>
    <row r="262" spans="2:25" ht="37.5">
      <c r="B262" s="58"/>
      <c r="C262" s="60"/>
      <c r="D262" s="53" t="s">
        <v>48</v>
      </c>
      <c r="E262" s="64"/>
      <c r="F262" s="12">
        <v>0.83333333333333337</v>
      </c>
      <c r="G262" s="67" t="s">
        <v>83</v>
      </c>
      <c r="H262" s="68"/>
      <c r="I262" s="36">
        <v>35</v>
      </c>
      <c r="J262" s="9">
        <f t="shared" si="66"/>
        <v>8.5714285714285715E-2</v>
      </c>
      <c r="K262" s="41"/>
      <c r="L262" s="41"/>
      <c r="M262" s="39"/>
      <c r="N262" s="41"/>
      <c r="O262" s="41"/>
      <c r="P262" s="41"/>
      <c r="Q262" s="41"/>
      <c r="R262" s="41">
        <v>3</v>
      </c>
      <c r="S262" s="13">
        <f t="shared" si="67"/>
        <v>3</v>
      </c>
      <c r="T262" s="13">
        <v>100000</v>
      </c>
      <c r="U262" s="13">
        <f t="shared" si="69"/>
        <v>300000</v>
      </c>
      <c r="V262" s="4"/>
      <c r="Y262" s="4"/>
    </row>
    <row r="263" spans="2:25" ht="37.5">
      <c r="B263" s="58"/>
      <c r="C263" s="60"/>
      <c r="D263" s="51" t="s">
        <v>48</v>
      </c>
      <c r="E263" s="62" t="s">
        <v>102</v>
      </c>
      <c r="F263" s="5">
        <v>0.91666666666666663</v>
      </c>
      <c r="G263" s="65" t="s">
        <v>81</v>
      </c>
      <c r="H263" s="66"/>
      <c r="I263" s="34"/>
      <c r="J263" s="6" t="str">
        <f t="shared" si="66"/>
        <v/>
      </c>
      <c r="K263" s="38"/>
      <c r="L263" s="38"/>
      <c r="M263" s="38"/>
      <c r="N263" s="38"/>
      <c r="O263" s="38"/>
      <c r="P263" s="38"/>
      <c r="Q263" s="38"/>
      <c r="R263" s="38"/>
      <c r="S263" s="7">
        <f t="shared" si="67"/>
        <v>0</v>
      </c>
      <c r="T263" s="7">
        <v>100000</v>
      </c>
      <c r="U263" s="7">
        <f t="shared" si="69"/>
        <v>0</v>
      </c>
      <c r="V263" s="4"/>
      <c r="Y263" s="4"/>
    </row>
    <row r="264" spans="2:25" ht="37.5">
      <c r="B264" s="58"/>
      <c r="C264" s="60"/>
      <c r="D264" s="52" t="s">
        <v>48</v>
      </c>
      <c r="E264" s="63"/>
      <c r="F264" s="8">
        <v>1</v>
      </c>
      <c r="G264" s="67" t="s">
        <v>81</v>
      </c>
      <c r="H264" s="68"/>
      <c r="I264" s="35"/>
      <c r="J264" s="9" t="str">
        <f t="shared" si="66"/>
        <v/>
      </c>
      <c r="K264" s="39"/>
      <c r="L264" s="39"/>
      <c r="M264" s="39"/>
      <c r="N264" s="39"/>
      <c r="O264" s="39"/>
      <c r="P264" s="39"/>
      <c r="Q264" s="39"/>
      <c r="R264" s="39"/>
      <c r="S264" s="10">
        <f t="shared" si="67"/>
        <v>0</v>
      </c>
      <c r="T264" s="10">
        <v>100000</v>
      </c>
      <c r="U264" s="10">
        <f t="shared" si="69"/>
        <v>0</v>
      </c>
      <c r="V264" s="4"/>
      <c r="Y264" s="4"/>
    </row>
    <row r="265" spans="2:25" ht="37.5">
      <c r="B265" s="58"/>
      <c r="C265" s="60"/>
      <c r="D265" s="52" t="s">
        <v>48</v>
      </c>
      <c r="E265" s="63"/>
      <c r="F265" s="8">
        <v>8.3333333333333329E-2</v>
      </c>
      <c r="G265" s="67" t="s">
        <v>81</v>
      </c>
      <c r="H265" s="68"/>
      <c r="I265" s="35">
        <v>75</v>
      </c>
      <c r="J265" s="9">
        <f t="shared" si="66"/>
        <v>2.6666666666666668E-2</v>
      </c>
      <c r="K265" s="39"/>
      <c r="L265" s="39"/>
      <c r="M265" s="39">
        <v>2</v>
      </c>
      <c r="N265" s="39"/>
      <c r="O265" s="39"/>
      <c r="P265" s="39"/>
      <c r="Q265" s="39"/>
      <c r="R265" s="39"/>
      <c r="S265" s="10">
        <f t="shared" si="67"/>
        <v>2</v>
      </c>
      <c r="T265" s="10">
        <v>100000</v>
      </c>
      <c r="U265" s="10">
        <f t="shared" si="69"/>
        <v>200000</v>
      </c>
      <c r="V265" s="4"/>
      <c r="Y265" s="4"/>
    </row>
    <row r="266" spans="2:25" ht="37.5">
      <c r="B266" s="58"/>
      <c r="C266" s="60"/>
      <c r="D266" s="52" t="s">
        <v>48</v>
      </c>
      <c r="E266" s="63"/>
      <c r="F266" s="8">
        <v>0.16666666666666666</v>
      </c>
      <c r="G266" s="67" t="s">
        <v>81</v>
      </c>
      <c r="H266" s="68"/>
      <c r="I266" s="35">
        <v>75</v>
      </c>
      <c r="J266" s="9">
        <f t="shared" si="66"/>
        <v>2.6666666666666668E-2</v>
      </c>
      <c r="K266" s="39"/>
      <c r="L266" s="39"/>
      <c r="M266" s="39">
        <v>2</v>
      </c>
      <c r="N266" s="39"/>
      <c r="O266" s="39"/>
      <c r="P266" s="39"/>
      <c r="Q266" s="39"/>
      <c r="R266" s="39"/>
      <c r="S266" s="10">
        <f t="shared" si="67"/>
        <v>2</v>
      </c>
      <c r="T266" s="10">
        <v>100000</v>
      </c>
      <c r="U266" s="10">
        <f t="shared" si="69"/>
        <v>200000</v>
      </c>
      <c r="V266" s="4"/>
      <c r="W266" s="4"/>
      <c r="X266" s="4"/>
      <c r="Y266" s="4"/>
    </row>
    <row r="267" spans="2:25" ht="37.5">
      <c r="B267" s="58"/>
      <c r="C267" s="60"/>
      <c r="D267" s="52" t="s">
        <v>48</v>
      </c>
      <c r="E267" s="63"/>
      <c r="F267" s="8">
        <v>0.25</v>
      </c>
      <c r="G267" s="67" t="s">
        <v>81</v>
      </c>
      <c r="H267" s="68"/>
      <c r="I267" s="35">
        <v>60</v>
      </c>
      <c r="J267" s="9">
        <f t="shared" si="66"/>
        <v>0.16666666666666666</v>
      </c>
      <c r="K267" s="39"/>
      <c r="L267" s="39"/>
      <c r="M267" s="39">
        <v>10</v>
      </c>
      <c r="N267" s="39"/>
      <c r="O267" s="39"/>
      <c r="P267" s="39"/>
      <c r="Q267" s="39"/>
      <c r="R267" s="39"/>
      <c r="S267" s="10">
        <f t="shared" si="67"/>
        <v>10</v>
      </c>
      <c r="T267" s="10">
        <v>100000</v>
      </c>
      <c r="U267" s="10">
        <f t="shared" si="69"/>
        <v>1000000</v>
      </c>
      <c r="V267" s="4"/>
      <c r="Y267" s="4"/>
    </row>
    <row r="268" spans="2:25" ht="37.5">
      <c r="B268" s="58"/>
      <c r="C268" s="61"/>
      <c r="D268" s="53" t="s">
        <v>48</v>
      </c>
      <c r="E268" s="69"/>
      <c r="F268" s="14">
        <v>0.33333333333333331</v>
      </c>
      <c r="G268" s="67" t="s">
        <v>81</v>
      </c>
      <c r="H268" s="68"/>
      <c r="I268" s="37">
        <v>70</v>
      </c>
      <c r="J268" s="15">
        <f t="shared" si="66"/>
        <v>2.8571428571428571E-2</v>
      </c>
      <c r="K268" s="40"/>
      <c r="L268" s="40"/>
      <c r="M268" s="40">
        <v>2</v>
      </c>
      <c r="N268" s="40"/>
      <c r="O268" s="40"/>
      <c r="P268" s="40"/>
      <c r="Q268" s="40"/>
      <c r="R268" s="40"/>
      <c r="S268" s="16">
        <f t="shared" si="67"/>
        <v>2</v>
      </c>
      <c r="T268" s="16">
        <v>100000</v>
      </c>
      <c r="U268" s="16">
        <f t="shared" si="69"/>
        <v>200000</v>
      </c>
      <c r="V268" s="4"/>
      <c r="W268" s="4"/>
      <c r="X268" s="4"/>
      <c r="Y268" s="4"/>
    </row>
    <row r="269" spans="2:25" ht="16.5" customHeight="1">
      <c r="B269" s="58">
        <v>46103</v>
      </c>
      <c r="C269" s="59" t="s">
        <v>16</v>
      </c>
      <c r="D269" s="51"/>
      <c r="E269" s="62" t="s">
        <v>101</v>
      </c>
      <c r="F269" s="5">
        <v>0.41666666666666669</v>
      </c>
      <c r="G269" s="65"/>
      <c r="H269" s="66"/>
      <c r="I269" s="34"/>
      <c r="J269" s="6" t="str">
        <f t="shared" si="66"/>
        <v/>
      </c>
      <c r="K269" s="38"/>
      <c r="L269" s="38"/>
      <c r="M269" s="38"/>
      <c r="N269" s="38"/>
      <c r="O269" s="38"/>
      <c r="P269" s="38"/>
      <c r="Q269" s="38"/>
      <c r="R269" s="38"/>
      <c r="S269" s="7">
        <f>SUM(K269:R269)</f>
        <v>0</v>
      </c>
      <c r="T269" s="7">
        <v>100000</v>
      </c>
      <c r="U269" s="7">
        <f>T269*S269</f>
        <v>0</v>
      </c>
      <c r="V269" s="4"/>
      <c r="W269" s="4"/>
      <c r="X269" s="4"/>
      <c r="Y269" s="4"/>
    </row>
    <row r="270" spans="2:25" ht="18.75">
      <c r="B270" s="58"/>
      <c r="C270" s="60"/>
      <c r="D270" s="52"/>
      <c r="E270" s="63"/>
      <c r="F270" s="8">
        <v>0.5</v>
      </c>
      <c r="G270" s="67"/>
      <c r="H270" s="68"/>
      <c r="I270" s="35"/>
      <c r="J270" s="9" t="str">
        <f t="shared" si="66"/>
        <v/>
      </c>
      <c r="K270" s="39"/>
      <c r="L270" s="39"/>
      <c r="M270" s="39"/>
      <c r="N270" s="39"/>
      <c r="O270" s="39"/>
      <c r="P270" s="39"/>
      <c r="Q270" s="39"/>
      <c r="R270" s="39"/>
      <c r="S270" s="10">
        <f t="shared" ref="S270:S280" si="70">SUM(K270:R270)</f>
        <v>0</v>
      </c>
      <c r="T270" s="10">
        <v>100000</v>
      </c>
      <c r="U270" s="10">
        <f t="shared" ref="U270:U271" si="71">T270*S270</f>
        <v>0</v>
      </c>
      <c r="V270" s="4"/>
      <c r="W270" s="4"/>
      <c r="X270" s="4"/>
      <c r="Y270" s="4"/>
    </row>
    <row r="271" spans="2:25" ht="18.75">
      <c r="B271" s="58"/>
      <c r="C271" s="60"/>
      <c r="D271" s="52"/>
      <c r="E271" s="63"/>
      <c r="F271" s="8">
        <v>0.58333333333333337</v>
      </c>
      <c r="G271" s="67"/>
      <c r="H271" s="68"/>
      <c r="I271" s="35"/>
      <c r="J271" s="9" t="str">
        <f t="shared" si="66"/>
        <v/>
      </c>
      <c r="K271" s="39"/>
      <c r="L271" s="39"/>
      <c r="M271" s="39"/>
      <c r="N271" s="39"/>
      <c r="O271" s="39"/>
      <c r="P271" s="39"/>
      <c r="Q271" s="39"/>
      <c r="R271" s="39"/>
      <c r="S271" s="10">
        <f t="shared" si="70"/>
        <v>0</v>
      </c>
      <c r="T271" s="10">
        <v>100000</v>
      </c>
      <c r="U271" s="10">
        <f t="shared" si="71"/>
        <v>0</v>
      </c>
      <c r="V271" s="4"/>
      <c r="W271" s="4"/>
      <c r="X271" s="4"/>
      <c r="Y271" s="4"/>
    </row>
    <row r="272" spans="2:25" ht="18.75">
      <c r="B272" s="58"/>
      <c r="C272" s="60"/>
      <c r="D272" s="52"/>
      <c r="E272" s="63"/>
      <c r="F272" s="8">
        <v>0.66666666666666663</v>
      </c>
      <c r="G272" s="67"/>
      <c r="H272" s="68"/>
      <c r="I272" s="35"/>
      <c r="J272" s="9" t="str">
        <f t="shared" si="66"/>
        <v/>
      </c>
      <c r="K272" s="39"/>
      <c r="L272" s="39"/>
      <c r="M272" s="39"/>
      <c r="N272" s="39"/>
      <c r="O272" s="39"/>
      <c r="P272" s="39"/>
      <c r="Q272" s="39"/>
      <c r="R272" s="39"/>
      <c r="S272" s="10">
        <f t="shared" si="70"/>
        <v>0</v>
      </c>
      <c r="T272" s="10">
        <v>100000</v>
      </c>
      <c r="U272" s="10">
        <f>T272*S272</f>
        <v>0</v>
      </c>
      <c r="V272" s="4"/>
      <c r="W272" s="4"/>
      <c r="X272" s="4"/>
      <c r="Y272" s="4"/>
    </row>
    <row r="273" spans="2:25" ht="18.75">
      <c r="B273" s="58"/>
      <c r="C273" s="60"/>
      <c r="D273" s="52"/>
      <c r="E273" s="63"/>
      <c r="F273" s="8">
        <v>0.75</v>
      </c>
      <c r="G273" s="67"/>
      <c r="H273" s="68"/>
      <c r="I273" s="35"/>
      <c r="J273" s="9" t="str">
        <f t="shared" si="66"/>
        <v/>
      </c>
      <c r="K273" s="39"/>
      <c r="L273" s="39"/>
      <c r="M273" s="39"/>
      <c r="N273" s="39"/>
      <c r="O273" s="39"/>
      <c r="P273" s="39"/>
      <c r="Q273" s="39"/>
      <c r="R273" s="39"/>
      <c r="S273" s="10">
        <f t="shared" si="70"/>
        <v>0</v>
      </c>
      <c r="T273" s="10">
        <v>100000</v>
      </c>
      <c r="U273" s="10">
        <f t="shared" ref="U273:U280" si="72">T273*S273</f>
        <v>0</v>
      </c>
      <c r="V273" s="4"/>
      <c r="W273" s="4"/>
      <c r="X273" s="11"/>
      <c r="Y273" s="4"/>
    </row>
    <row r="274" spans="2:25" ht="18.75">
      <c r="B274" s="58"/>
      <c r="C274" s="60"/>
      <c r="D274" s="53"/>
      <c r="E274" s="64"/>
      <c r="F274" s="12">
        <v>0.83333333333333337</v>
      </c>
      <c r="G274" s="67"/>
      <c r="H274" s="68"/>
      <c r="I274" s="36"/>
      <c r="J274" s="9" t="str">
        <f t="shared" si="66"/>
        <v/>
      </c>
      <c r="K274" s="41"/>
      <c r="L274" s="41"/>
      <c r="M274" s="39"/>
      <c r="N274" s="41"/>
      <c r="O274" s="41"/>
      <c r="P274" s="41"/>
      <c r="Q274" s="41"/>
      <c r="R274" s="41"/>
      <c r="S274" s="13">
        <f t="shared" si="70"/>
        <v>0</v>
      </c>
      <c r="T274" s="13">
        <v>100000</v>
      </c>
      <c r="U274" s="13">
        <f t="shared" si="72"/>
        <v>0</v>
      </c>
      <c r="V274" s="4"/>
      <c r="Y274" s="4"/>
    </row>
    <row r="275" spans="2:25" ht="18.75">
      <c r="B275" s="58"/>
      <c r="C275" s="60"/>
      <c r="D275" s="51"/>
      <c r="E275" s="62" t="s">
        <v>102</v>
      </c>
      <c r="F275" s="5">
        <v>0.91666666666666663</v>
      </c>
      <c r="G275" s="65"/>
      <c r="H275" s="66"/>
      <c r="I275" s="34"/>
      <c r="J275" s="6" t="str">
        <f t="shared" si="66"/>
        <v/>
      </c>
      <c r="K275" s="38"/>
      <c r="L275" s="38"/>
      <c r="M275" s="38"/>
      <c r="N275" s="38"/>
      <c r="O275" s="38"/>
      <c r="P275" s="38"/>
      <c r="Q275" s="38"/>
      <c r="R275" s="38"/>
      <c r="S275" s="7">
        <f t="shared" si="70"/>
        <v>0</v>
      </c>
      <c r="T275" s="7">
        <v>100000</v>
      </c>
      <c r="U275" s="7">
        <f t="shared" si="72"/>
        <v>0</v>
      </c>
      <c r="V275" s="4"/>
      <c r="Y275" s="4"/>
    </row>
    <row r="276" spans="2:25" ht="18.75">
      <c r="B276" s="58"/>
      <c r="C276" s="60"/>
      <c r="D276" s="52"/>
      <c r="E276" s="63"/>
      <c r="F276" s="8">
        <v>1</v>
      </c>
      <c r="G276" s="67"/>
      <c r="H276" s="68"/>
      <c r="I276" s="35"/>
      <c r="J276" s="9" t="str">
        <f t="shared" si="66"/>
        <v/>
      </c>
      <c r="K276" s="39"/>
      <c r="L276" s="39"/>
      <c r="M276" s="39"/>
      <c r="N276" s="39"/>
      <c r="O276" s="39"/>
      <c r="P276" s="39"/>
      <c r="Q276" s="39"/>
      <c r="R276" s="39"/>
      <c r="S276" s="10">
        <f t="shared" si="70"/>
        <v>0</v>
      </c>
      <c r="T276" s="10">
        <v>100000</v>
      </c>
      <c r="U276" s="10">
        <f t="shared" si="72"/>
        <v>0</v>
      </c>
      <c r="V276" s="4"/>
      <c r="Y276" s="4"/>
    </row>
    <row r="277" spans="2:25" ht="18.75">
      <c r="B277" s="58"/>
      <c r="C277" s="60"/>
      <c r="D277" s="52"/>
      <c r="E277" s="63"/>
      <c r="F277" s="8">
        <v>8.3333333333333329E-2</v>
      </c>
      <c r="G277" s="67"/>
      <c r="H277" s="68"/>
      <c r="I277" s="35"/>
      <c r="J277" s="9" t="str">
        <f t="shared" si="66"/>
        <v/>
      </c>
      <c r="K277" s="39"/>
      <c r="L277" s="39"/>
      <c r="M277" s="39"/>
      <c r="N277" s="39"/>
      <c r="O277" s="39"/>
      <c r="P277" s="39"/>
      <c r="Q277" s="39"/>
      <c r="R277" s="39"/>
      <c r="S277" s="10">
        <f t="shared" si="70"/>
        <v>0</v>
      </c>
      <c r="T277" s="10">
        <v>100000</v>
      </c>
      <c r="U277" s="10">
        <f t="shared" si="72"/>
        <v>0</v>
      </c>
      <c r="V277" s="4"/>
      <c r="Y277" s="4"/>
    </row>
    <row r="278" spans="2:25" ht="18.75">
      <c r="B278" s="58"/>
      <c r="C278" s="60"/>
      <c r="D278" s="52"/>
      <c r="E278" s="63"/>
      <c r="F278" s="8">
        <v>0.16666666666666666</v>
      </c>
      <c r="G278" s="67"/>
      <c r="H278" s="68"/>
      <c r="I278" s="35"/>
      <c r="J278" s="9" t="str">
        <f t="shared" si="66"/>
        <v/>
      </c>
      <c r="K278" s="39"/>
      <c r="L278" s="39"/>
      <c r="M278" s="39"/>
      <c r="N278" s="39"/>
      <c r="O278" s="39"/>
      <c r="P278" s="39"/>
      <c r="Q278" s="39"/>
      <c r="R278" s="39"/>
      <c r="S278" s="10">
        <f t="shared" si="70"/>
        <v>0</v>
      </c>
      <c r="T278" s="10">
        <v>100000</v>
      </c>
      <c r="U278" s="10">
        <f t="shared" si="72"/>
        <v>0</v>
      </c>
      <c r="V278" s="4"/>
      <c r="W278" s="4"/>
      <c r="X278" s="4"/>
      <c r="Y278" s="4"/>
    </row>
    <row r="279" spans="2:25" ht="18.75">
      <c r="B279" s="58"/>
      <c r="C279" s="60"/>
      <c r="D279" s="52"/>
      <c r="E279" s="63"/>
      <c r="F279" s="8">
        <v>0.25</v>
      </c>
      <c r="G279" s="67"/>
      <c r="H279" s="68"/>
      <c r="I279" s="35"/>
      <c r="J279" s="9" t="str">
        <f t="shared" si="66"/>
        <v/>
      </c>
      <c r="K279" s="39"/>
      <c r="L279" s="39"/>
      <c r="M279" s="39"/>
      <c r="N279" s="39"/>
      <c r="O279" s="39"/>
      <c r="P279" s="39"/>
      <c r="Q279" s="39"/>
      <c r="R279" s="39"/>
      <c r="S279" s="10">
        <f t="shared" si="70"/>
        <v>0</v>
      </c>
      <c r="T279" s="10">
        <v>100000</v>
      </c>
      <c r="U279" s="10">
        <f t="shared" si="72"/>
        <v>0</v>
      </c>
      <c r="V279" s="4"/>
      <c r="Y279" s="4"/>
    </row>
    <row r="280" spans="2:25" ht="18.75">
      <c r="B280" s="58"/>
      <c r="C280" s="61"/>
      <c r="D280" s="53"/>
      <c r="E280" s="69"/>
      <c r="F280" s="14">
        <v>0.33333333333333331</v>
      </c>
      <c r="G280" s="67"/>
      <c r="H280" s="68"/>
      <c r="I280" s="37"/>
      <c r="J280" s="15" t="str">
        <f t="shared" si="66"/>
        <v/>
      </c>
      <c r="K280" s="40"/>
      <c r="L280" s="40"/>
      <c r="M280" s="40"/>
      <c r="N280" s="40"/>
      <c r="O280" s="40"/>
      <c r="P280" s="40"/>
      <c r="Q280" s="40"/>
      <c r="R280" s="40"/>
      <c r="S280" s="16">
        <f t="shared" si="70"/>
        <v>0</v>
      </c>
      <c r="T280" s="16">
        <v>100000</v>
      </c>
      <c r="U280" s="16">
        <f t="shared" si="72"/>
        <v>0</v>
      </c>
      <c r="V280" s="4"/>
      <c r="W280" s="4"/>
      <c r="X280" s="4"/>
      <c r="Y280" s="4"/>
    </row>
    <row r="281" spans="2:25" ht="16.5" customHeight="1">
      <c r="B281" s="58">
        <v>46104</v>
      </c>
      <c r="C281" s="59" t="s">
        <v>16</v>
      </c>
      <c r="D281" s="51"/>
      <c r="E281" s="62" t="s">
        <v>101</v>
      </c>
      <c r="F281" s="5">
        <v>0.41666666666666669</v>
      </c>
      <c r="G281" s="65"/>
      <c r="H281" s="66"/>
      <c r="I281" s="34"/>
      <c r="J281" s="6" t="str">
        <f t="shared" si="66"/>
        <v/>
      </c>
      <c r="K281" s="38"/>
      <c r="L281" s="38"/>
      <c r="M281" s="38"/>
      <c r="N281" s="38"/>
      <c r="O281" s="38"/>
      <c r="P281" s="38"/>
      <c r="Q281" s="38"/>
      <c r="R281" s="38"/>
      <c r="S281" s="7">
        <f>SUM(K281:R281)</f>
        <v>0</v>
      </c>
      <c r="T281" s="7">
        <v>100000</v>
      </c>
      <c r="U281" s="7">
        <f>T281*S281</f>
        <v>0</v>
      </c>
      <c r="V281" s="4"/>
      <c r="W281" s="4"/>
      <c r="X281" s="4"/>
      <c r="Y281" s="4"/>
    </row>
    <row r="282" spans="2:25" ht="18.75">
      <c r="B282" s="58"/>
      <c r="C282" s="60"/>
      <c r="D282" s="52"/>
      <c r="E282" s="63"/>
      <c r="F282" s="8">
        <v>0.5</v>
      </c>
      <c r="G282" s="67"/>
      <c r="H282" s="68"/>
      <c r="I282" s="35"/>
      <c r="J282" s="9" t="str">
        <f t="shared" si="66"/>
        <v/>
      </c>
      <c r="K282" s="39"/>
      <c r="L282" s="39"/>
      <c r="M282" s="39"/>
      <c r="N282" s="39"/>
      <c r="O282" s="39"/>
      <c r="P282" s="39"/>
      <c r="Q282" s="39"/>
      <c r="R282" s="39"/>
      <c r="S282" s="10">
        <f t="shared" ref="S282:S292" si="73">SUM(K282:R282)</f>
        <v>0</v>
      </c>
      <c r="T282" s="10">
        <v>100000</v>
      </c>
      <c r="U282" s="10">
        <f t="shared" ref="U282:U283" si="74">T282*S282</f>
        <v>0</v>
      </c>
      <c r="V282" s="4"/>
      <c r="W282" s="4"/>
      <c r="X282" s="4"/>
      <c r="Y282" s="4"/>
    </row>
    <row r="283" spans="2:25" ht="18.75">
      <c r="B283" s="58"/>
      <c r="C283" s="60"/>
      <c r="D283" s="52"/>
      <c r="E283" s="63"/>
      <c r="F283" s="8">
        <v>0.58333333333333337</v>
      </c>
      <c r="G283" s="67"/>
      <c r="H283" s="68"/>
      <c r="I283" s="35"/>
      <c r="J283" s="9" t="str">
        <f t="shared" si="66"/>
        <v/>
      </c>
      <c r="K283" s="39"/>
      <c r="L283" s="39"/>
      <c r="M283" s="39"/>
      <c r="N283" s="39"/>
      <c r="O283" s="39"/>
      <c r="P283" s="39"/>
      <c r="Q283" s="39"/>
      <c r="R283" s="39"/>
      <c r="S283" s="10">
        <f t="shared" si="73"/>
        <v>0</v>
      </c>
      <c r="T283" s="10">
        <v>100000</v>
      </c>
      <c r="U283" s="10">
        <f t="shared" si="74"/>
        <v>0</v>
      </c>
      <c r="V283" s="4"/>
      <c r="W283" s="4"/>
      <c r="X283" s="4"/>
      <c r="Y283" s="4"/>
    </row>
    <row r="284" spans="2:25" ht="18.75">
      <c r="B284" s="58"/>
      <c r="C284" s="60"/>
      <c r="D284" s="52"/>
      <c r="E284" s="63"/>
      <c r="F284" s="8">
        <v>0.66666666666666663</v>
      </c>
      <c r="G284" s="67"/>
      <c r="H284" s="68"/>
      <c r="I284" s="35"/>
      <c r="J284" s="9" t="str">
        <f t="shared" si="66"/>
        <v/>
      </c>
      <c r="K284" s="39"/>
      <c r="L284" s="39"/>
      <c r="M284" s="39"/>
      <c r="N284" s="39"/>
      <c r="O284" s="39"/>
      <c r="P284" s="39"/>
      <c r="Q284" s="39"/>
      <c r="R284" s="39"/>
      <c r="S284" s="10">
        <f t="shared" si="73"/>
        <v>0</v>
      </c>
      <c r="T284" s="10">
        <v>100000</v>
      </c>
      <c r="U284" s="10">
        <f>T284*S284</f>
        <v>0</v>
      </c>
      <c r="V284" s="4"/>
      <c r="W284" s="4"/>
      <c r="X284" s="4"/>
      <c r="Y284" s="4"/>
    </row>
    <row r="285" spans="2:25" ht="18.75">
      <c r="B285" s="58"/>
      <c r="C285" s="60"/>
      <c r="D285" s="52"/>
      <c r="E285" s="63"/>
      <c r="F285" s="8">
        <v>0.75</v>
      </c>
      <c r="G285" s="67"/>
      <c r="H285" s="68"/>
      <c r="I285" s="35"/>
      <c r="J285" s="9" t="str">
        <f t="shared" si="66"/>
        <v/>
      </c>
      <c r="K285" s="39"/>
      <c r="L285" s="39"/>
      <c r="M285" s="39"/>
      <c r="N285" s="39"/>
      <c r="O285" s="39"/>
      <c r="P285" s="39"/>
      <c r="Q285" s="39"/>
      <c r="R285" s="39"/>
      <c r="S285" s="10">
        <f t="shared" si="73"/>
        <v>0</v>
      </c>
      <c r="T285" s="10">
        <v>100000</v>
      </c>
      <c r="U285" s="10">
        <f t="shared" ref="U285:U292" si="75">T285*S285</f>
        <v>0</v>
      </c>
      <c r="V285" s="4"/>
      <c r="W285" s="4"/>
      <c r="X285" s="11"/>
      <c r="Y285" s="4"/>
    </row>
    <row r="286" spans="2:25" ht="18.75">
      <c r="B286" s="58"/>
      <c r="C286" s="60"/>
      <c r="D286" s="53"/>
      <c r="E286" s="64"/>
      <c r="F286" s="12">
        <v>0.83333333333333337</v>
      </c>
      <c r="G286" s="67"/>
      <c r="H286" s="68"/>
      <c r="I286" s="36"/>
      <c r="J286" s="9" t="str">
        <f t="shared" si="66"/>
        <v/>
      </c>
      <c r="K286" s="41"/>
      <c r="L286" s="41"/>
      <c r="M286" s="39"/>
      <c r="N286" s="41"/>
      <c r="O286" s="41"/>
      <c r="P286" s="41"/>
      <c r="Q286" s="41"/>
      <c r="R286" s="41"/>
      <c r="S286" s="13">
        <f t="shared" si="73"/>
        <v>0</v>
      </c>
      <c r="T286" s="13">
        <v>100000</v>
      </c>
      <c r="U286" s="13">
        <f t="shared" si="75"/>
        <v>0</v>
      </c>
      <c r="V286" s="4"/>
      <c r="Y286" s="4"/>
    </row>
    <row r="287" spans="2:25" ht="18.75">
      <c r="B287" s="58"/>
      <c r="C287" s="60"/>
      <c r="D287" s="51"/>
      <c r="E287" s="62" t="s">
        <v>102</v>
      </c>
      <c r="F287" s="5">
        <v>0.91666666666666663</v>
      </c>
      <c r="G287" s="65"/>
      <c r="H287" s="66"/>
      <c r="I287" s="34"/>
      <c r="J287" s="6" t="str">
        <f t="shared" si="66"/>
        <v/>
      </c>
      <c r="K287" s="38"/>
      <c r="L287" s="38"/>
      <c r="M287" s="38"/>
      <c r="N287" s="38"/>
      <c r="O287" s="38"/>
      <c r="P287" s="38"/>
      <c r="Q287" s="38"/>
      <c r="R287" s="38"/>
      <c r="S287" s="7">
        <f t="shared" si="73"/>
        <v>0</v>
      </c>
      <c r="T287" s="7">
        <v>100000</v>
      </c>
      <c r="U287" s="7">
        <f t="shared" si="75"/>
        <v>0</v>
      </c>
      <c r="V287" s="4"/>
      <c r="Y287" s="4"/>
    </row>
    <row r="288" spans="2:25" ht="18.75">
      <c r="B288" s="58"/>
      <c r="C288" s="60"/>
      <c r="D288" s="52"/>
      <c r="E288" s="63"/>
      <c r="F288" s="8">
        <v>1</v>
      </c>
      <c r="G288" s="67"/>
      <c r="H288" s="68"/>
      <c r="I288" s="35"/>
      <c r="J288" s="9" t="str">
        <f t="shared" si="66"/>
        <v/>
      </c>
      <c r="K288" s="39"/>
      <c r="L288" s="39"/>
      <c r="M288" s="39"/>
      <c r="N288" s="39"/>
      <c r="O288" s="39"/>
      <c r="P288" s="39"/>
      <c r="Q288" s="39"/>
      <c r="R288" s="39"/>
      <c r="S288" s="10">
        <f t="shared" si="73"/>
        <v>0</v>
      </c>
      <c r="T288" s="10">
        <v>100000</v>
      </c>
      <c r="U288" s="10">
        <f t="shared" si="75"/>
        <v>0</v>
      </c>
      <c r="V288" s="4"/>
      <c r="Y288" s="4"/>
    </row>
    <row r="289" spans="2:25" ht="18.75">
      <c r="B289" s="58"/>
      <c r="C289" s="60"/>
      <c r="D289" s="52"/>
      <c r="E289" s="63"/>
      <c r="F289" s="8">
        <v>8.3333333333333329E-2</v>
      </c>
      <c r="G289" s="67"/>
      <c r="H289" s="68"/>
      <c r="I289" s="35"/>
      <c r="J289" s="9" t="str">
        <f t="shared" si="66"/>
        <v/>
      </c>
      <c r="K289" s="39"/>
      <c r="L289" s="39"/>
      <c r="M289" s="39"/>
      <c r="N289" s="39"/>
      <c r="O289" s="39"/>
      <c r="P289" s="39"/>
      <c r="Q289" s="39"/>
      <c r="R289" s="39"/>
      <c r="S289" s="10">
        <f t="shared" si="73"/>
        <v>0</v>
      </c>
      <c r="T289" s="10">
        <v>100000</v>
      </c>
      <c r="U289" s="10">
        <f t="shared" si="75"/>
        <v>0</v>
      </c>
      <c r="V289" s="4"/>
      <c r="Y289" s="4"/>
    </row>
    <row r="290" spans="2:25" ht="18.75">
      <c r="B290" s="58"/>
      <c r="C290" s="60"/>
      <c r="D290" s="52"/>
      <c r="E290" s="63"/>
      <c r="F290" s="8">
        <v>0.16666666666666666</v>
      </c>
      <c r="G290" s="67"/>
      <c r="H290" s="68"/>
      <c r="I290" s="35"/>
      <c r="J290" s="9" t="str">
        <f t="shared" si="66"/>
        <v/>
      </c>
      <c r="K290" s="39"/>
      <c r="L290" s="39"/>
      <c r="M290" s="39"/>
      <c r="N290" s="39"/>
      <c r="O290" s="39"/>
      <c r="P290" s="39"/>
      <c r="Q290" s="39"/>
      <c r="R290" s="39"/>
      <c r="S290" s="10">
        <f t="shared" si="73"/>
        <v>0</v>
      </c>
      <c r="T290" s="10">
        <v>100000</v>
      </c>
      <c r="U290" s="10">
        <f t="shared" si="75"/>
        <v>0</v>
      </c>
      <c r="V290" s="4"/>
      <c r="W290" s="4"/>
      <c r="X290" s="4"/>
      <c r="Y290" s="4"/>
    </row>
    <row r="291" spans="2:25" ht="18.75">
      <c r="B291" s="58"/>
      <c r="C291" s="60"/>
      <c r="D291" s="52"/>
      <c r="E291" s="63"/>
      <c r="F291" s="8">
        <v>0.25</v>
      </c>
      <c r="G291" s="67"/>
      <c r="H291" s="68"/>
      <c r="I291" s="35"/>
      <c r="J291" s="9" t="str">
        <f t="shared" si="66"/>
        <v/>
      </c>
      <c r="K291" s="39"/>
      <c r="L291" s="39"/>
      <c r="M291" s="39"/>
      <c r="N291" s="39"/>
      <c r="O291" s="39"/>
      <c r="P291" s="39"/>
      <c r="Q291" s="39"/>
      <c r="R291" s="39"/>
      <c r="S291" s="10">
        <f t="shared" si="73"/>
        <v>0</v>
      </c>
      <c r="T291" s="10">
        <v>100000</v>
      </c>
      <c r="U291" s="10">
        <f t="shared" si="75"/>
        <v>0</v>
      </c>
      <c r="V291" s="4"/>
      <c r="Y291" s="4"/>
    </row>
    <row r="292" spans="2:25" ht="18.75">
      <c r="B292" s="58"/>
      <c r="C292" s="61"/>
      <c r="D292" s="53"/>
      <c r="E292" s="69"/>
      <c r="F292" s="14">
        <v>0.33333333333333331</v>
      </c>
      <c r="G292" s="67"/>
      <c r="H292" s="68"/>
      <c r="I292" s="37"/>
      <c r="J292" s="15" t="str">
        <f t="shared" si="66"/>
        <v/>
      </c>
      <c r="K292" s="40"/>
      <c r="L292" s="40"/>
      <c r="M292" s="40"/>
      <c r="N292" s="40"/>
      <c r="O292" s="40"/>
      <c r="P292" s="40"/>
      <c r="Q292" s="40"/>
      <c r="R292" s="40"/>
      <c r="S292" s="16">
        <f t="shared" si="73"/>
        <v>0</v>
      </c>
      <c r="T292" s="16">
        <v>100000</v>
      </c>
      <c r="U292" s="16">
        <f t="shared" si="75"/>
        <v>0</v>
      </c>
      <c r="V292" s="4"/>
      <c r="W292" s="4"/>
      <c r="X292" s="4"/>
      <c r="Y292" s="4"/>
    </row>
    <row r="293" spans="2:25" ht="16.5" customHeight="1">
      <c r="B293" s="58">
        <v>46105</v>
      </c>
      <c r="C293" s="59" t="s">
        <v>16</v>
      </c>
      <c r="D293" s="51"/>
      <c r="E293" s="62" t="s">
        <v>101</v>
      </c>
      <c r="F293" s="5">
        <v>0.41666666666666669</v>
      </c>
      <c r="G293" s="65"/>
      <c r="H293" s="66"/>
      <c r="I293" s="34"/>
      <c r="J293" s="6" t="str">
        <f t="shared" si="66"/>
        <v/>
      </c>
      <c r="K293" s="38"/>
      <c r="L293" s="38"/>
      <c r="M293" s="38"/>
      <c r="N293" s="38"/>
      <c r="O293" s="38"/>
      <c r="P293" s="38"/>
      <c r="Q293" s="38"/>
      <c r="R293" s="38"/>
      <c r="S293" s="7">
        <f>SUM(K293:R293)</f>
        <v>0</v>
      </c>
      <c r="T293" s="7">
        <v>100000</v>
      </c>
      <c r="U293" s="7">
        <f>T293*S293</f>
        <v>0</v>
      </c>
      <c r="V293" s="4"/>
      <c r="W293" s="4"/>
      <c r="X293" s="4"/>
      <c r="Y293" s="4"/>
    </row>
    <row r="294" spans="2:25" ht="18.75">
      <c r="B294" s="58"/>
      <c r="C294" s="60"/>
      <c r="D294" s="52"/>
      <c r="E294" s="63"/>
      <c r="F294" s="8">
        <v>0.5</v>
      </c>
      <c r="G294" s="67"/>
      <c r="H294" s="68"/>
      <c r="I294" s="35"/>
      <c r="J294" s="9" t="str">
        <f t="shared" si="66"/>
        <v/>
      </c>
      <c r="K294" s="39"/>
      <c r="L294" s="39"/>
      <c r="M294" s="39"/>
      <c r="N294" s="39"/>
      <c r="O294" s="39"/>
      <c r="P294" s="39"/>
      <c r="Q294" s="39"/>
      <c r="R294" s="39"/>
      <c r="S294" s="10">
        <f t="shared" ref="S294:S304" si="76">SUM(K294:R294)</f>
        <v>0</v>
      </c>
      <c r="T294" s="10">
        <v>100000</v>
      </c>
      <c r="U294" s="10">
        <f t="shared" ref="U294:U295" si="77">T294*S294</f>
        <v>0</v>
      </c>
      <c r="V294" s="4"/>
      <c r="W294" s="4"/>
      <c r="X294" s="4"/>
      <c r="Y294" s="4"/>
    </row>
    <row r="295" spans="2:25" ht="18.75">
      <c r="B295" s="58"/>
      <c r="C295" s="60"/>
      <c r="D295" s="52"/>
      <c r="E295" s="63"/>
      <c r="F295" s="8">
        <v>0.58333333333333337</v>
      </c>
      <c r="G295" s="67"/>
      <c r="H295" s="68"/>
      <c r="I295" s="35"/>
      <c r="J295" s="9" t="str">
        <f t="shared" si="66"/>
        <v/>
      </c>
      <c r="K295" s="39"/>
      <c r="L295" s="39"/>
      <c r="M295" s="39"/>
      <c r="N295" s="39"/>
      <c r="O295" s="39"/>
      <c r="P295" s="39"/>
      <c r="Q295" s="39"/>
      <c r="R295" s="39"/>
      <c r="S295" s="10">
        <f t="shared" si="76"/>
        <v>0</v>
      </c>
      <c r="T295" s="10">
        <v>100000</v>
      </c>
      <c r="U295" s="10">
        <f t="shared" si="77"/>
        <v>0</v>
      </c>
      <c r="V295" s="4"/>
      <c r="W295" s="4"/>
      <c r="X295" s="4"/>
      <c r="Y295" s="4"/>
    </row>
    <row r="296" spans="2:25" ht="18.75">
      <c r="B296" s="58"/>
      <c r="C296" s="60"/>
      <c r="D296" s="52"/>
      <c r="E296" s="63"/>
      <c r="F296" s="8">
        <v>0.66666666666666663</v>
      </c>
      <c r="G296" s="67"/>
      <c r="H296" s="68"/>
      <c r="I296" s="35"/>
      <c r="J296" s="9" t="str">
        <f t="shared" si="66"/>
        <v/>
      </c>
      <c r="K296" s="39"/>
      <c r="L296" s="39"/>
      <c r="M296" s="39"/>
      <c r="N296" s="39"/>
      <c r="O296" s="39"/>
      <c r="P296" s="39"/>
      <c r="Q296" s="39"/>
      <c r="R296" s="39"/>
      <c r="S296" s="10">
        <f t="shared" si="76"/>
        <v>0</v>
      </c>
      <c r="T296" s="10">
        <v>100000</v>
      </c>
      <c r="U296" s="10">
        <f>T296*S296</f>
        <v>0</v>
      </c>
      <c r="V296" s="4"/>
      <c r="W296" s="4"/>
      <c r="X296" s="4"/>
      <c r="Y296" s="4"/>
    </row>
    <row r="297" spans="2:25" ht="18.75">
      <c r="B297" s="58"/>
      <c r="C297" s="60"/>
      <c r="D297" s="52"/>
      <c r="E297" s="63"/>
      <c r="F297" s="8">
        <v>0.75</v>
      </c>
      <c r="G297" s="67"/>
      <c r="H297" s="68"/>
      <c r="I297" s="35"/>
      <c r="J297" s="9" t="str">
        <f t="shared" si="66"/>
        <v/>
      </c>
      <c r="K297" s="39"/>
      <c r="L297" s="39"/>
      <c r="M297" s="39"/>
      <c r="N297" s="39"/>
      <c r="O297" s="39"/>
      <c r="P297" s="39"/>
      <c r="Q297" s="39"/>
      <c r="R297" s="39"/>
      <c r="S297" s="10">
        <f t="shared" si="76"/>
        <v>0</v>
      </c>
      <c r="T297" s="10">
        <v>100000</v>
      </c>
      <c r="U297" s="10">
        <f t="shared" ref="U297:U304" si="78">T297*S297</f>
        <v>0</v>
      </c>
      <c r="V297" s="4"/>
      <c r="W297" s="4"/>
      <c r="X297" s="11"/>
      <c r="Y297" s="4"/>
    </row>
    <row r="298" spans="2:25" ht="18.75">
      <c r="B298" s="58"/>
      <c r="C298" s="60"/>
      <c r="D298" s="53"/>
      <c r="E298" s="64"/>
      <c r="F298" s="12">
        <v>0.83333333333333337</v>
      </c>
      <c r="G298" s="67"/>
      <c r="H298" s="68"/>
      <c r="I298" s="36"/>
      <c r="J298" s="9" t="str">
        <f t="shared" si="66"/>
        <v/>
      </c>
      <c r="K298" s="41"/>
      <c r="L298" s="41"/>
      <c r="M298" s="39"/>
      <c r="N298" s="41"/>
      <c r="O298" s="41"/>
      <c r="P298" s="41"/>
      <c r="Q298" s="41"/>
      <c r="R298" s="41"/>
      <c r="S298" s="13">
        <f t="shared" si="76"/>
        <v>0</v>
      </c>
      <c r="T298" s="13">
        <v>100000</v>
      </c>
      <c r="U298" s="13">
        <f t="shared" si="78"/>
        <v>0</v>
      </c>
      <c r="V298" s="4"/>
      <c r="Y298" s="4"/>
    </row>
    <row r="299" spans="2:25" ht="18.75">
      <c r="B299" s="58"/>
      <c r="C299" s="60"/>
      <c r="D299" s="51"/>
      <c r="E299" s="62" t="s">
        <v>102</v>
      </c>
      <c r="F299" s="5">
        <v>0.91666666666666663</v>
      </c>
      <c r="G299" s="65"/>
      <c r="H299" s="66"/>
      <c r="I299" s="34"/>
      <c r="J299" s="6" t="str">
        <f t="shared" si="66"/>
        <v/>
      </c>
      <c r="K299" s="38"/>
      <c r="L299" s="38"/>
      <c r="M299" s="38"/>
      <c r="N299" s="38"/>
      <c r="O299" s="38"/>
      <c r="P299" s="38"/>
      <c r="Q299" s="38"/>
      <c r="R299" s="38"/>
      <c r="S299" s="7">
        <f t="shared" si="76"/>
        <v>0</v>
      </c>
      <c r="T299" s="7">
        <v>100000</v>
      </c>
      <c r="U299" s="7">
        <f t="shared" si="78"/>
        <v>0</v>
      </c>
      <c r="V299" s="4"/>
      <c r="Y299" s="4"/>
    </row>
    <row r="300" spans="2:25" ht="18.75">
      <c r="B300" s="58"/>
      <c r="C300" s="60"/>
      <c r="D300" s="52"/>
      <c r="E300" s="63"/>
      <c r="F300" s="8">
        <v>1</v>
      </c>
      <c r="G300" s="67"/>
      <c r="H300" s="68"/>
      <c r="I300" s="35"/>
      <c r="J300" s="9" t="str">
        <f t="shared" si="66"/>
        <v/>
      </c>
      <c r="K300" s="39"/>
      <c r="L300" s="39"/>
      <c r="M300" s="39"/>
      <c r="N300" s="39"/>
      <c r="O300" s="39"/>
      <c r="P300" s="39"/>
      <c r="Q300" s="39"/>
      <c r="R300" s="39"/>
      <c r="S300" s="10">
        <f t="shared" si="76"/>
        <v>0</v>
      </c>
      <c r="T300" s="10">
        <v>100000</v>
      </c>
      <c r="U300" s="10">
        <f t="shared" si="78"/>
        <v>0</v>
      </c>
      <c r="V300" s="4"/>
      <c r="Y300" s="4"/>
    </row>
    <row r="301" spans="2:25" ht="18.75">
      <c r="B301" s="58"/>
      <c r="C301" s="60"/>
      <c r="D301" s="52"/>
      <c r="E301" s="63"/>
      <c r="F301" s="8">
        <v>8.3333333333333329E-2</v>
      </c>
      <c r="G301" s="67"/>
      <c r="H301" s="68"/>
      <c r="I301" s="35"/>
      <c r="J301" s="9" t="str">
        <f t="shared" si="66"/>
        <v/>
      </c>
      <c r="K301" s="39"/>
      <c r="L301" s="39"/>
      <c r="M301" s="39"/>
      <c r="N301" s="39"/>
      <c r="O301" s="39"/>
      <c r="P301" s="39"/>
      <c r="Q301" s="39"/>
      <c r="R301" s="39"/>
      <c r="S301" s="10">
        <f t="shared" si="76"/>
        <v>0</v>
      </c>
      <c r="T301" s="10">
        <v>100000</v>
      </c>
      <c r="U301" s="10">
        <f t="shared" si="78"/>
        <v>0</v>
      </c>
      <c r="V301" s="4"/>
      <c r="Y301" s="4"/>
    </row>
    <row r="302" spans="2:25" ht="18.75">
      <c r="B302" s="58"/>
      <c r="C302" s="60"/>
      <c r="D302" s="52"/>
      <c r="E302" s="63"/>
      <c r="F302" s="8">
        <v>0.16666666666666666</v>
      </c>
      <c r="G302" s="67"/>
      <c r="H302" s="68"/>
      <c r="I302" s="35"/>
      <c r="J302" s="9" t="str">
        <f t="shared" si="66"/>
        <v/>
      </c>
      <c r="K302" s="39"/>
      <c r="L302" s="39"/>
      <c r="M302" s="39"/>
      <c r="N302" s="39"/>
      <c r="O302" s="39"/>
      <c r="P302" s="39"/>
      <c r="Q302" s="39"/>
      <c r="R302" s="39"/>
      <c r="S302" s="10">
        <f t="shared" si="76"/>
        <v>0</v>
      </c>
      <c r="T302" s="10">
        <v>100000</v>
      </c>
      <c r="U302" s="10">
        <f t="shared" si="78"/>
        <v>0</v>
      </c>
      <c r="V302" s="4"/>
      <c r="W302" s="4"/>
      <c r="X302" s="4"/>
      <c r="Y302" s="4"/>
    </row>
    <row r="303" spans="2:25" ht="18.75">
      <c r="B303" s="58"/>
      <c r="C303" s="60"/>
      <c r="D303" s="52"/>
      <c r="E303" s="63"/>
      <c r="F303" s="8">
        <v>0.25</v>
      </c>
      <c r="G303" s="67"/>
      <c r="H303" s="68"/>
      <c r="I303" s="35"/>
      <c r="J303" s="9" t="str">
        <f t="shared" si="66"/>
        <v/>
      </c>
      <c r="K303" s="39"/>
      <c r="L303" s="39"/>
      <c r="M303" s="39"/>
      <c r="N303" s="39"/>
      <c r="O303" s="39"/>
      <c r="P303" s="39"/>
      <c r="Q303" s="39"/>
      <c r="R303" s="39"/>
      <c r="S303" s="10">
        <f t="shared" si="76"/>
        <v>0</v>
      </c>
      <c r="T303" s="10">
        <v>100000</v>
      </c>
      <c r="U303" s="10">
        <f t="shared" si="78"/>
        <v>0</v>
      </c>
      <c r="V303" s="4"/>
      <c r="Y303" s="4"/>
    </row>
    <row r="304" spans="2:25" ht="18.75">
      <c r="B304" s="58"/>
      <c r="C304" s="61"/>
      <c r="D304" s="53"/>
      <c r="E304" s="69"/>
      <c r="F304" s="14">
        <v>0.33333333333333331</v>
      </c>
      <c r="G304" s="67"/>
      <c r="H304" s="68"/>
      <c r="I304" s="37"/>
      <c r="J304" s="15" t="str">
        <f t="shared" si="66"/>
        <v/>
      </c>
      <c r="K304" s="40"/>
      <c r="L304" s="40"/>
      <c r="M304" s="40"/>
      <c r="N304" s="40"/>
      <c r="O304" s="40"/>
      <c r="P304" s="40"/>
      <c r="Q304" s="40"/>
      <c r="R304" s="40"/>
      <c r="S304" s="16">
        <f t="shared" si="76"/>
        <v>0</v>
      </c>
      <c r="T304" s="16">
        <v>100000</v>
      </c>
      <c r="U304" s="16">
        <f t="shared" si="78"/>
        <v>0</v>
      </c>
      <c r="V304" s="4"/>
      <c r="W304" s="4"/>
      <c r="X304" s="4"/>
      <c r="Y304" s="4"/>
    </row>
  </sheetData>
  <mergeCells count="402">
    <mergeCell ref="B293:B304"/>
    <mergeCell ref="C293:C304"/>
    <mergeCell ref="E293:E298"/>
    <mergeCell ref="G293:H293"/>
    <mergeCell ref="G294:H294"/>
    <mergeCell ref="G295:H295"/>
    <mergeCell ref="G296:H296"/>
    <mergeCell ref="G297:H297"/>
    <mergeCell ref="G298:H298"/>
    <mergeCell ref="E299:E304"/>
    <mergeCell ref="G299:H299"/>
    <mergeCell ref="G300:H300"/>
    <mergeCell ref="G301:H301"/>
    <mergeCell ref="G302:H302"/>
    <mergeCell ref="G303:H303"/>
    <mergeCell ref="G304:H304"/>
    <mergeCell ref="B281:B292"/>
    <mergeCell ref="C281:C292"/>
    <mergeCell ref="E281:E286"/>
    <mergeCell ref="G281:H281"/>
    <mergeCell ref="G282:H282"/>
    <mergeCell ref="G283:H283"/>
    <mergeCell ref="G284:H284"/>
    <mergeCell ref="G285:H285"/>
    <mergeCell ref="G286:H286"/>
    <mergeCell ref="E287:E292"/>
    <mergeCell ref="G287:H287"/>
    <mergeCell ref="G288:H288"/>
    <mergeCell ref="G289:H289"/>
    <mergeCell ref="G290:H290"/>
    <mergeCell ref="G291:H291"/>
    <mergeCell ref="G292:H292"/>
    <mergeCell ref="B269:B280"/>
    <mergeCell ref="C269:C280"/>
    <mergeCell ref="E269:E274"/>
    <mergeCell ref="G269:H269"/>
    <mergeCell ref="G270:H270"/>
    <mergeCell ref="G271:H271"/>
    <mergeCell ref="G272:H272"/>
    <mergeCell ref="G273:H273"/>
    <mergeCell ref="G274:H274"/>
    <mergeCell ref="E275:E280"/>
    <mergeCell ref="G275:H275"/>
    <mergeCell ref="G276:H276"/>
    <mergeCell ref="G277:H277"/>
    <mergeCell ref="G278:H278"/>
    <mergeCell ref="G279:H279"/>
    <mergeCell ref="G280:H280"/>
    <mergeCell ref="B257:B268"/>
    <mergeCell ref="C257:C268"/>
    <mergeCell ref="E257:E262"/>
    <mergeCell ref="G257:H257"/>
    <mergeCell ref="G258:H258"/>
    <mergeCell ref="G259:H259"/>
    <mergeCell ref="G260:H260"/>
    <mergeCell ref="G261:H261"/>
    <mergeCell ref="G262:H262"/>
    <mergeCell ref="E263:E268"/>
    <mergeCell ref="G263:H263"/>
    <mergeCell ref="G264:H264"/>
    <mergeCell ref="G265:H265"/>
    <mergeCell ref="G266:H266"/>
    <mergeCell ref="G267:H267"/>
    <mergeCell ref="G268:H268"/>
    <mergeCell ref="B245:B256"/>
    <mergeCell ref="C245:C256"/>
    <mergeCell ref="E245:E250"/>
    <mergeCell ref="G245:H245"/>
    <mergeCell ref="G246:H246"/>
    <mergeCell ref="G247:H247"/>
    <mergeCell ref="G248:H248"/>
    <mergeCell ref="G249:H249"/>
    <mergeCell ref="G250:H250"/>
    <mergeCell ref="E251:E256"/>
    <mergeCell ref="G251:H251"/>
    <mergeCell ref="G252:H252"/>
    <mergeCell ref="G253:H253"/>
    <mergeCell ref="G254:H254"/>
    <mergeCell ref="G255:H255"/>
    <mergeCell ref="G256:H256"/>
    <mergeCell ref="B233:B244"/>
    <mergeCell ref="C233:C244"/>
    <mergeCell ref="E233:E238"/>
    <mergeCell ref="G233:H233"/>
    <mergeCell ref="G234:H234"/>
    <mergeCell ref="G235:H235"/>
    <mergeCell ref="G236:H236"/>
    <mergeCell ref="G237:H237"/>
    <mergeCell ref="G238:H238"/>
    <mergeCell ref="E239:E244"/>
    <mergeCell ref="G239:H239"/>
    <mergeCell ref="G240:H240"/>
    <mergeCell ref="G241:H241"/>
    <mergeCell ref="G242:H242"/>
    <mergeCell ref="G243:H243"/>
    <mergeCell ref="G244:H244"/>
    <mergeCell ref="B221:B232"/>
    <mergeCell ref="C221:C232"/>
    <mergeCell ref="E221:E226"/>
    <mergeCell ref="G221:H221"/>
    <mergeCell ref="G222:H222"/>
    <mergeCell ref="G223:H223"/>
    <mergeCell ref="G224:H224"/>
    <mergeCell ref="G225:H225"/>
    <mergeCell ref="G226:H226"/>
    <mergeCell ref="E227:E232"/>
    <mergeCell ref="G227:H227"/>
    <mergeCell ref="G228:H228"/>
    <mergeCell ref="G229:H229"/>
    <mergeCell ref="G230:H230"/>
    <mergeCell ref="G231:H231"/>
    <mergeCell ref="G232:H232"/>
    <mergeCell ref="B209:B220"/>
    <mergeCell ref="C209:C220"/>
    <mergeCell ref="E209:E214"/>
    <mergeCell ref="G209:H209"/>
    <mergeCell ref="G210:H210"/>
    <mergeCell ref="G211:H211"/>
    <mergeCell ref="G212:H212"/>
    <mergeCell ref="G213:H213"/>
    <mergeCell ref="G214:H214"/>
    <mergeCell ref="E215:E220"/>
    <mergeCell ref="G215:H215"/>
    <mergeCell ref="G216:H216"/>
    <mergeCell ref="G217:H217"/>
    <mergeCell ref="G218:H218"/>
    <mergeCell ref="G219:H219"/>
    <mergeCell ref="G220:H220"/>
    <mergeCell ref="B197:B208"/>
    <mergeCell ref="C197:C208"/>
    <mergeCell ref="E197:E202"/>
    <mergeCell ref="G197:H197"/>
    <mergeCell ref="G198:H198"/>
    <mergeCell ref="G199:H199"/>
    <mergeCell ref="G200:H200"/>
    <mergeCell ref="G201:H201"/>
    <mergeCell ref="G202:H202"/>
    <mergeCell ref="E203:E208"/>
    <mergeCell ref="G203:H203"/>
    <mergeCell ref="G204:H204"/>
    <mergeCell ref="G205:H205"/>
    <mergeCell ref="G206:H206"/>
    <mergeCell ref="G207:H207"/>
    <mergeCell ref="G208:H208"/>
    <mergeCell ref="B185:B196"/>
    <mergeCell ref="C185:C196"/>
    <mergeCell ref="E185:E190"/>
    <mergeCell ref="G185:H185"/>
    <mergeCell ref="G186:H186"/>
    <mergeCell ref="G187:H187"/>
    <mergeCell ref="G188:H188"/>
    <mergeCell ref="G189:H189"/>
    <mergeCell ref="G190:H190"/>
    <mergeCell ref="E191:E196"/>
    <mergeCell ref="G191:H191"/>
    <mergeCell ref="G192:H192"/>
    <mergeCell ref="G193:H193"/>
    <mergeCell ref="G194:H194"/>
    <mergeCell ref="G195:H195"/>
    <mergeCell ref="G196:H196"/>
    <mergeCell ref="B4:U4"/>
    <mergeCell ref="B8:U8"/>
    <mergeCell ref="B2:U2"/>
    <mergeCell ref="B17:B28"/>
    <mergeCell ref="C17:C28"/>
    <mergeCell ref="E17:E22"/>
    <mergeCell ref="E23:E28"/>
    <mergeCell ref="S14:U14"/>
    <mergeCell ref="B15:B16"/>
    <mergeCell ref="C15:C16"/>
    <mergeCell ref="E15:E16"/>
    <mergeCell ref="F15:F16"/>
    <mergeCell ref="I15:J15"/>
    <mergeCell ref="K15:S15"/>
    <mergeCell ref="T15:U15"/>
    <mergeCell ref="E59:E64"/>
    <mergeCell ref="B65:B76"/>
    <mergeCell ref="C65:C76"/>
    <mergeCell ref="E65:E70"/>
    <mergeCell ref="E71:E76"/>
    <mergeCell ref="B29:B40"/>
    <mergeCell ref="C29:C40"/>
    <mergeCell ref="E29:E34"/>
    <mergeCell ref="E35:E40"/>
    <mergeCell ref="B41:B52"/>
    <mergeCell ref="C41:C52"/>
    <mergeCell ref="E41:E46"/>
    <mergeCell ref="E47:E52"/>
    <mergeCell ref="B125:B136"/>
    <mergeCell ref="C125:C136"/>
    <mergeCell ref="E125:E130"/>
    <mergeCell ref="E131:E136"/>
    <mergeCell ref="D15:D16"/>
    <mergeCell ref="B101:B112"/>
    <mergeCell ref="C101:C112"/>
    <mergeCell ref="E101:E106"/>
    <mergeCell ref="E107:E112"/>
    <mergeCell ref="B113:B124"/>
    <mergeCell ref="C113:C124"/>
    <mergeCell ref="E113:E118"/>
    <mergeCell ref="E119:E124"/>
    <mergeCell ref="B77:B88"/>
    <mergeCell ref="C77:C88"/>
    <mergeCell ref="E77:E82"/>
    <mergeCell ref="E83:E88"/>
    <mergeCell ref="B89:B100"/>
    <mergeCell ref="C89:C100"/>
    <mergeCell ref="E89:E94"/>
    <mergeCell ref="E95:E100"/>
    <mergeCell ref="B53:B64"/>
    <mergeCell ref="C53:C64"/>
    <mergeCell ref="E53:E58"/>
    <mergeCell ref="G30:H30"/>
    <mergeCell ref="G31:H31"/>
    <mergeCell ref="G32:H32"/>
    <mergeCell ref="G33:H33"/>
    <mergeCell ref="G34:H34"/>
    <mergeCell ref="G15:H16"/>
    <mergeCell ref="G17:H17"/>
    <mergeCell ref="G18:H18"/>
    <mergeCell ref="G19:H19"/>
    <mergeCell ref="G20:H20"/>
    <mergeCell ref="G21:H21"/>
    <mergeCell ref="G22:H22"/>
    <mergeCell ref="G23:H23"/>
    <mergeCell ref="G24:H24"/>
    <mergeCell ref="G25:H25"/>
    <mergeCell ref="G26:H26"/>
    <mergeCell ref="G27:H27"/>
    <mergeCell ref="G28:H28"/>
    <mergeCell ref="G29:H29"/>
    <mergeCell ref="G40:H40"/>
    <mergeCell ref="G41:H41"/>
    <mergeCell ref="G42:H42"/>
    <mergeCell ref="G43:H43"/>
    <mergeCell ref="G44:H44"/>
    <mergeCell ref="G35:H35"/>
    <mergeCell ref="G36:H36"/>
    <mergeCell ref="G37:H37"/>
    <mergeCell ref="G38:H38"/>
    <mergeCell ref="G39:H39"/>
    <mergeCell ref="G50:H50"/>
    <mergeCell ref="G51:H51"/>
    <mergeCell ref="G52:H52"/>
    <mergeCell ref="G53:H53"/>
    <mergeCell ref="G54:H54"/>
    <mergeCell ref="G45:H45"/>
    <mergeCell ref="G46:H46"/>
    <mergeCell ref="G47:H47"/>
    <mergeCell ref="G48:H48"/>
    <mergeCell ref="G49:H49"/>
    <mergeCell ref="G60:H60"/>
    <mergeCell ref="G61:H61"/>
    <mergeCell ref="G62:H62"/>
    <mergeCell ref="G63:H63"/>
    <mergeCell ref="G64:H64"/>
    <mergeCell ref="G55:H55"/>
    <mergeCell ref="G56:H56"/>
    <mergeCell ref="G57:H57"/>
    <mergeCell ref="G58:H58"/>
    <mergeCell ref="G59:H59"/>
    <mergeCell ref="G70:H70"/>
    <mergeCell ref="G71:H71"/>
    <mergeCell ref="G72:H72"/>
    <mergeCell ref="G73:H73"/>
    <mergeCell ref="G74:H74"/>
    <mergeCell ref="G65:H65"/>
    <mergeCell ref="G66:H66"/>
    <mergeCell ref="G67:H67"/>
    <mergeCell ref="G68:H68"/>
    <mergeCell ref="G69:H69"/>
    <mergeCell ref="G80:H80"/>
    <mergeCell ref="G81:H81"/>
    <mergeCell ref="G82:H82"/>
    <mergeCell ref="G83:H83"/>
    <mergeCell ref="G84:H84"/>
    <mergeCell ref="G75:H75"/>
    <mergeCell ref="G76:H76"/>
    <mergeCell ref="G77:H77"/>
    <mergeCell ref="G78:H78"/>
    <mergeCell ref="G79:H79"/>
    <mergeCell ref="G90:H90"/>
    <mergeCell ref="G91:H91"/>
    <mergeCell ref="G92:H92"/>
    <mergeCell ref="G93:H93"/>
    <mergeCell ref="G94:H94"/>
    <mergeCell ref="G85:H85"/>
    <mergeCell ref="G86:H86"/>
    <mergeCell ref="G87:H87"/>
    <mergeCell ref="G88:H88"/>
    <mergeCell ref="G89:H89"/>
    <mergeCell ref="G100:H100"/>
    <mergeCell ref="G101:H101"/>
    <mergeCell ref="G102:H102"/>
    <mergeCell ref="G103:H103"/>
    <mergeCell ref="G104:H104"/>
    <mergeCell ref="G95:H95"/>
    <mergeCell ref="G96:H96"/>
    <mergeCell ref="G97:H97"/>
    <mergeCell ref="G98:H98"/>
    <mergeCell ref="G99:H99"/>
    <mergeCell ref="G117:H117"/>
    <mergeCell ref="G118:H118"/>
    <mergeCell ref="G119:H119"/>
    <mergeCell ref="G110:H110"/>
    <mergeCell ref="G111:H111"/>
    <mergeCell ref="G112:H112"/>
    <mergeCell ref="G113:H113"/>
    <mergeCell ref="G114:H114"/>
    <mergeCell ref="G105:H105"/>
    <mergeCell ref="G106:H106"/>
    <mergeCell ref="G107:H107"/>
    <mergeCell ref="G108:H108"/>
    <mergeCell ref="G109:H109"/>
    <mergeCell ref="G135:H135"/>
    <mergeCell ref="G136:H136"/>
    <mergeCell ref="D6:J6"/>
    <mergeCell ref="M6:U6"/>
    <mergeCell ref="D7:K7"/>
    <mergeCell ref="M7:U7"/>
    <mergeCell ref="B13:U13"/>
    <mergeCell ref="G130:H130"/>
    <mergeCell ref="G131:H131"/>
    <mergeCell ref="G132:H132"/>
    <mergeCell ref="G133:H133"/>
    <mergeCell ref="G134:H134"/>
    <mergeCell ref="G125:H125"/>
    <mergeCell ref="G126:H126"/>
    <mergeCell ref="G127:H127"/>
    <mergeCell ref="G128:H128"/>
    <mergeCell ref="G129:H129"/>
    <mergeCell ref="G120:H120"/>
    <mergeCell ref="G121:H121"/>
    <mergeCell ref="G122:H122"/>
    <mergeCell ref="G123:H123"/>
    <mergeCell ref="G124:H124"/>
    <mergeCell ref="G115:H115"/>
    <mergeCell ref="G116:H116"/>
    <mergeCell ref="G147:H147"/>
    <mergeCell ref="G148:H148"/>
    <mergeCell ref="B137:B148"/>
    <mergeCell ref="C137:C148"/>
    <mergeCell ref="E137:E142"/>
    <mergeCell ref="G137:H137"/>
    <mergeCell ref="G138:H138"/>
    <mergeCell ref="G139:H139"/>
    <mergeCell ref="G140:H140"/>
    <mergeCell ref="G141:H141"/>
    <mergeCell ref="G142:H142"/>
    <mergeCell ref="E143:E148"/>
    <mergeCell ref="G143:H143"/>
    <mergeCell ref="G144:H144"/>
    <mergeCell ref="G145:H145"/>
    <mergeCell ref="G146:H146"/>
    <mergeCell ref="B149:B160"/>
    <mergeCell ref="C149:C160"/>
    <mergeCell ref="E149:E154"/>
    <mergeCell ref="G149:H149"/>
    <mergeCell ref="G150:H150"/>
    <mergeCell ref="G151:H151"/>
    <mergeCell ref="G152:H152"/>
    <mergeCell ref="G153:H153"/>
    <mergeCell ref="G154:H154"/>
    <mergeCell ref="E155:E160"/>
    <mergeCell ref="G155:H155"/>
    <mergeCell ref="G156:H156"/>
    <mergeCell ref="G157:H157"/>
    <mergeCell ref="G158:H158"/>
    <mergeCell ref="G159:H159"/>
    <mergeCell ref="G160:H160"/>
    <mergeCell ref="B161:B172"/>
    <mergeCell ref="C161:C172"/>
    <mergeCell ref="E161:E166"/>
    <mergeCell ref="G161:H161"/>
    <mergeCell ref="G162:H162"/>
    <mergeCell ref="G163:H163"/>
    <mergeCell ref="G164:H164"/>
    <mergeCell ref="G165:H165"/>
    <mergeCell ref="G166:H166"/>
    <mergeCell ref="E167:E172"/>
    <mergeCell ref="G167:H167"/>
    <mergeCell ref="G168:H168"/>
    <mergeCell ref="G169:H169"/>
    <mergeCell ref="G170:H170"/>
    <mergeCell ref="G171:H171"/>
    <mergeCell ref="G172:H172"/>
    <mergeCell ref="B173:B184"/>
    <mergeCell ref="C173:C184"/>
    <mergeCell ref="E173:E178"/>
    <mergeCell ref="G173:H173"/>
    <mergeCell ref="G174:H174"/>
    <mergeCell ref="G175:H175"/>
    <mergeCell ref="G176:H176"/>
    <mergeCell ref="G177:H177"/>
    <mergeCell ref="G178:H178"/>
    <mergeCell ref="E179:E184"/>
    <mergeCell ref="G179:H179"/>
    <mergeCell ref="G180:H180"/>
    <mergeCell ref="G181:H181"/>
    <mergeCell ref="G182:H182"/>
    <mergeCell ref="G183:H183"/>
    <mergeCell ref="G184:H184"/>
  </mergeCells>
  <dataValidations count="6">
    <dataValidation type="list" allowBlank="1" showInputMessage="1" showErrorMessage="1" sqref="E17 E23 E29 E41 E53 E65 E77 E89 E101 E113 E125 E137 E35 E47 E59 E71 E83 E95 E107 E119 E131 E143 E149 E155 E161 E167 E173 E179 E185 E191 E197 E203 E209 E215 E221 E227 E233 E239 E245 E251 E257 E263 E269 E275 E281 E287 E293 E299" xr:uid="{3F97067F-1D22-46C9-8EB2-36D4E853411F}">
      <formula1>$X$22:$X$23</formula1>
    </dataValidation>
    <dataValidation type="list" allowBlank="1" showInputMessage="1" showErrorMessage="1" sqref="C125 C17 C29 C41 C53 C65 C77 C89 C101 C113 C137 C149 C161 C173 C185 C197 C209 C221 C233 C245 C257 C269 C281 C293" xr:uid="{6FBB2D4D-D80C-4833-87A8-7A0E96CAD28D}">
      <formula1>$X$17:$X$21</formula1>
    </dataValidation>
    <dataValidation type="list" allowBlank="1" showInputMessage="1" showErrorMessage="1" sqref="C6" xr:uid="{3DB528DA-384D-4E01-A775-48E30DF63DB2}">
      <formula1>$X$2:$X$7</formula1>
    </dataValidation>
    <dataValidation type="list" allowBlank="1" showInputMessage="1" showErrorMessage="1" sqref="G17:G22 G29:G34 G41:G46 G53:G58 G65:G70 G137:G142 G77:G82 G101:G106 G113:G118 G89:G94 G125:G130 G173:G178 G161:G166 G149:G154 G209:G214 G185:G190 G197:G202 G221:G226 G233:G238 G245:G250 G257:G262 G269:G274 G281:G286 G293:G298" xr:uid="{F42A6AB3-C955-4CC2-BF5D-289F6217FA8D}">
      <formula1>$C$11:$S$11</formula1>
    </dataValidation>
    <dataValidation type="list" allowBlank="1" showInputMessage="1" showErrorMessage="1" sqref="D17:D304" xr:uid="{9AC609EF-5D24-477A-8FC3-B2A5F74CC194}">
      <formula1>$Z$21:$Z$61</formula1>
    </dataValidation>
    <dataValidation type="list" allowBlank="1" showInputMessage="1" showErrorMessage="1" sqref="G23:H28 G35:H40 G47:H52 G59:H64 G71:H76 G83:H88 G143:H148 G107:H112 G119:H124 G131:H136 G95:H100 G179:H184 G215:H220 G155:H160 G191:H196 G167:H172 G203:H208 G251:H256 G239:H244 G227:H232 G263:H268 G275:H280 G287:H292 G299:H304" xr:uid="{71EFA27C-F2C6-4CBC-A44C-3C0C036C5150}">
      <formula1>$C$12:$S$12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B2732-F5DB-463E-9F77-BE278B732109}">
  <dimension ref="B1:AU280"/>
  <sheetViews>
    <sheetView zoomScale="70" zoomScaleNormal="70" workbookViewId="0">
      <pane ySplit="16" topLeftCell="A248" activePane="bottomLeft" state="frozenSplit"/>
      <selection pane="bottomLeft" activeCell="L252" sqref="L252"/>
    </sheetView>
  </sheetViews>
  <sheetFormatPr defaultColWidth="8.7109375" defaultRowHeight="13.5"/>
  <cols>
    <col min="1" max="1" width="4.140625" style="1" customWidth="1"/>
    <col min="2" max="2" width="16.42578125" style="1" bestFit="1" customWidth="1"/>
    <col min="3" max="3" width="17.42578125" style="1" bestFit="1" customWidth="1"/>
    <col min="4" max="4" width="17.42578125" style="1" customWidth="1"/>
    <col min="5" max="5" width="14.5703125" style="2" customWidth="1"/>
    <col min="6" max="19" width="14.5703125" style="1" customWidth="1"/>
    <col min="20" max="20" width="14.7109375" style="1" hidden="1" customWidth="1"/>
    <col min="21" max="21" width="23.5703125" style="1" customWidth="1"/>
    <col min="22" max="22" width="67.42578125" style="1" customWidth="1"/>
    <col min="23" max="23" width="8.7109375" style="1"/>
    <col min="24" max="24" width="17.42578125" style="1" customWidth="1"/>
    <col min="25" max="25" width="8.7109375" style="1" customWidth="1"/>
    <col min="26" max="26" width="21.85546875" style="1" bestFit="1" customWidth="1"/>
    <col min="27" max="47" width="14.5703125" style="1" customWidth="1"/>
    <col min="48" max="16384" width="8.7109375" style="1"/>
  </cols>
  <sheetData>
    <row r="1" spans="2:47" ht="6" customHeight="1"/>
    <row r="2" spans="2:47" ht="35.25">
      <c r="B2" s="86" t="s">
        <v>31</v>
      </c>
      <c r="C2" s="86"/>
      <c r="D2" s="86"/>
      <c r="E2" s="86"/>
      <c r="F2" s="86"/>
      <c r="G2" s="86"/>
      <c r="H2" s="86"/>
      <c r="I2" s="86"/>
      <c r="J2" s="86"/>
      <c r="K2" s="86"/>
      <c r="L2" s="86"/>
      <c r="M2" s="86"/>
      <c r="N2" s="86"/>
      <c r="O2" s="86"/>
      <c r="P2" s="86"/>
      <c r="Q2" s="86"/>
      <c r="R2" s="86"/>
      <c r="S2" s="86"/>
      <c r="T2" s="86"/>
      <c r="U2" s="86"/>
      <c r="V2" s="24"/>
      <c r="W2" s="24"/>
      <c r="X2" s="1" t="s">
        <v>13</v>
      </c>
    </row>
    <row r="3" spans="2:47" ht="15.95" customHeight="1">
      <c r="B3" s="18"/>
      <c r="C3" s="18"/>
      <c r="D3" s="18"/>
      <c r="E3" s="18"/>
      <c r="F3" s="18"/>
      <c r="G3" s="18"/>
      <c r="H3" s="18"/>
      <c r="I3" s="18"/>
      <c r="J3" s="18"/>
      <c r="K3" s="18"/>
      <c r="L3" s="18"/>
      <c r="M3" s="18"/>
      <c r="N3" s="18"/>
      <c r="O3" s="18"/>
      <c r="P3" s="18"/>
      <c r="Q3" s="18"/>
      <c r="R3" s="18"/>
      <c r="S3" s="18"/>
      <c r="T3" s="18"/>
      <c r="U3" s="18"/>
      <c r="V3" s="24"/>
      <c r="W3" s="24"/>
      <c r="X3" s="1" t="s">
        <v>36</v>
      </c>
      <c r="Y3" s="24"/>
      <c r="Z3" s="24"/>
      <c r="AA3" s="24"/>
      <c r="AB3" s="24"/>
      <c r="AC3" s="24"/>
      <c r="AD3" s="24"/>
      <c r="AE3" s="24"/>
      <c r="AF3" s="24"/>
      <c r="AG3" s="24"/>
      <c r="AH3" s="24"/>
      <c r="AI3" s="24"/>
      <c r="AJ3" s="24"/>
      <c r="AK3" s="24"/>
      <c r="AL3" s="24"/>
      <c r="AM3" s="24"/>
      <c r="AN3" s="24"/>
      <c r="AO3" s="24"/>
      <c r="AP3" s="24"/>
      <c r="AQ3" s="24"/>
      <c r="AR3" s="24"/>
      <c r="AS3" s="24"/>
      <c r="AT3" s="24"/>
      <c r="AU3" s="24"/>
    </row>
    <row r="4" spans="2:47" ht="22.5">
      <c r="B4" s="84" t="s">
        <v>92</v>
      </c>
      <c r="C4" s="84"/>
      <c r="D4" s="84"/>
      <c r="E4" s="84"/>
      <c r="F4" s="84"/>
      <c r="G4" s="84"/>
      <c r="H4" s="84"/>
      <c r="I4" s="84"/>
      <c r="J4" s="84"/>
      <c r="K4" s="84"/>
      <c r="L4" s="84"/>
      <c r="M4" s="84"/>
      <c r="N4" s="84"/>
      <c r="O4" s="84"/>
      <c r="P4" s="84"/>
      <c r="Q4" s="84"/>
      <c r="R4" s="84"/>
      <c r="S4" s="84"/>
      <c r="T4" s="84"/>
      <c r="U4" s="84"/>
      <c r="V4" s="24"/>
      <c r="W4" s="24"/>
      <c r="X4" s="1" t="s">
        <v>34</v>
      </c>
      <c r="Y4" s="24"/>
      <c r="Z4" s="24"/>
      <c r="AA4" s="24"/>
      <c r="AB4" s="24"/>
      <c r="AC4" s="24"/>
      <c r="AD4" s="24"/>
      <c r="AE4" s="24"/>
      <c r="AF4" s="24"/>
      <c r="AG4" s="24"/>
      <c r="AH4" s="24"/>
      <c r="AI4" s="24"/>
      <c r="AJ4" s="24"/>
      <c r="AK4" s="24"/>
      <c r="AL4" s="24"/>
      <c r="AM4" s="24"/>
      <c r="AN4" s="24"/>
      <c r="AO4" s="24"/>
      <c r="AP4" s="24"/>
      <c r="AQ4" s="24"/>
      <c r="AR4" s="24"/>
      <c r="AS4" s="24"/>
      <c r="AT4" s="24"/>
      <c r="AU4" s="24"/>
    </row>
    <row r="5" spans="2:47" ht="11.45" customHeight="1">
      <c r="G5" s="3"/>
      <c r="H5" s="3"/>
      <c r="I5" s="3"/>
      <c r="J5" s="3"/>
      <c r="K5" s="3"/>
      <c r="L5" s="3"/>
      <c r="M5" s="3"/>
      <c r="N5" s="3"/>
      <c r="O5" s="3"/>
      <c r="P5" s="3"/>
      <c r="Q5" s="3"/>
      <c r="R5" s="3"/>
      <c r="S5" s="3"/>
      <c r="T5" s="3"/>
      <c r="U5" s="3"/>
      <c r="V5" s="24"/>
      <c r="W5" s="24"/>
      <c r="X5" s="1" t="s">
        <v>35</v>
      </c>
      <c r="Y5" s="24"/>
      <c r="Z5" s="24"/>
      <c r="AA5" s="24"/>
      <c r="AB5" s="24"/>
      <c r="AC5" s="24"/>
      <c r="AD5" s="24"/>
      <c r="AE5" s="24"/>
      <c r="AF5" s="24"/>
      <c r="AG5" s="24"/>
      <c r="AH5" s="24"/>
      <c r="AI5" s="24"/>
      <c r="AJ5" s="24"/>
      <c r="AK5" s="24"/>
      <c r="AL5" s="24"/>
      <c r="AM5" s="24"/>
      <c r="AN5" s="24"/>
      <c r="AO5" s="24"/>
      <c r="AP5" s="24"/>
      <c r="AQ5" s="24"/>
      <c r="AR5" s="24"/>
      <c r="AS5" s="24"/>
      <c r="AT5" s="24"/>
      <c r="AU5" s="24"/>
    </row>
    <row r="6" spans="2:47" ht="24" customHeight="1">
      <c r="B6" s="17" t="s">
        <v>12</v>
      </c>
      <c r="C6" s="42" t="s">
        <v>13</v>
      </c>
      <c r="D6" s="70" t="s">
        <v>91</v>
      </c>
      <c r="E6" s="71"/>
      <c r="F6" s="71"/>
      <c r="G6" s="71"/>
      <c r="H6" s="71"/>
      <c r="I6" s="71"/>
      <c r="J6" s="71"/>
      <c r="K6" s="47"/>
      <c r="L6" s="48" t="s">
        <v>96</v>
      </c>
      <c r="M6" s="72" t="s">
        <v>89</v>
      </c>
      <c r="N6" s="71"/>
      <c r="O6" s="71"/>
      <c r="P6" s="71"/>
      <c r="Q6" s="71"/>
      <c r="R6" s="71"/>
      <c r="S6" s="71"/>
      <c r="T6" s="71"/>
      <c r="U6" s="71"/>
      <c r="V6" s="24"/>
      <c r="W6" s="24"/>
      <c r="X6" s="1" t="s">
        <v>20</v>
      </c>
      <c r="Y6" s="24"/>
      <c r="Z6" s="24"/>
      <c r="AA6" s="24"/>
      <c r="AB6" s="24"/>
      <c r="AC6" s="24"/>
      <c r="AD6" s="24"/>
      <c r="AE6" s="24"/>
      <c r="AF6" s="24"/>
      <c r="AG6" s="24"/>
      <c r="AH6" s="24"/>
      <c r="AI6" s="24"/>
      <c r="AJ6" s="24"/>
      <c r="AK6" s="24"/>
      <c r="AL6" s="24"/>
      <c r="AM6" s="24"/>
      <c r="AN6" s="24"/>
      <c r="AO6" s="24"/>
      <c r="AP6" s="24"/>
      <c r="AQ6" s="24"/>
      <c r="AR6" s="24"/>
      <c r="AS6" s="24"/>
      <c r="AT6" s="24"/>
      <c r="AU6" s="24"/>
    </row>
    <row r="7" spans="2:47" ht="24.95" customHeight="1">
      <c r="C7" s="3"/>
      <c r="D7" s="73" t="s">
        <v>94</v>
      </c>
      <c r="E7" s="73"/>
      <c r="F7" s="73"/>
      <c r="G7" s="73"/>
      <c r="H7" s="73"/>
      <c r="I7" s="73"/>
      <c r="J7" s="73"/>
      <c r="K7" s="73"/>
      <c r="L7" s="3"/>
      <c r="M7" s="73" t="s">
        <v>90</v>
      </c>
      <c r="N7" s="73"/>
      <c r="O7" s="73"/>
      <c r="P7" s="73"/>
      <c r="Q7" s="73"/>
      <c r="R7" s="73"/>
      <c r="S7" s="73"/>
      <c r="T7" s="73"/>
      <c r="U7" s="73"/>
      <c r="V7" s="24"/>
      <c r="W7" s="24"/>
      <c r="Y7" s="24"/>
      <c r="Z7" s="24"/>
      <c r="AA7" s="24"/>
      <c r="AB7" s="24"/>
      <c r="AC7" s="24"/>
      <c r="AD7" s="24"/>
      <c r="AE7" s="24"/>
      <c r="AF7" s="24"/>
      <c r="AG7" s="24"/>
      <c r="AH7" s="24"/>
      <c r="AI7" s="24"/>
      <c r="AJ7" s="24"/>
      <c r="AK7" s="24"/>
      <c r="AL7" s="24"/>
      <c r="AM7" s="24"/>
      <c r="AN7" s="24"/>
      <c r="AO7" s="24"/>
      <c r="AP7" s="24"/>
      <c r="AQ7" s="24"/>
      <c r="AR7" s="24"/>
      <c r="AS7" s="24"/>
      <c r="AT7" s="24"/>
      <c r="AU7" s="24"/>
    </row>
    <row r="8" spans="2:47" ht="22.5">
      <c r="B8" s="85" t="s">
        <v>93</v>
      </c>
      <c r="C8" s="84"/>
      <c r="D8" s="84"/>
      <c r="E8" s="84"/>
      <c r="F8" s="84"/>
      <c r="G8" s="84"/>
      <c r="H8" s="84"/>
      <c r="I8" s="84"/>
      <c r="J8" s="84"/>
      <c r="K8" s="84"/>
      <c r="L8" s="84"/>
      <c r="M8" s="84"/>
      <c r="N8" s="84"/>
      <c r="O8" s="84"/>
      <c r="P8" s="84"/>
      <c r="Q8" s="84"/>
      <c r="R8" s="84"/>
      <c r="S8" s="84"/>
      <c r="T8" s="84"/>
      <c r="U8" s="84"/>
      <c r="V8" s="24"/>
      <c r="W8" s="24"/>
      <c r="Y8" s="24"/>
      <c r="Z8" s="24"/>
      <c r="AA8" s="24"/>
      <c r="AB8" s="24"/>
      <c r="AC8" s="24"/>
      <c r="AD8" s="24"/>
      <c r="AE8" s="24"/>
      <c r="AF8" s="24"/>
      <c r="AG8" s="24"/>
      <c r="AH8" s="24"/>
      <c r="AI8" s="24"/>
      <c r="AJ8" s="24"/>
      <c r="AK8" s="24"/>
      <c r="AL8" s="24"/>
      <c r="AM8" s="24"/>
      <c r="AN8" s="24"/>
      <c r="AO8" s="24"/>
      <c r="AP8" s="24"/>
      <c r="AQ8" s="24"/>
      <c r="AR8" s="24"/>
      <c r="AS8" s="24"/>
      <c r="AT8" s="24"/>
      <c r="AU8" s="24"/>
    </row>
    <row r="9" spans="2:47" ht="8.1" customHeight="1">
      <c r="E9" s="1"/>
      <c r="V9" s="24"/>
      <c r="W9" s="24"/>
      <c r="Y9" s="24"/>
      <c r="Z9" s="24"/>
      <c r="AA9" s="24"/>
      <c r="AB9" s="24"/>
      <c r="AC9" s="24"/>
      <c r="AD9" s="24"/>
      <c r="AE9" s="24"/>
      <c r="AF9" s="24"/>
      <c r="AG9" s="24"/>
      <c r="AH9" s="24"/>
      <c r="AI9" s="24"/>
      <c r="AJ9" s="24"/>
      <c r="AK9" s="24"/>
      <c r="AL9" s="24"/>
      <c r="AM9" s="24"/>
      <c r="AN9" s="24"/>
      <c r="AO9" s="24"/>
      <c r="AP9" s="24"/>
      <c r="AQ9" s="24"/>
      <c r="AR9" s="24"/>
      <c r="AS9" s="24"/>
      <c r="AT9" s="24"/>
      <c r="AU9" s="24"/>
    </row>
    <row r="10" spans="2:47" ht="18.75">
      <c r="B10" s="19" t="s">
        <v>30</v>
      </c>
      <c r="C10" s="19">
        <v>1</v>
      </c>
      <c r="D10" s="20">
        <v>2</v>
      </c>
      <c r="E10" s="20">
        <v>3</v>
      </c>
      <c r="F10" s="19">
        <v>4</v>
      </c>
      <c r="G10" s="20">
        <v>5</v>
      </c>
      <c r="H10" s="20">
        <v>6</v>
      </c>
      <c r="I10" s="19">
        <v>7</v>
      </c>
      <c r="J10" s="20">
        <v>8</v>
      </c>
      <c r="K10" s="20">
        <v>9</v>
      </c>
      <c r="L10" s="19">
        <v>10</v>
      </c>
      <c r="M10" s="20">
        <v>11</v>
      </c>
      <c r="N10" s="20">
        <v>12</v>
      </c>
      <c r="O10" s="19">
        <v>13</v>
      </c>
      <c r="P10" s="20">
        <v>14</v>
      </c>
      <c r="Q10" s="20">
        <v>15</v>
      </c>
      <c r="R10" s="20">
        <v>16</v>
      </c>
      <c r="S10" s="20">
        <v>17</v>
      </c>
      <c r="T10" s="19">
        <v>16</v>
      </c>
      <c r="U10" s="20" t="s">
        <v>32</v>
      </c>
      <c r="V10" s="24"/>
      <c r="W10" s="24"/>
    </row>
    <row r="11" spans="2:47" ht="18.75">
      <c r="B11" s="29" t="s">
        <v>28</v>
      </c>
      <c r="C11" s="31" t="s">
        <v>74</v>
      </c>
      <c r="D11" s="32" t="s">
        <v>75</v>
      </c>
      <c r="E11" s="32" t="s">
        <v>76</v>
      </c>
      <c r="F11" s="32" t="s">
        <v>83</v>
      </c>
      <c r="G11" s="31" t="s">
        <v>79</v>
      </c>
      <c r="H11" s="31" t="s">
        <v>80</v>
      </c>
      <c r="I11" s="31" t="s">
        <v>103</v>
      </c>
      <c r="J11" s="31" t="s">
        <v>104</v>
      </c>
      <c r="K11" s="31"/>
      <c r="L11" s="31"/>
      <c r="M11" s="31"/>
      <c r="N11" s="31"/>
      <c r="O11" s="31"/>
      <c r="P11" s="31"/>
      <c r="Q11" s="31"/>
      <c r="R11" s="31"/>
      <c r="S11" s="31"/>
      <c r="T11" s="31"/>
      <c r="U11" s="29"/>
      <c r="V11" s="24"/>
      <c r="W11" s="24"/>
    </row>
    <row r="12" spans="2:47" ht="18.75">
      <c r="B12" s="30" t="s">
        <v>29</v>
      </c>
      <c r="C12" s="33" t="s">
        <v>84</v>
      </c>
      <c r="D12" s="33" t="s">
        <v>81</v>
      </c>
      <c r="E12" s="33" t="s">
        <v>87</v>
      </c>
      <c r="F12" s="33" t="s">
        <v>86</v>
      </c>
      <c r="G12" s="33" t="s">
        <v>85</v>
      </c>
      <c r="H12" s="33" t="s">
        <v>88</v>
      </c>
      <c r="I12" s="33" t="s">
        <v>82</v>
      </c>
      <c r="J12" s="32" t="s">
        <v>77</v>
      </c>
      <c r="K12" s="32" t="s">
        <v>78</v>
      </c>
      <c r="L12" s="33" t="s">
        <v>105</v>
      </c>
      <c r="M12" s="33" t="s">
        <v>106</v>
      </c>
      <c r="N12" s="33" t="s">
        <v>107</v>
      </c>
      <c r="O12" s="33"/>
      <c r="P12" s="33"/>
      <c r="Q12" s="33"/>
      <c r="R12" s="33"/>
      <c r="S12" s="33"/>
      <c r="T12" s="33"/>
      <c r="U12" s="30"/>
    </row>
    <row r="13" spans="2:47" ht="54.6" customHeight="1">
      <c r="B13" s="74" t="s">
        <v>95</v>
      </c>
      <c r="C13" s="74"/>
      <c r="D13" s="74"/>
      <c r="E13" s="74"/>
      <c r="F13" s="74"/>
      <c r="G13" s="74"/>
      <c r="H13" s="74"/>
      <c r="I13" s="74"/>
      <c r="J13" s="74"/>
      <c r="K13" s="74"/>
      <c r="L13" s="74"/>
      <c r="M13" s="74"/>
      <c r="N13" s="74"/>
      <c r="O13" s="74"/>
      <c r="P13" s="74"/>
      <c r="Q13" s="74"/>
      <c r="R13" s="74"/>
      <c r="S13" s="74"/>
      <c r="T13" s="74"/>
      <c r="U13" s="74"/>
    </row>
    <row r="14" spans="2:47" ht="37.5">
      <c r="B14" s="26" t="s">
        <v>33</v>
      </c>
      <c r="C14" s="25"/>
      <c r="D14" s="49" t="s">
        <v>62</v>
      </c>
      <c r="E14" s="49" t="s">
        <v>63</v>
      </c>
      <c r="F14" s="49"/>
      <c r="G14" s="49" t="s">
        <v>64</v>
      </c>
      <c r="H14" s="49"/>
      <c r="I14" s="50" t="s">
        <v>65</v>
      </c>
      <c r="J14" s="50"/>
      <c r="K14" s="50" t="s">
        <v>66</v>
      </c>
      <c r="L14" s="50" t="s">
        <v>67</v>
      </c>
      <c r="M14" s="50" t="s">
        <v>68</v>
      </c>
      <c r="N14" s="50" t="s">
        <v>69</v>
      </c>
      <c r="O14" s="50" t="s">
        <v>70</v>
      </c>
      <c r="P14" s="50" t="s">
        <v>71</v>
      </c>
      <c r="Q14" s="50" t="s">
        <v>72</v>
      </c>
      <c r="R14" s="50" t="s">
        <v>73</v>
      </c>
      <c r="S14" s="87" t="s">
        <v>97</v>
      </c>
      <c r="T14" s="87"/>
      <c r="U14" s="87"/>
    </row>
    <row r="15" spans="2:47" ht="18.75">
      <c r="B15" s="79" t="s">
        <v>6</v>
      </c>
      <c r="C15" s="79" t="s">
        <v>8</v>
      </c>
      <c r="D15" s="79" t="s">
        <v>37</v>
      </c>
      <c r="E15" s="79" t="s">
        <v>0</v>
      </c>
      <c r="F15" s="79" t="s">
        <v>7</v>
      </c>
      <c r="G15" s="75" t="s">
        <v>1</v>
      </c>
      <c r="H15" s="76"/>
      <c r="I15" s="88" t="s">
        <v>27</v>
      </c>
      <c r="J15" s="89"/>
      <c r="K15" s="90" t="s">
        <v>2</v>
      </c>
      <c r="L15" s="91"/>
      <c r="M15" s="91"/>
      <c r="N15" s="91"/>
      <c r="O15" s="91"/>
      <c r="P15" s="91"/>
      <c r="Q15" s="91"/>
      <c r="R15" s="91"/>
      <c r="S15" s="92"/>
      <c r="T15" s="90"/>
      <c r="U15" s="92"/>
    </row>
    <row r="16" spans="2:47" ht="17.45" customHeight="1">
      <c r="B16" s="80"/>
      <c r="C16" s="80"/>
      <c r="D16" s="80"/>
      <c r="E16" s="80"/>
      <c r="F16" s="80"/>
      <c r="G16" s="77"/>
      <c r="H16" s="78"/>
      <c r="I16" s="21" t="s">
        <v>26</v>
      </c>
      <c r="J16" s="21" t="s">
        <v>27</v>
      </c>
      <c r="K16" s="22" t="s">
        <v>4</v>
      </c>
      <c r="L16" s="22" t="s">
        <v>5</v>
      </c>
      <c r="M16" s="22" t="s">
        <v>19</v>
      </c>
      <c r="N16" s="22" t="s">
        <v>69</v>
      </c>
      <c r="O16" s="22" t="s">
        <v>21</v>
      </c>
      <c r="P16" s="22" t="s">
        <v>22</v>
      </c>
      <c r="Q16" s="22" t="s">
        <v>23</v>
      </c>
      <c r="R16" s="22" t="s">
        <v>20</v>
      </c>
      <c r="S16" s="22" t="s">
        <v>24</v>
      </c>
      <c r="T16" s="22" t="s">
        <v>25</v>
      </c>
      <c r="U16" s="23" t="s">
        <v>3</v>
      </c>
      <c r="W16" s="4"/>
      <c r="X16" s="4"/>
      <c r="Y16" s="4"/>
    </row>
    <row r="17" spans="2:27" ht="16.5" hidden="1" customHeight="1">
      <c r="B17" s="81">
        <v>46082</v>
      </c>
      <c r="C17" s="59" t="s">
        <v>17</v>
      </c>
      <c r="D17" s="51"/>
      <c r="E17" s="62" t="s">
        <v>101</v>
      </c>
      <c r="F17" s="5">
        <v>0.41666666666666669</v>
      </c>
      <c r="G17" s="65"/>
      <c r="H17" s="66"/>
      <c r="I17" s="34"/>
      <c r="J17" s="6" t="str">
        <f>IFERROR(S17/I17,"")</f>
        <v/>
      </c>
      <c r="K17" s="38"/>
      <c r="L17" s="38"/>
      <c r="M17" s="38"/>
      <c r="N17" s="38"/>
      <c r="O17" s="38"/>
      <c r="P17" s="38"/>
      <c r="Q17" s="38"/>
      <c r="R17" s="38"/>
      <c r="S17" s="7">
        <f>SUM(K17:R17)</f>
        <v>0</v>
      </c>
      <c r="T17" s="7">
        <v>100000</v>
      </c>
      <c r="U17" s="7">
        <f>T17*S17</f>
        <v>0</v>
      </c>
      <c r="V17" s="4"/>
      <c r="W17" s="4"/>
      <c r="X17" s="4" t="s">
        <v>14</v>
      </c>
      <c r="Y17" s="4"/>
    </row>
    <row r="18" spans="2:27" ht="18.75" hidden="1">
      <c r="B18" s="82"/>
      <c r="C18" s="60"/>
      <c r="D18" s="52"/>
      <c r="E18" s="63"/>
      <c r="F18" s="8">
        <v>0.5</v>
      </c>
      <c r="G18" s="67"/>
      <c r="H18" s="68"/>
      <c r="I18" s="35"/>
      <c r="J18" s="9" t="str">
        <f>IFERROR(S18/I18,"")</f>
        <v/>
      </c>
      <c r="K18" s="39"/>
      <c r="L18" s="39"/>
      <c r="M18" s="39"/>
      <c r="N18" s="39"/>
      <c r="O18" s="39"/>
      <c r="P18" s="39"/>
      <c r="Q18" s="39"/>
      <c r="R18" s="39"/>
      <c r="S18" s="10">
        <f t="shared" ref="S18:S28" si="0">SUM(K18:R18)</f>
        <v>0</v>
      </c>
      <c r="T18" s="10">
        <v>100000</v>
      </c>
      <c r="U18" s="10">
        <f t="shared" ref="U18:U28" si="1">T18*S18</f>
        <v>0</v>
      </c>
      <c r="V18" s="4"/>
      <c r="W18" s="4"/>
      <c r="X18" s="4" t="s">
        <v>15</v>
      </c>
      <c r="Y18" s="4"/>
    </row>
    <row r="19" spans="2:27" ht="18.75" hidden="1">
      <c r="B19" s="82"/>
      <c r="C19" s="60"/>
      <c r="D19" s="52"/>
      <c r="E19" s="63"/>
      <c r="F19" s="8">
        <v>0.58333333333333337</v>
      </c>
      <c r="G19" s="67"/>
      <c r="H19" s="68"/>
      <c r="I19" s="35"/>
      <c r="J19" s="9" t="str">
        <f t="shared" ref="J19:J82" si="2">IFERROR(S19/I19,"")</f>
        <v/>
      </c>
      <c r="K19" s="39"/>
      <c r="L19" s="39"/>
      <c r="M19" s="39"/>
      <c r="N19" s="39"/>
      <c r="O19" s="39"/>
      <c r="P19" s="39"/>
      <c r="Q19" s="39"/>
      <c r="R19" s="39"/>
      <c r="S19" s="10">
        <f t="shared" si="0"/>
        <v>0</v>
      </c>
      <c r="T19" s="10">
        <v>100000</v>
      </c>
      <c r="U19" s="10">
        <f t="shared" si="1"/>
        <v>0</v>
      </c>
      <c r="V19" s="4"/>
      <c r="W19" s="4"/>
      <c r="X19" s="4" t="s">
        <v>16</v>
      </c>
      <c r="Y19" s="4"/>
    </row>
    <row r="20" spans="2:27" ht="18.75" hidden="1">
      <c r="B20" s="82"/>
      <c r="C20" s="60"/>
      <c r="D20" s="52"/>
      <c r="E20" s="63"/>
      <c r="F20" s="8">
        <v>0.66666666666666663</v>
      </c>
      <c r="G20" s="67"/>
      <c r="H20" s="68"/>
      <c r="I20" s="35"/>
      <c r="J20" s="9" t="str">
        <f t="shared" si="2"/>
        <v/>
      </c>
      <c r="K20" s="39"/>
      <c r="L20" s="39"/>
      <c r="M20" s="39"/>
      <c r="N20" s="39"/>
      <c r="O20" s="39"/>
      <c r="P20" s="39"/>
      <c r="Q20" s="39"/>
      <c r="R20" s="39"/>
      <c r="S20" s="10">
        <f t="shared" si="0"/>
        <v>0</v>
      </c>
      <c r="T20" s="10">
        <v>100000</v>
      </c>
      <c r="U20" s="10">
        <f>T20*S20</f>
        <v>0</v>
      </c>
      <c r="V20" s="4"/>
      <c r="W20" s="4"/>
      <c r="X20" s="4" t="s">
        <v>17</v>
      </c>
      <c r="Y20" s="4"/>
      <c r="Z20" s="28" t="s">
        <v>61</v>
      </c>
    </row>
    <row r="21" spans="2:27" ht="18.75" hidden="1">
      <c r="B21" s="82"/>
      <c r="C21" s="60"/>
      <c r="D21" s="52"/>
      <c r="E21" s="63"/>
      <c r="F21" s="8">
        <v>0.75</v>
      </c>
      <c r="G21" s="67"/>
      <c r="H21" s="68"/>
      <c r="I21" s="35"/>
      <c r="J21" s="9" t="str">
        <f t="shared" si="2"/>
        <v/>
      </c>
      <c r="K21" s="39"/>
      <c r="L21" s="39"/>
      <c r="M21" s="39"/>
      <c r="N21" s="39"/>
      <c r="O21" s="39"/>
      <c r="P21" s="39"/>
      <c r="Q21" s="39"/>
      <c r="R21" s="39"/>
      <c r="S21" s="10">
        <f t="shared" si="0"/>
        <v>0</v>
      </c>
      <c r="T21" s="10">
        <v>100000</v>
      </c>
      <c r="U21" s="10">
        <f t="shared" si="1"/>
        <v>0</v>
      </c>
      <c r="V21" s="4"/>
      <c r="W21" s="4"/>
      <c r="X21" s="11" t="s">
        <v>18</v>
      </c>
      <c r="Y21" s="4"/>
      <c r="Z21" s="43"/>
    </row>
    <row r="22" spans="2:27" ht="27" hidden="1">
      <c r="B22" s="82"/>
      <c r="C22" s="60"/>
      <c r="D22" s="53"/>
      <c r="E22" s="64"/>
      <c r="F22" s="12">
        <v>0.83333333333333337</v>
      </c>
      <c r="G22" s="67"/>
      <c r="H22" s="68"/>
      <c r="I22" s="35"/>
      <c r="J22" s="9" t="str">
        <f t="shared" si="2"/>
        <v/>
      </c>
      <c r="K22" s="40"/>
      <c r="L22" s="40"/>
      <c r="M22" s="40"/>
      <c r="N22" s="40"/>
      <c r="O22" s="40"/>
      <c r="P22" s="40"/>
      <c r="Q22" s="40"/>
      <c r="R22" s="40"/>
      <c r="S22" s="16">
        <f t="shared" si="0"/>
        <v>0</v>
      </c>
      <c r="T22" s="16">
        <v>100000</v>
      </c>
      <c r="U22" s="16">
        <f t="shared" si="1"/>
        <v>0</v>
      </c>
      <c r="V22" s="4"/>
      <c r="X22" s="54" t="s">
        <v>101</v>
      </c>
      <c r="Z22" s="44" t="s">
        <v>46</v>
      </c>
    </row>
    <row r="23" spans="2:27" ht="27" hidden="1">
      <c r="B23" s="82"/>
      <c r="C23" s="60"/>
      <c r="D23" s="51"/>
      <c r="E23" s="62" t="s">
        <v>102</v>
      </c>
      <c r="F23" s="5">
        <v>0.91666666666666663</v>
      </c>
      <c r="G23" s="65"/>
      <c r="H23" s="66"/>
      <c r="I23" s="34"/>
      <c r="J23" s="6" t="str">
        <f t="shared" si="2"/>
        <v/>
      </c>
      <c r="K23" s="38"/>
      <c r="L23" s="38"/>
      <c r="M23" s="38"/>
      <c r="N23" s="38"/>
      <c r="O23" s="38"/>
      <c r="P23" s="38"/>
      <c r="Q23" s="38"/>
      <c r="R23" s="38"/>
      <c r="S23" s="7">
        <f t="shared" si="0"/>
        <v>0</v>
      </c>
      <c r="T23" s="7">
        <v>100000</v>
      </c>
      <c r="U23" s="7">
        <f t="shared" si="1"/>
        <v>0</v>
      </c>
      <c r="V23" s="4"/>
      <c r="X23" s="54" t="s">
        <v>102</v>
      </c>
      <c r="Z23" s="44" t="s">
        <v>45</v>
      </c>
    </row>
    <row r="24" spans="2:27" ht="18.75" hidden="1">
      <c r="B24" s="82"/>
      <c r="C24" s="60"/>
      <c r="D24" s="52"/>
      <c r="E24" s="63"/>
      <c r="F24" s="8">
        <v>1</v>
      </c>
      <c r="G24" s="67"/>
      <c r="H24" s="68"/>
      <c r="I24" s="35"/>
      <c r="J24" s="9" t="str">
        <f t="shared" si="2"/>
        <v/>
      </c>
      <c r="K24" s="39"/>
      <c r="L24" s="39"/>
      <c r="M24" s="39"/>
      <c r="N24" s="39"/>
      <c r="O24" s="39"/>
      <c r="P24" s="39"/>
      <c r="Q24" s="39"/>
      <c r="R24" s="39"/>
      <c r="S24" s="10">
        <f t="shared" si="0"/>
        <v>0</v>
      </c>
      <c r="T24" s="10">
        <v>100000</v>
      </c>
      <c r="U24" s="10">
        <f t="shared" si="1"/>
        <v>0</v>
      </c>
      <c r="V24" s="4"/>
      <c r="Y24" s="4"/>
      <c r="Z24" s="44" t="s">
        <v>44</v>
      </c>
      <c r="AA24" s="27"/>
    </row>
    <row r="25" spans="2:27" ht="18.75" hidden="1">
      <c r="B25" s="82"/>
      <c r="C25" s="60"/>
      <c r="D25" s="52"/>
      <c r="E25" s="63"/>
      <c r="F25" s="8">
        <v>8.3333333333333329E-2</v>
      </c>
      <c r="G25" s="67"/>
      <c r="H25" s="68"/>
      <c r="I25" s="35"/>
      <c r="J25" s="9" t="str">
        <f t="shared" si="2"/>
        <v/>
      </c>
      <c r="K25" s="39"/>
      <c r="L25" s="39"/>
      <c r="M25" s="39"/>
      <c r="N25" s="39"/>
      <c r="O25" s="39"/>
      <c r="P25" s="39"/>
      <c r="Q25" s="39"/>
      <c r="R25" s="39"/>
      <c r="S25" s="10">
        <f t="shared" si="0"/>
        <v>0</v>
      </c>
      <c r="T25" s="10">
        <v>100000</v>
      </c>
      <c r="U25" s="10">
        <f t="shared" si="1"/>
        <v>0</v>
      </c>
      <c r="Y25" s="4"/>
      <c r="Z25" s="44" t="s">
        <v>47</v>
      </c>
    </row>
    <row r="26" spans="2:27" ht="18.75" hidden="1">
      <c r="B26" s="82"/>
      <c r="C26" s="60"/>
      <c r="D26" s="52"/>
      <c r="E26" s="63"/>
      <c r="F26" s="8">
        <v>0.16666666666666666</v>
      </c>
      <c r="G26" s="67"/>
      <c r="H26" s="68"/>
      <c r="I26" s="35"/>
      <c r="J26" s="9" t="str">
        <f t="shared" si="2"/>
        <v/>
      </c>
      <c r="K26" s="39"/>
      <c r="L26" s="39"/>
      <c r="M26" s="39"/>
      <c r="N26" s="39"/>
      <c r="O26" s="39"/>
      <c r="P26" s="39"/>
      <c r="Q26" s="39"/>
      <c r="R26" s="39"/>
      <c r="S26" s="10">
        <f t="shared" si="0"/>
        <v>0</v>
      </c>
      <c r="T26" s="10">
        <v>100000</v>
      </c>
      <c r="U26" s="10">
        <f t="shared" si="1"/>
        <v>0</v>
      </c>
      <c r="V26" s="4"/>
      <c r="X26" s="4"/>
      <c r="Y26" s="4"/>
      <c r="Z26" s="44" t="s">
        <v>48</v>
      </c>
    </row>
    <row r="27" spans="2:27" ht="18.75" hidden="1">
      <c r="B27" s="82"/>
      <c r="C27" s="60"/>
      <c r="D27" s="52"/>
      <c r="E27" s="63"/>
      <c r="F27" s="8">
        <v>0.25</v>
      </c>
      <c r="G27" s="67"/>
      <c r="H27" s="68"/>
      <c r="I27" s="35"/>
      <c r="J27" s="9" t="str">
        <f t="shared" si="2"/>
        <v/>
      </c>
      <c r="K27" s="39"/>
      <c r="L27" s="39"/>
      <c r="M27" s="39"/>
      <c r="N27" s="39"/>
      <c r="O27" s="39"/>
      <c r="P27" s="39"/>
      <c r="Q27" s="39"/>
      <c r="R27" s="39"/>
      <c r="S27" s="10">
        <f t="shared" si="0"/>
        <v>0</v>
      </c>
      <c r="T27" s="10">
        <v>100000</v>
      </c>
      <c r="U27" s="10">
        <f t="shared" si="1"/>
        <v>0</v>
      </c>
      <c r="V27" s="4"/>
      <c r="Y27" s="4"/>
      <c r="Z27" s="44" t="s">
        <v>49</v>
      </c>
    </row>
    <row r="28" spans="2:27" ht="18.75" hidden="1">
      <c r="B28" s="82"/>
      <c r="C28" s="60"/>
      <c r="D28" s="53"/>
      <c r="E28" s="64"/>
      <c r="F28" s="12">
        <v>0.33333333333333331</v>
      </c>
      <c r="G28" s="67"/>
      <c r="H28" s="68"/>
      <c r="I28" s="36"/>
      <c r="J28" s="9" t="str">
        <f t="shared" si="2"/>
        <v/>
      </c>
      <c r="K28" s="41"/>
      <c r="L28" s="41"/>
      <c r="M28" s="41"/>
      <c r="N28" s="41"/>
      <c r="O28" s="41"/>
      <c r="P28" s="41"/>
      <c r="Q28" s="41"/>
      <c r="R28" s="41"/>
      <c r="S28" s="13">
        <f t="shared" si="0"/>
        <v>0</v>
      </c>
      <c r="T28" s="13">
        <v>100000</v>
      </c>
      <c r="U28" s="13">
        <f t="shared" si="1"/>
        <v>0</v>
      </c>
      <c r="V28" s="4"/>
      <c r="W28" s="4"/>
      <c r="X28" s="4"/>
      <c r="Y28" s="4"/>
      <c r="Z28" s="44" t="s">
        <v>50</v>
      </c>
    </row>
    <row r="29" spans="2:27" ht="18.600000000000001" hidden="1" customHeight="1">
      <c r="B29" s="81">
        <v>46083</v>
      </c>
      <c r="C29" s="59" t="s">
        <v>17</v>
      </c>
      <c r="D29" s="51"/>
      <c r="E29" s="62" t="s">
        <v>101</v>
      </c>
      <c r="F29" s="5">
        <v>0.41666666666666669</v>
      </c>
      <c r="G29" s="65"/>
      <c r="H29" s="66"/>
      <c r="I29" s="34"/>
      <c r="J29" s="6" t="str">
        <f t="shared" si="2"/>
        <v/>
      </c>
      <c r="K29" s="38"/>
      <c r="L29" s="38"/>
      <c r="M29" s="38"/>
      <c r="N29" s="38"/>
      <c r="O29" s="38"/>
      <c r="P29" s="38"/>
      <c r="Q29" s="38"/>
      <c r="R29" s="38"/>
      <c r="S29" s="7">
        <f>SUM(K29:R29)</f>
        <v>0</v>
      </c>
      <c r="T29" s="7">
        <v>100000</v>
      </c>
      <c r="U29" s="7">
        <f>T29*S29</f>
        <v>0</v>
      </c>
      <c r="V29" s="4"/>
      <c r="W29" s="4"/>
      <c r="X29" s="4"/>
      <c r="Y29" s="4"/>
      <c r="Z29" s="44" t="s">
        <v>51</v>
      </c>
    </row>
    <row r="30" spans="2:27" ht="18.75" hidden="1">
      <c r="B30" s="82"/>
      <c r="C30" s="60"/>
      <c r="D30" s="52"/>
      <c r="E30" s="63"/>
      <c r="F30" s="8">
        <v>0.5</v>
      </c>
      <c r="G30" s="67"/>
      <c r="H30" s="68"/>
      <c r="I30" s="35"/>
      <c r="J30" s="9" t="str">
        <f t="shared" si="2"/>
        <v/>
      </c>
      <c r="K30" s="39"/>
      <c r="L30" s="39"/>
      <c r="M30" s="39"/>
      <c r="N30" s="39"/>
      <c r="O30" s="39"/>
      <c r="P30" s="39"/>
      <c r="Q30" s="39"/>
      <c r="R30" s="39"/>
      <c r="S30" s="10">
        <f t="shared" ref="S30:S40" si="3">SUM(K30:R30)</f>
        <v>0</v>
      </c>
      <c r="T30" s="10">
        <v>100000</v>
      </c>
      <c r="U30" s="10">
        <f t="shared" ref="U30:U31" si="4">T30*S30</f>
        <v>0</v>
      </c>
      <c r="V30" s="4"/>
      <c r="W30" s="4"/>
      <c r="X30" s="4"/>
      <c r="Y30" s="4"/>
      <c r="Z30" s="44" t="s">
        <v>52</v>
      </c>
    </row>
    <row r="31" spans="2:27" ht="18.75" hidden="1">
      <c r="B31" s="82"/>
      <c r="C31" s="60"/>
      <c r="D31" s="52"/>
      <c r="E31" s="63"/>
      <c r="F31" s="8">
        <v>0.58333333333333337</v>
      </c>
      <c r="G31" s="67"/>
      <c r="H31" s="68"/>
      <c r="I31" s="35"/>
      <c r="J31" s="9" t="str">
        <f t="shared" si="2"/>
        <v/>
      </c>
      <c r="K31" s="39"/>
      <c r="L31" s="39"/>
      <c r="M31" s="39"/>
      <c r="N31" s="39"/>
      <c r="O31" s="39"/>
      <c r="P31" s="39"/>
      <c r="Q31" s="39"/>
      <c r="R31" s="39"/>
      <c r="S31" s="10">
        <f t="shared" si="3"/>
        <v>0</v>
      </c>
      <c r="T31" s="10">
        <v>100000</v>
      </c>
      <c r="U31" s="10">
        <f t="shared" si="4"/>
        <v>0</v>
      </c>
      <c r="V31" s="4"/>
      <c r="W31" s="4"/>
      <c r="X31" s="4"/>
      <c r="Y31" s="4"/>
      <c r="Z31" s="44" t="s">
        <v>53</v>
      </c>
    </row>
    <row r="32" spans="2:27" ht="18.75" hidden="1">
      <c r="B32" s="82"/>
      <c r="C32" s="60"/>
      <c r="D32" s="52"/>
      <c r="E32" s="63"/>
      <c r="F32" s="8">
        <v>0.66666666666666663</v>
      </c>
      <c r="G32" s="67"/>
      <c r="H32" s="68"/>
      <c r="I32" s="35"/>
      <c r="J32" s="9" t="str">
        <f t="shared" si="2"/>
        <v/>
      </c>
      <c r="K32" s="39"/>
      <c r="L32" s="39"/>
      <c r="M32" s="39"/>
      <c r="N32" s="39"/>
      <c r="O32" s="39"/>
      <c r="P32" s="39"/>
      <c r="Q32" s="39"/>
      <c r="R32" s="39"/>
      <c r="S32" s="10">
        <f t="shared" si="3"/>
        <v>0</v>
      </c>
      <c r="T32" s="10">
        <v>100000</v>
      </c>
      <c r="U32" s="10">
        <f>T32*S32</f>
        <v>0</v>
      </c>
      <c r="V32" s="4"/>
      <c r="W32" s="4"/>
      <c r="X32" s="4"/>
      <c r="Y32" s="4"/>
      <c r="Z32" s="44" t="s">
        <v>54</v>
      </c>
    </row>
    <row r="33" spans="2:26" ht="18.75" hidden="1">
      <c r="B33" s="82"/>
      <c r="C33" s="60"/>
      <c r="D33" s="52"/>
      <c r="E33" s="63"/>
      <c r="F33" s="8">
        <v>0.75</v>
      </c>
      <c r="G33" s="67"/>
      <c r="H33" s="68"/>
      <c r="I33" s="35"/>
      <c r="J33" s="9" t="str">
        <f t="shared" si="2"/>
        <v/>
      </c>
      <c r="K33" s="39"/>
      <c r="L33" s="39"/>
      <c r="M33" s="39"/>
      <c r="N33" s="39"/>
      <c r="O33" s="39"/>
      <c r="P33" s="39"/>
      <c r="Q33" s="39"/>
      <c r="R33" s="39"/>
      <c r="S33" s="10">
        <f t="shared" si="3"/>
        <v>0</v>
      </c>
      <c r="T33" s="10">
        <v>100000</v>
      </c>
      <c r="U33" s="10">
        <f t="shared" ref="U33:U40" si="5">T33*S33</f>
        <v>0</v>
      </c>
      <c r="V33" s="4"/>
      <c r="W33" s="4"/>
      <c r="X33" s="11"/>
      <c r="Y33" s="4"/>
      <c r="Z33" s="44" t="s">
        <v>40</v>
      </c>
    </row>
    <row r="34" spans="2:26" ht="18.75" hidden="1">
      <c r="B34" s="82"/>
      <c r="C34" s="60"/>
      <c r="D34" s="53"/>
      <c r="E34" s="64"/>
      <c r="F34" s="12">
        <v>0.83333333333333337</v>
      </c>
      <c r="G34" s="67"/>
      <c r="H34" s="68"/>
      <c r="I34" s="36"/>
      <c r="J34" s="9" t="str">
        <f t="shared" si="2"/>
        <v/>
      </c>
      <c r="K34" s="41"/>
      <c r="L34" s="41"/>
      <c r="M34" s="41"/>
      <c r="N34" s="41"/>
      <c r="O34" s="41"/>
      <c r="P34" s="41"/>
      <c r="Q34" s="41"/>
      <c r="R34" s="41"/>
      <c r="S34" s="13">
        <f t="shared" si="3"/>
        <v>0</v>
      </c>
      <c r="T34" s="13">
        <v>100000</v>
      </c>
      <c r="U34" s="13">
        <f t="shared" si="5"/>
        <v>0</v>
      </c>
      <c r="V34" s="4"/>
      <c r="Y34" s="4"/>
      <c r="Z34" s="44" t="s">
        <v>41</v>
      </c>
    </row>
    <row r="35" spans="2:26" ht="18.75" hidden="1">
      <c r="B35" s="82"/>
      <c r="C35" s="60"/>
      <c r="D35" s="51"/>
      <c r="E35" s="62" t="s">
        <v>102</v>
      </c>
      <c r="F35" s="5">
        <v>0.91666666666666663</v>
      </c>
      <c r="G35" s="65"/>
      <c r="H35" s="66"/>
      <c r="I35" s="34"/>
      <c r="J35" s="6" t="str">
        <f t="shared" si="2"/>
        <v/>
      </c>
      <c r="K35" s="38"/>
      <c r="L35" s="38"/>
      <c r="M35" s="38"/>
      <c r="N35" s="38"/>
      <c r="O35" s="38"/>
      <c r="P35" s="38"/>
      <c r="Q35" s="38"/>
      <c r="R35" s="38"/>
      <c r="S35" s="7">
        <f t="shared" si="3"/>
        <v>0</v>
      </c>
      <c r="T35" s="7">
        <v>100000</v>
      </c>
      <c r="U35" s="7">
        <f t="shared" si="5"/>
        <v>0</v>
      </c>
      <c r="V35" s="4"/>
      <c r="Y35" s="4"/>
      <c r="Z35" s="44" t="s">
        <v>55</v>
      </c>
    </row>
    <row r="36" spans="2:26" ht="18.75" hidden="1">
      <c r="B36" s="82"/>
      <c r="C36" s="60"/>
      <c r="D36" s="52"/>
      <c r="E36" s="63"/>
      <c r="F36" s="8">
        <v>1</v>
      </c>
      <c r="G36" s="67"/>
      <c r="H36" s="68"/>
      <c r="I36" s="35"/>
      <c r="J36" s="9" t="str">
        <f t="shared" si="2"/>
        <v/>
      </c>
      <c r="K36" s="39"/>
      <c r="L36" s="39"/>
      <c r="M36" s="39"/>
      <c r="N36" s="39"/>
      <c r="O36" s="39"/>
      <c r="P36" s="39"/>
      <c r="Q36" s="39"/>
      <c r="R36" s="39"/>
      <c r="S36" s="10">
        <f t="shared" si="3"/>
        <v>0</v>
      </c>
      <c r="T36" s="10">
        <v>100000</v>
      </c>
      <c r="U36" s="10">
        <f t="shared" si="5"/>
        <v>0</v>
      </c>
      <c r="V36" s="4"/>
      <c r="Y36" s="4"/>
      <c r="Z36" s="44" t="s">
        <v>56</v>
      </c>
    </row>
    <row r="37" spans="2:26" ht="18.75" hidden="1">
      <c r="B37" s="82"/>
      <c r="C37" s="60"/>
      <c r="D37" s="52"/>
      <c r="E37" s="63"/>
      <c r="F37" s="8">
        <v>8.3333333333333329E-2</v>
      </c>
      <c r="G37" s="67"/>
      <c r="H37" s="68"/>
      <c r="I37" s="35"/>
      <c r="J37" s="9" t="str">
        <f t="shared" si="2"/>
        <v/>
      </c>
      <c r="K37" s="39"/>
      <c r="L37" s="39"/>
      <c r="M37" s="39"/>
      <c r="N37" s="39"/>
      <c r="O37" s="39"/>
      <c r="P37" s="39"/>
      <c r="Q37" s="39"/>
      <c r="R37" s="39"/>
      <c r="S37" s="10">
        <f t="shared" si="3"/>
        <v>0</v>
      </c>
      <c r="T37" s="10">
        <v>100000</v>
      </c>
      <c r="U37" s="10">
        <f t="shared" si="5"/>
        <v>0</v>
      </c>
      <c r="V37" s="4"/>
      <c r="Y37" s="4"/>
      <c r="Z37" s="44" t="s">
        <v>38</v>
      </c>
    </row>
    <row r="38" spans="2:26" ht="18.75" hidden="1">
      <c r="B38" s="82"/>
      <c r="C38" s="60"/>
      <c r="D38" s="52"/>
      <c r="E38" s="63"/>
      <c r="F38" s="8">
        <v>0.16666666666666666</v>
      </c>
      <c r="G38" s="67"/>
      <c r="H38" s="68"/>
      <c r="I38" s="35"/>
      <c r="J38" s="9" t="str">
        <f t="shared" si="2"/>
        <v/>
      </c>
      <c r="K38" s="39"/>
      <c r="L38" s="39"/>
      <c r="M38" s="39"/>
      <c r="N38" s="39"/>
      <c r="O38" s="39"/>
      <c r="P38" s="39"/>
      <c r="Q38" s="39"/>
      <c r="R38" s="39"/>
      <c r="S38" s="10">
        <f t="shared" si="3"/>
        <v>0</v>
      </c>
      <c r="T38" s="10">
        <v>100000</v>
      </c>
      <c r="U38" s="10">
        <f t="shared" si="5"/>
        <v>0</v>
      </c>
      <c r="V38" s="4"/>
      <c r="W38" s="4"/>
      <c r="X38" s="4"/>
      <c r="Y38" s="4"/>
      <c r="Z38" s="44" t="s">
        <v>39</v>
      </c>
    </row>
    <row r="39" spans="2:26" ht="18.75" hidden="1">
      <c r="B39" s="82"/>
      <c r="C39" s="60"/>
      <c r="D39" s="52"/>
      <c r="E39" s="63"/>
      <c r="F39" s="8">
        <v>0.25</v>
      </c>
      <c r="G39" s="67"/>
      <c r="H39" s="68"/>
      <c r="I39" s="35"/>
      <c r="J39" s="9" t="str">
        <f t="shared" si="2"/>
        <v/>
      </c>
      <c r="K39" s="39"/>
      <c r="L39" s="39"/>
      <c r="M39" s="39"/>
      <c r="N39" s="39"/>
      <c r="O39" s="39"/>
      <c r="P39" s="39"/>
      <c r="Q39" s="39"/>
      <c r="R39" s="39"/>
      <c r="S39" s="10">
        <f t="shared" si="3"/>
        <v>0</v>
      </c>
      <c r="T39" s="10">
        <v>100000</v>
      </c>
      <c r="U39" s="10">
        <f t="shared" si="5"/>
        <v>0</v>
      </c>
      <c r="V39" s="4"/>
      <c r="Y39" s="4"/>
      <c r="Z39" s="44" t="s">
        <v>57</v>
      </c>
    </row>
    <row r="40" spans="2:26" ht="18.75" hidden="1">
      <c r="B40" s="83"/>
      <c r="C40" s="60"/>
      <c r="D40" s="53"/>
      <c r="E40" s="64"/>
      <c r="F40" s="12">
        <v>0.33333333333333331</v>
      </c>
      <c r="G40" s="67"/>
      <c r="H40" s="68"/>
      <c r="I40" s="36"/>
      <c r="J40" s="9" t="str">
        <f t="shared" si="2"/>
        <v/>
      </c>
      <c r="K40" s="41"/>
      <c r="L40" s="41"/>
      <c r="M40" s="41"/>
      <c r="N40" s="41"/>
      <c r="O40" s="41"/>
      <c r="P40" s="41"/>
      <c r="Q40" s="41"/>
      <c r="R40" s="41"/>
      <c r="S40" s="13">
        <f t="shared" si="3"/>
        <v>0</v>
      </c>
      <c r="T40" s="13">
        <v>100000</v>
      </c>
      <c r="U40" s="13">
        <f t="shared" si="5"/>
        <v>0</v>
      </c>
      <c r="V40" s="4"/>
      <c r="W40" s="4"/>
      <c r="X40" s="4"/>
      <c r="Y40" s="4"/>
      <c r="Z40" s="44" t="s">
        <v>58</v>
      </c>
    </row>
    <row r="41" spans="2:26" ht="37.5" hidden="1">
      <c r="B41" s="82">
        <v>46084</v>
      </c>
      <c r="C41" s="59" t="s">
        <v>17</v>
      </c>
      <c r="D41" s="51" t="s">
        <v>42</v>
      </c>
      <c r="E41" s="62" t="s">
        <v>101</v>
      </c>
      <c r="F41" s="5">
        <v>0.41666666666666669</v>
      </c>
      <c r="G41" s="65" t="s">
        <v>80</v>
      </c>
      <c r="H41" s="66"/>
      <c r="I41" s="34">
        <v>80</v>
      </c>
      <c r="J41" s="6">
        <f t="shared" si="2"/>
        <v>0</v>
      </c>
      <c r="K41" s="38"/>
      <c r="L41" s="38"/>
      <c r="M41" s="38"/>
      <c r="N41" s="38"/>
      <c r="O41" s="38"/>
      <c r="P41" s="38"/>
      <c r="Q41" s="38"/>
      <c r="R41" s="38"/>
      <c r="S41" s="7">
        <f>SUM(K41:R41)</f>
        <v>0</v>
      </c>
      <c r="T41" s="7">
        <v>100000</v>
      </c>
      <c r="U41" s="7">
        <f>T41*S41</f>
        <v>0</v>
      </c>
      <c r="V41" s="4"/>
      <c r="W41" s="4"/>
      <c r="X41" s="4"/>
      <c r="Y41" s="4"/>
      <c r="Z41" s="44" t="s">
        <v>59</v>
      </c>
    </row>
    <row r="42" spans="2:26" ht="37.5" hidden="1">
      <c r="B42" s="82"/>
      <c r="C42" s="60"/>
      <c r="D42" s="52" t="s">
        <v>42</v>
      </c>
      <c r="E42" s="63"/>
      <c r="F42" s="8">
        <v>0.5</v>
      </c>
      <c r="G42" s="67" t="s">
        <v>80</v>
      </c>
      <c r="H42" s="68"/>
      <c r="I42" s="35">
        <v>80</v>
      </c>
      <c r="J42" s="9">
        <f t="shared" si="2"/>
        <v>0</v>
      </c>
      <c r="K42" s="39"/>
      <c r="L42" s="39"/>
      <c r="M42" s="39"/>
      <c r="N42" s="39"/>
      <c r="O42" s="39"/>
      <c r="P42" s="39"/>
      <c r="Q42" s="39"/>
      <c r="R42" s="39"/>
      <c r="S42" s="10">
        <f t="shared" ref="S42:S52" si="6">SUM(K42:R42)</f>
        <v>0</v>
      </c>
      <c r="T42" s="10">
        <v>100000</v>
      </c>
      <c r="U42" s="10">
        <f t="shared" ref="U42:U43" si="7">T42*S42</f>
        <v>0</v>
      </c>
      <c r="V42" s="4"/>
      <c r="W42" s="4"/>
      <c r="X42" s="4"/>
      <c r="Y42" s="4"/>
      <c r="Z42" s="44" t="s">
        <v>60</v>
      </c>
    </row>
    <row r="43" spans="2:26" ht="37.5" hidden="1">
      <c r="B43" s="82"/>
      <c r="C43" s="60"/>
      <c r="D43" s="52" t="s">
        <v>42</v>
      </c>
      <c r="E43" s="63"/>
      <c r="F43" s="8">
        <v>0.58333333333333337</v>
      </c>
      <c r="G43" s="67" t="s">
        <v>80</v>
      </c>
      <c r="H43" s="68"/>
      <c r="I43" s="35">
        <v>49</v>
      </c>
      <c r="J43" s="9">
        <f t="shared" si="2"/>
        <v>0</v>
      </c>
      <c r="K43" s="39"/>
      <c r="L43" s="39"/>
      <c r="M43" s="39"/>
      <c r="N43" s="39"/>
      <c r="O43" s="39"/>
      <c r="P43" s="39"/>
      <c r="Q43" s="39"/>
      <c r="R43" s="39"/>
      <c r="S43" s="10">
        <f t="shared" si="6"/>
        <v>0</v>
      </c>
      <c r="T43" s="10">
        <v>100000</v>
      </c>
      <c r="U43" s="10">
        <f t="shared" si="7"/>
        <v>0</v>
      </c>
      <c r="V43" s="4"/>
      <c r="W43" s="4"/>
      <c r="X43" s="4"/>
      <c r="Y43" s="4"/>
      <c r="Z43" s="44" t="s">
        <v>42</v>
      </c>
    </row>
    <row r="44" spans="2:26" ht="18.75" hidden="1">
      <c r="B44" s="82"/>
      <c r="C44" s="60"/>
      <c r="D44" s="52"/>
      <c r="E44" s="63"/>
      <c r="F44" s="8">
        <v>0.66666666666666663</v>
      </c>
      <c r="G44" s="67"/>
      <c r="H44" s="68"/>
      <c r="I44" s="35"/>
      <c r="J44" s="9" t="str">
        <f t="shared" si="2"/>
        <v/>
      </c>
      <c r="K44" s="39"/>
      <c r="L44" s="39"/>
      <c r="M44" s="39"/>
      <c r="N44" s="39"/>
      <c r="O44" s="39"/>
      <c r="P44" s="39"/>
      <c r="Q44" s="39"/>
      <c r="R44" s="39"/>
      <c r="S44" s="10">
        <f t="shared" si="6"/>
        <v>0</v>
      </c>
      <c r="T44" s="10">
        <v>100000</v>
      </c>
      <c r="U44" s="10">
        <f>T44*S44</f>
        <v>0</v>
      </c>
      <c r="V44" s="4"/>
      <c r="W44" s="4"/>
      <c r="X44" s="4"/>
      <c r="Y44" s="4"/>
      <c r="Z44" s="44" t="s">
        <v>43</v>
      </c>
    </row>
    <row r="45" spans="2:26" ht="18.75" hidden="1">
      <c r="B45" s="82"/>
      <c r="C45" s="60"/>
      <c r="D45" s="52"/>
      <c r="E45" s="63"/>
      <c r="F45" s="8">
        <v>0.75</v>
      </c>
      <c r="G45" s="67"/>
      <c r="H45" s="68"/>
      <c r="I45" s="35"/>
      <c r="J45" s="9" t="str">
        <f t="shared" si="2"/>
        <v/>
      </c>
      <c r="K45" s="39"/>
      <c r="L45" s="39"/>
      <c r="M45" s="39"/>
      <c r="N45" s="39"/>
      <c r="O45" s="39"/>
      <c r="P45" s="39"/>
      <c r="Q45" s="39"/>
      <c r="R45" s="39"/>
      <c r="S45" s="10">
        <f t="shared" si="6"/>
        <v>0</v>
      </c>
      <c r="T45" s="10">
        <v>100000</v>
      </c>
      <c r="U45" s="10">
        <f t="shared" ref="U45:U52" si="8">T45*S45</f>
        <v>0</v>
      </c>
      <c r="V45" s="4"/>
      <c r="W45" s="4"/>
      <c r="X45" s="11"/>
      <c r="Y45" s="4"/>
      <c r="Z45" s="45"/>
    </row>
    <row r="46" spans="2:26" ht="18.75" hidden="1">
      <c r="B46" s="82"/>
      <c r="C46" s="60"/>
      <c r="D46" s="53"/>
      <c r="E46" s="64"/>
      <c r="F46" s="12">
        <v>0.83333333333333337</v>
      </c>
      <c r="G46" s="67"/>
      <c r="H46" s="68"/>
      <c r="I46" s="36"/>
      <c r="J46" s="9" t="str">
        <f t="shared" si="2"/>
        <v/>
      </c>
      <c r="K46" s="41"/>
      <c r="L46" s="41"/>
      <c r="M46" s="41"/>
      <c r="N46" s="41"/>
      <c r="O46" s="41"/>
      <c r="P46" s="41"/>
      <c r="Q46" s="41"/>
      <c r="R46" s="41"/>
      <c r="S46" s="13">
        <f t="shared" si="6"/>
        <v>0</v>
      </c>
      <c r="T46" s="13">
        <v>100000</v>
      </c>
      <c r="U46" s="13">
        <f t="shared" si="8"/>
        <v>0</v>
      </c>
      <c r="V46" s="4"/>
      <c r="Y46" s="4"/>
      <c r="Z46" s="45"/>
    </row>
    <row r="47" spans="2:26" ht="18.75" hidden="1">
      <c r="B47" s="82"/>
      <c r="C47" s="60"/>
      <c r="D47" s="51"/>
      <c r="E47" s="62" t="s">
        <v>102</v>
      </c>
      <c r="F47" s="5">
        <v>0.91666666666666663</v>
      </c>
      <c r="G47" s="65"/>
      <c r="H47" s="66"/>
      <c r="I47" s="34"/>
      <c r="J47" s="6" t="str">
        <f t="shared" si="2"/>
        <v/>
      </c>
      <c r="K47" s="38"/>
      <c r="L47" s="38"/>
      <c r="M47" s="38"/>
      <c r="N47" s="38"/>
      <c r="O47" s="38"/>
      <c r="P47" s="38"/>
      <c r="Q47" s="38"/>
      <c r="R47" s="38"/>
      <c r="S47" s="7">
        <f t="shared" si="6"/>
        <v>0</v>
      </c>
      <c r="T47" s="7">
        <v>100000</v>
      </c>
      <c r="U47" s="7">
        <f t="shared" si="8"/>
        <v>0</v>
      </c>
      <c r="V47" s="4"/>
      <c r="Y47" s="4"/>
      <c r="Z47" s="45"/>
    </row>
    <row r="48" spans="2:26" ht="18.75" hidden="1">
      <c r="B48" s="82"/>
      <c r="C48" s="60"/>
      <c r="D48" s="52"/>
      <c r="E48" s="63"/>
      <c r="F48" s="8">
        <v>1</v>
      </c>
      <c r="G48" s="67"/>
      <c r="H48" s="68"/>
      <c r="I48" s="35"/>
      <c r="J48" s="9" t="str">
        <f t="shared" si="2"/>
        <v/>
      </c>
      <c r="K48" s="39"/>
      <c r="L48" s="39"/>
      <c r="M48" s="39"/>
      <c r="N48" s="39"/>
      <c r="O48" s="39"/>
      <c r="P48" s="39"/>
      <c r="Q48" s="39"/>
      <c r="R48" s="39"/>
      <c r="S48" s="10">
        <f t="shared" si="6"/>
        <v>0</v>
      </c>
      <c r="T48" s="10">
        <v>100000</v>
      </c>
      <c r="U48" s="10">
        <f t="shared" si="8"/>
        <v>0</v>
      </c>
      <c r="V48" s="4"/>
      <c r="Y48" s="4"/>
      <c r="Z48" s="45"/>
    </row>
    <row r="49" spans="2:26" ht="18.75" hidden="1">
      <c r="B49" s="82"/>
      <c r="C49" s="60"/>
      <c r="D49" s="52"/>
      <c r="E49" s="63"/>
      <c r="F49" s="8">
        <v>8.3333333333333329E-2</v>
      </c>
      <c r="G49" s="67"/>
      <c r="H49" s="68"/>
      <c r="I49" s="35"/>
      <c r="J49" s="9" t="str">
        <f t="shared" si="2"/>
        <v/>
      </c>
      <c r="K49" s="39"/>
      <c r="L49" s="39"/>
      <c r="M49" s="39"/>
      <c r="N49" s="39"/>
      <c r="O49" s="39"/>
      <c r="P49" s="39"/>
      <c r="Q49" s="39"/>
      <c r="R49" s="39"/>
      <c r="S49" s="10">
        <f t="shared" si="6"/>
        <v>0</v>
      </c>
      <c r="T49" s="10">
        <v>100000</v>
      </c>
      <c r="U49" s="10">
        <f t="shared" si="8"/>
        <v>0</v>
      </c>
      <c r="V49" s="4"/>
      <c r="Y49" s="4"/>
      <c r="Z49" s="45"/>
    </row>
    <row r="50" spans="2:26" ht="18.75" hidden="1">
      <c r="B50" s="82"/>
      <c r="C50" s="60"/>
      <c r="D50" s="52"/>
      <c r="E50" s="63"/>
      <c r="F50" s="8">
        <v>0.16666666666666666</v>
      </c>
      <c r="G50" s="67"/>
      <c r="H50" s="68"/>
      <c r="I50" s="35"/>
      <c r="J50" s="9" t="str">
        <f t="shared" si="2"/>
        <v/>
      </c>
      <c r="K50" s="39"/>
      <c r="L50" s="39"/>
      <c r="M50" s="39"/>
      <c r="N50" s="39"/>
      <c r="O50" s="39"/>
      <c r="P50" s="39"/>
      <c r="Q50" s="39"/>
      <c r="R50" s="39"/>
      <c r="S50" s="10">
        <f t="shared" si="6"/>
        <v>0</v>
      </c>
      <c r="T50" s="10">
        <v>100000</v>
      </c>
      <c r="U50" s="10">
        <f t="shared" si="8"/>
        <v>0</v>
      </c>
      <c r="V50" s="4"/>
      <c r="W50" s="4"/>
      <c r="X50" s="4"/>
      <c r="Y50" s="4"/>
      <c r="Z50" s="45"/>
    </row>
    <row r="51" spans="2:26" ht="18.75" hidden="1">
      <c r="B51" s="82"/>
      <c r="C51" s="60"/>
      <c r="D51" s="52"/>
      <c r="E51" s="63"/>
      <c r="F51" s="8">
        <v>0.25</v>
      </c>
      <c r="G51" s="67"/>
      <c r="H51" s="68"/>
      <c r="I51" s="35"/>
      <c r="J51" s="9" t="str">
        <f t="shared" si="2"/>
        <v/>
      </c>
      <c r="K51" s="39"/>
      <c r="L51" s="39"/>
      <c r="M51" s="39"/>
      <c r="N51" s="39"/>
      <c r="O51" s="39"/>
      <c r="P51" s="39"/>
      <c r="Q51" s="39"/>
      <c r="R51" s="39"/>
      <c r="S51" s="10">
        <f t="shared" si="6"/>
        <v>0</v>
      </c>
      <c r="T51" s="10">
        <v>100000</v>
      </c>
      <c r="U51" s="10">
        <f t="shared" si="8"/>
        <v>0</v>
      </c>
      <c r="V51" s="4"/>
      <c r="Y51" s="4"/>
      <c r="Z51" s="45"/>
    </row>
    <row r="52" spans="2:26" ht="18.75" hidden="1">
      <c r="B52" s="82"/>
      <c r="C52" s="60"/>
      <c r="D52" s="53"/>
      <c r="E52" s="64"/>
      <c r="F52" s="12">
        <v>0.33333333333333331</v>
      </c>
      <c r="G52" s="67"/>
      <c r="H52" s="68"/>
      <c r="I52" s="36"/>
      <c r="J52" s="9" t="str">
        <f t="shared" si="2"/>
        <v/>
      </c>
      <c r="K52" s="41"/>
      <c r="L52" s="41"/>
      <c r="M52" s="41"/>
      <c r="N52" s="41"/>
      <c r="O52" s="41"/>
      <c r="P52" s="41"/>
      <c r="Q52" s="41"/>
      <c r="R52" s="41"/>
      <c r="S52" s="13">
        <f t="shared" si="6"/>
        <v>0</v>
      </c>
      <c r="T52" s="13">
        <v>100000</v>
      </c>
      <c r="U52" s="13">
        <f t="shared" si="8"/>
        <v>0</v>
      </c>
      <c r="V52" s="4"/>
      <c r="W52" s="4"/>
      <c r="X52" s="4"/>
      <c r="Y52" s="4"/>
      <c r="Z52" s="45"/>
    </row>
    <row r="53" spans="2:26" ht="33" hidden="1" customHeight="1">
      <c r="B53" s="58">
        <v>46085</v>
      </c>
      <c r="C53" s="59" t="s">
        <v>17</v>
      </c>
      <c r="D53" s="51" t="s">
        <v>42</v>
      </c>
      <c r="E53" s="62" t="s">
        <v>101</v>
      </c>
      <c r="F53" s="5">
        <v>0.41666666666666669</v>
      </c>
      <c r="G53" s="65" t="s">
        <v>80</v>
      </c>
      <c r="H53" s="66"/>
      <c r="I53" s="34">
        <v>15</v>
      </c>
      <c r="J53" s="6">
        <f t="shared" si="2"/>
        <v>0.46666666666666667</v>
      </c>
      <c r="K53" s="38"/>
      <c r="L53" s="38"/>
      <c r="M53" s="38">
        <v>2</v>
      </c>
      <c r="N53" s="38"/>
      <c r="O53" s="38"/>
      <c r="P53" s="38"/>
      <c r="Q53" s="38">
        <v>5</v>
      </c>
      <c r="R53" s="38"/>
      <c r="S53" s="7">
        <f>SUM(K53:R53)</f>
        <v>7</v>
      </c>
      <c r="T53" s="7">
        <v>100000</v>
      </c>
      <c r="U53" s="7">
        <f>T53*S53</f>
        <v>700000</v>
      </c>
      <c r="V53" s="4"/>
      <c r="W53" s="4"/>
      <c r="X53" s="4"/>
      <c r="Y53" s="4"/>
      <c r="Z53" s="45"/>
    </row>
    <row r="54" spans="2:26" ht="37.5" hidden="1">
      <c r="B54" s="58"/>
      <c r="C54" s="60"/>
      <c r="D54" s="52" t="s">
        <v>42</v>
      </c>
      <c r="E54" s="63"/>
      <c r="F54" s="8">
        <v>0.5</v>
      </c>
      <c r="G54" s="67" t="s">
        <v>80</v>
      </c>
      <c r="H54" s="68"/>
      <c r="I54" s="35">
        <v>30</v>
      </c>
      <c r="J54" s="9">
        <f t="shared" si="2"/>
        <v>0.1</v>
      </c>
      <c r="K54" s="39"/>
      <c r="L54" s="39"/>
      <c r="M54" s="39">
        <v>3</v>
      </c>
      <c r="N54" s="39"/>
      <c r="O54" s="39"/>
      <c r="P54" s="39"/>
      <c r="Q54" s="39"/>
      <c r="R54" s="39"/>
      <c r="S54" s="10">
        <f t="shared" ref="S54:S64" si="9">SUM(K54:R54)</f>
        <v>3</v>
      </c>
      <c r="T54" s="10">
        <v>100000</v>
      </c>
      <c r="U54" s="10">
        <f t="shared" ref="U54:U55" si="10">T54*S54</f>
        <v>300000</v>
      </c>
      <c r="V54" s="4"/>
      <c r="W54" s="4"/>
      <c r="X54" s="4"/>
      <c r="Y54" s="4"/>
      <c r="Z54" s="45"/>
    </row>
    <row r="55" spans="2:26" ht="37.5" hidden="1">
      <c r="B55" s="58"/>
      <c r="C55" s="60"/>
      <c r="D55" s="52" t="s">
        <v>42</v>
      </c>
      <c r="E55" s="63"/>
      <c r="F55" s="8">
        <v>0.58333333333333337</v>
      </c>
      <c r="G55" s="67" t="s">
        <v>80</v>
      </c>
      <c r="H55" s="68"/>
      <c r="I55" s="35">
        <v>65</v>
      </c>
      <c r="J55" s="9">
        <f t="shared" si="2"/>
        <v>7.6923076923076927E-2</v>
      </c>
      <c r="K55" s="39"/>
      <c r="L55" s="39"/>
      <c r="M55" s="39"/>
      <c r="N55" s="39"/>
      <c r="O55" s="39"/>
      <c r="P55" s="39"/>
      <c r="Q55" s="39"/>
      <c r="R55" s="39">
        <v>5</v>
      </c>
      <c r="S55" s="10">
        <f t="shared" si="9"/>
        <v>5</v>
      </c>
      <c r="T55" s="10">
        <v>100000</v>
      </c>
      <c r="U55" s="10">
        <f t="shared" si="10"/>
        <v>500000</v>
      </c>
      <c r="V55" s="4"/>
      <c r="W55" s="4"/>
      <c r="X55" s="4"/>
      <c r="Y55" s="4"/>
      <c r="Z55" s="45"/>
    </row>
    <row r="56" spans="2:26" ht="37.5" hidden="1">
      <c r="B56" s="58"/>
      <c r="C56" s="60"/>
      <c r="D56" s="52" t="s">
        <v>42</v>
      </c>
      <c r="E56" s="63"/>
      <c r="F56" s="8">
        <v>0.66666666666666663</v>
      </c>
      <c r="G56" s="67" t="s">
        <v>80</v>
      </c>
      <c r="H56" s="68"/>
      <c r="I56" s="35">
        <v>70</v>
      </c>
      <c r="J56" s="9">
        <f t="shared" si="2"/>
        <v>2.8571428571428571E-2</v>
      </c>
      <c r="K56" s="39"/>
      <c r="L56" s="39"/>
      <c r="M56" s="39"/>
      <c r="N56" s="39"/>
      <c r="O56" s="39"/>
      <c r="P56" s="39"/>
      <c r="Q56" s="39"/>
      <c r="R56" s="39">
        <v>2</v>
      </c>
      <c r="S56" s="10">
        <f t="shared" si="9"/>
        <v>2</v>
      </c>
      <c r="T56" s="10">
        <v>100000</v>
      </c>
      <c r="U56" s="10">
        <f>T56*S56</f>
        <v>200000</v>
      </c>
      <c r="V56" s="4"/>
      <c r="W56" s="4"/>
      <c r="X56" s="4"/>
      <c r="Y56" s="4"/>
      <c r="Z56" s="45"/>
    </row>
    <row r="57" spans="2:26" ht="37.5" hidden="1">
      <c r="B57" s="58"/>
      <c r="C57" s="60"/>
      <c r="D57" s="52" t="s">
        <v>42</v>
      </c>
      <c r="E57" s="63"/>
      <c r="F57" s="8">
        <v>0.75</v>
      </c>
      <c r="G57" s="67" t="s">
        <v>80</v>
      </c>
      <c r="H57" s="68"/>
      <c r="I57" s="35">
        <v>13</v>
      </c>
      <c r="J57" s="9">
        <f t="shared" si="2"/>
        <v>0.30769230769230771</v>
      </c>
      <c r="K57" s="39"/>
      <c r="L57" s="39"/>
      <c r="M57" s="39">
        <v>4</v>
      </c>
      <c r="N57" s="39"/>
      <c r="O57" s="39"/>
      <c r="P57" s="39"/>
      <c r="Q57" s="39"/>
      <c r="R57" s="39"/>
      <c r="S57" s="10">
        <f t="shared" si="9"/>
        <v>4</v>
      </c>
      <c r="T57" s="10">
        <v>100000</v>
      </c>
      <c r="U57" s="10">
        <f t="shared" ref="U57:U64" si="11">T57*S57</f>
        <v>400000</v>
      </c>
      <c r="V57" s="4"/>
      <c r="W57" s="4"/>
      <c r="X57" s="11"/>
      <c r="Y57" s="4"/>
      <c r="Z57" s="45"/>
    </row>
    <row r="58" spans="2:26" ht="37.5" hidden="1">
      <c r="B58" s="58"/>
      <c r="C58" s="60"/>
      <c r="D58" s="53" t="s">
        <v>42</v>
      </c>
      <c r="E58" s="64"/>
      <c r="F58" s="12">
        <v>0.83333333333333337</v>
      </c>
      <c r="G58" s="67" t="s">
        <v>80</v>
      </c>
      <c r="H58" s="68"/>
      <c r="I58" s="36">
        <v>34</v>
      </c>
      <c r="J58" s="9">
        <f t="shared" si="2"/>
        <v>0.11764705882352941</v>
      </c>
      <c r="K58" s="41"/>
      <c r="L58" s="41"/>
      <c r="M58" s="41">
        <v>4</v>
      </c>
      <c r="N58" s="41"/>
      <c r="O58" s="41"/>
      <c r="P58" s="41"/>
      <c r="Q58" s="41"/>
      <c r="R58" s="41"/>
      <c r="S58" s="13">
        <f t="shared" si="9"/>
        <v>4</v>
      </c>
      <c r="T58" s="13">
        <v>100000</v>
      </c>
      <c r="U58" s="13">
        <f t="shared" si="11"/>
        <v>400000</v>
      </c>
      <c r="V58" s="4"/>
      <c r="Y58" s="4"/>
      <c r="Z58" s="45"/>
    </row>
    <row r="59" spans="2:26" ht="37.5" hidden="1">
      <c r="B59" s="58"/>
      <c r="C59" s="60"/>
      <c r="D59" s="51" t="s">
        <v>42</v>
      </c>
      <c r="E59" s="62" t="s">
        <v>102</v>
      </c>
      <c r="F59" s="5">
        <v>0.91666666666666663</v>
      </c>
      <c r="G59" s="65" t="s">
        <v>84</v>
      </c>
      <c r="H59" s="66"/>
      <c r="I59" s="34">
        <v>70</v>
      </c>
      <c r="J59" s="6">
        <f t="shared" si="2"/>
        <v>5.7142857142857141E-2</v>
      </c>
      <c r="K59" s="38"/>
      <c r="L59" s="38"/>
      <c r="M59" s="38">
        <v>1</v>
      </c>
      <c r="N59" s="38"/>
      <c r="O59" s="38"/>
      <c r="P59" s="38"/>
      <c r="Q59" s="38">
        <v>3</v>
      </c>
      <c r="R59" s="38"/>
      <c r="S59" s="7">
        <f t="shared" si="9"/>
        <v>4</v>
      </c>
      <c r="T59" s="7">
        <v>100000</v>
      </c>
      <c r="U59" s="7">
        <f t="shared" si="11"/>
        <v>400000</v>
      </c>
      <c r="V59" s="4"/>
      <c r="Y59" s="4"/>
      <c r="Z59" s="45"/>
    </row>
    <row r="60" spans="2:26" ht="37.5" hidden="1">
      <c r="B60" s="58"/>
      <c r="C60" s="60"/>
      <c r="D60" s="52" t="s">
        <v>42</v>
      </c>
      <c r="E60" s="63"/>
      <c r="F60" s="8">
        <v>1</v>
      </c>
      <c r="G60" s="67" t="s">
        <v>84</v>
      </c>
      <c r="H60" s="68"/>
      <c r="I60" s="35">
        <v>32</v>
      </c>
      <c r="J60" s="9">
        <f t="shared" si="2"/>
        <v>3.125E-2</v>
      </c>
      <c r="K60" s="39"/>
      <c r="L60" s="39"/>
      <c r="M60" s="39">
        <v>1</v>
      </c>
      <c r="N60" s="39"/>
      <c r="O60" s="39"/>
      <c r="P60" s="39"/>
      <c r="Q60" s="39"/>
      <c r="R60" s="39"/>
      <c r="S60" s="10">
        <f t="shared" si="9"/>
        <v>1</v>
      </c>
      <c r="T60" s="10">
        <v>100000</v>
      </c>
      <c r="U60" s="10">
        <f t="shared" si="11"/>
        <v>100000</v>
      </c>
      <c r="V60" s="4"/>
      <c r="Y60" s="4"/>
      <c r="Z60" s="45"/>
    </row>
    <row r="61" spans="2:26" ht="37.5" hidden="1">
      <c r="B61" s="58"/>
      <c r="C61" s="60"/>
      <c r="D61" s="52" t="s">
        <v>42</v>
      </c>
      <c r="E61" s="63"/>
      <c r="F61" s="8">
        <v>8.3333333333333329E-2</v>
      </c>
      <c r="G61" s="67" t="s">
        <v>84</v>
      </c>
      <c r="H61" s="68"/>
      <c r="I61" s="35">
        <v>70</v>
      </c>
      <c r="J61" s="9">
        <f t="shared" si="2"/>
        <v>1.4285714285714285E-2</v>
      </c>
      <c r="K61" s="39"/>
      <c r="L61" s="39"/>
      <c r="M61" s="39">
        <v>1</v>
      </c>
      <c r="N61" s="39"/>
      <c r="O61" s="39"/>
      <c r="P61" s="39"/>
      <c r="Q61" s="39"/>
      <c r="R61" s="39"/>
      <c r="S61" s="10">
        <f t="shared" si="9"/>
        <v>1</v>
      </c>
      <c r="T61" s="10">
        <v>100000</v>
      </c>
      <c r="U61" s="10">
        <f t="shared" si="11"/>
        <v>100000</v>
      </c>
      <c r="V61" s="4"/>
      <c r="Y61" s="4"/>
      <c r="Z61" s="46"/>
    </row>
    <row r="62" spans="2:26" ht="37.5" hidden="1">
      <c r="B62" s="58"/>
      <c r="C62" s="60"/>
      <c r="D62" s="52" t="s">
        <v>42</v>
      </c>
      <c r="E62" s="63"/>
      <c r="F62" s="8">
        <v>0.16666666666666666</v>
      </c>
      <c r="G62" s="67" t="s">
        <v>84</v>
      </c>
      <c r="H62" s="68"/>
      <c r="I62" s="35">
        <v>70</v>
      </c>
      <c r="J62" s="9">
        <f t="shared" si="2"/>
        <v>1.4285714285714285E-2</v>
      </c>
      <c r="K62" s="39"/>
      <c r="L62" s="39"/>
      <c r="M62" s="39">
        <v>1</v>
      </c>
      <c r="N62" s="39"/>
      <c r="O62" s="39"/>
      <c r="P62" s="39"/>
      <c r="Q62" s="39"/>
      <c r="R62" s="39"/>
      <c r="S62" s="10">
        <f t="shared" si="9"/>
        <v>1</v>
      </c>
      <c r="T62" s="10">
        <v>100000</v>
      </c>
      <c r="U62" s="10">
        <f t="shared" si="11"/>
        <v>100000</v>
      </c>
      <c r="V62" s="4"/>
      <c r="W62" s="4"/>
      <c r="X62" s="4"/>
      <c r="Y62" s="4"/>
    </row>
    <row r="63" spans="2:26" ht="37.5" hidden="1">
      <c r="B63" s="58"/>
      <c r="C63" s="60"/>
      <c r="D63" s="52" t="s">
        <v>42</v>
      </c>
      <c r="E63" s="63"/>
      <c r="F63" s="8">
        <v>0.25</v>
      </c>
      <c r="G63" s="67" t="s">
        <v>84</v>
      </c>
      <c r="H63" s="68"/>
      <c r="I63" s="35">
        <v>30</v>
      </c>
      <c r="J63" s="9">
        <f t="shared" si="2"/>
        <v>3.3333333333333333E-2</v>
      </c>
      <c r="K63" s="39"/>
      <c r="L63" s="39"/>
      <c r="M63" s="39">
        <v>1</v>
      </c>
      <c r="N63" s="39"/>
      <c r="O63" s="39"/>
      <c r="P63" s="39"/>
      <c r="Q63" s="39"/>
      <c r="R63" s="39"/>
      <c r="S63" s="10">
        <f t="shared" si="9"/>
        <v>1</v>
      </c>
      <c r="T63" s="10">
        <v>100000</v>
      </c>
      <c r="U63" s="10">
        <f t="shared" si="11"/>
        <v>100000</v>
      </c>
      <c r="V63" s="4"/>
      <c r="Y63" s="4"/>
    </row>
    <row r="64" spans="2:26" ht="37.5" hidden="1">
      <c r="B64" s="58"/>
      <c r="C64" s="60"/>
      <c r="D64" s="53" t="s">
        <v>42</v>
      </c>
      <c r="E64" s="64"/>
      <c r="F64" s="14">
        <v>0.33333333333333331</v>
      </c>
      <c r="G64" s="67" t="s">
        <v>84</v>
      </c>
      <c r="H64" s="68"/>
      <c r="I64" s="37">
        <v>70</v>
      </c>
      <c r="J64" s="9">
        <f t="shared" si="2"/>
        <v>1.4285714285714285E-2</v>
      </c>
      <c r="K64" s="40"/>
      <c r="L64" s="40"/>
      <c r="M64" s="40">
        <v>1</v>
      </c>
      <c r="N64" s="40"/>
      <c r="O64" s="40"/>
      <c r="P64" s="40"/>
      <c r="Q64" s="40"/>
      <c r="R64" s="40"/>
      <c r="S64" s="16">
        <f t="shared" si="9"/>
        <v>1</v>
      </c>
      <c r="T64" s="16">
        <v>100000</v>
      </c>
      <c r="U64" s="16">
        <f t="shared" si="11"/>
        <v>100000</v>
      </c>
      <c r="V64" s="4"/>
      <c r="W64" s="4"/>
      <c r="X64" s="4"/>
      <c r="Y64" s="4"/>
    </row>
    <row r="65" spans="2:25" ht="42.75" hidden="1" customHeight="1">
      <c r="B65" s="58">
        <v>46086</v>
      </c>
      <c r="C65" s="59" t="s">
        <v>17</v>
      </c>
      <c r="D65" s="51" t="s">
        <v>43</v>
      </c>
      <c r="E65" s="62" t="s">
        <v>101</v>
      </c>
      <c r="F65" s="5">
        <v>0.41666666666666669</v>
      </c>
      <c r="G65" s="65" t="s">
        <v>98</v>
      </c>
      <c r="H65" s="66"/>
      <c r="I65" s="34"/>
      <c r="J65" s="6" t="str">
        <f t="shared" si="2"/>
        <v/>
      </c>
      <c r="K65" s="38"/>
      <c r="L65" s="38"/>
      <c r="M65" s="38"/>
      <c r="N65" s="38"/>
      <c r="O65" s="38"/>
      <c r="P65" s="38"/>
      <c r="Q65" s="38">
        <v>10</v>
      </c>
      <c r="R65" s="38"/>
      <c r="S65" s="7">
        <f>SUM(K65:R65)</f>
        <v>10</v>
      </c>
      <c r="T65" s="7">
        <v>100000</v>
      </c>
      <c r="U65" s="7">
        <f>T65*S65</f>
        <v>1000000</v>
      </c>
      <c r="V65" s="4"/>
      <c r="W65" s="4"/>
      <c r="X65" s="4"/>
      <c r="Y65" s="4"/>
    </row>
    <row r="66" spans="2:25" ht="37.5" hidden="1">
      <c r="B66" s="58"/>
      <c r="C66" s="60"/>
      <c r="D66" s="52" t="s">
        <v>43</v>
      </c>
      <c r="E66" s="63"/>
      <c r="F66" s="8">
        <v>0.5</v>
      </c>
      <c r="G66" s="67" t="s">
        <v>98</v>
      </c>
      <c r="H66" s="68"/>
      <c r="I66" s="35"/>
      <c r="J66" s="9" t="str">
        <f t="shared" si="2"/>
        <v/>
      </c>
      <c r="K66" s="39"/>
      <c r="L66" s="39"/>
      <c r="M66" s="39"/>
      <c r="N66" s="39"/>
      <c r="O66" s="39"/>
      <c r="P66" s="39"/>
      <c r="Q66" s="39"/>
      <c r="R66" s="39"/>
      <c r="S66" s="10">
        <f t="shared" ref="S66:S76" si="12">SUM(K66:R66)</f>
        <v>0</v>
      </c>
      <c r="T66" s="10">
        <v>100000</v>
      </c>
      <c r="U66" s="10">
        <f t="shared" ref="U66:U67" si="13">T66*S66</f>
        <v>0</v>
      </c>
      <c r="V66" s="4"/>
      <c r="W66" s="4"/>
      <c r="X66" s="4"/>
      <c r="Y66" s="4"/>
    </row>
    <row r="67" spans="2:25" ht="37.5" hidden="1">
      <c r="B67" s="58"/>
      <c r="C67" s="60"/>
      <c r="D67" s="52" t="s">
        <v>43</v>
      </c>
      <c r="E67" s="63"/>
      <c r="F67" s="8">
        <v>0.58333333333333337</v>
      </c>
      <c r="G67" s="67" t="s">
        <v>98</v>
      </c>
      <c r="H67" s="68"/>
      <c r="I67" s="35">
        <v>20</v>
      </c>
      <c r="J67" s="9">
        <f t="shared" si="2"/>
        <v>0.1</v>
      </c>
      <c r="K67" s="39"/>
      <c r="L67" s="39"/>
      <c r="M67" s="39"/>
      <c r="N67" s="39"/>
      <c r="O67" s="39"/>
      <c r="P67" s="39"/>
      <c r="Q67" s="39"/>
      <c r="R67" s="39">
        <v>2</v>
      </c>
      <c r="S67" s="10">
        <f t="shared" si="12"/>
        <v>2</v>
      </c>
      <c r="T67" s="10">
        <v>100000</v>
      </c>
      <c r="U67" s="10">
        <f t="shared" si="13"/>
        <v>200000</v>
      </c>
      <c r="V67" s="4"/>
      <c r="W67" s="4"/>
      <c r="X67" s="4"/>
      <c r="Y67" s="4"/>
    </row>
    <row r="68" spans="2:25" ht="37.5" hidden="1">
      <c r="B68" s="58"/>
      <c r="C68" s="60"/>
      <c r="D68" s="52" t="s">
        <v>43</v>
      </c>
      <c r="E68" s="63"/>
      <c r="F68" s="8">
        <v>0.66666666666666663</v>
      </c>
      <c r="G68" s="67" t="s">
        <v>98</v>
      </c>
      <c r="H68" s="68"/>
      <c r="I68" s="35">
        <v>48</v>
      </c>
      <c r="J68" s="9">
        <f t="shared" si="2"/>
        <v>2.0833333333333332E-2</v>
      </c>
      <c r="K68" s="39"/>
      <c r="L68" s="39"/>
      <c r="M68" s="39"/>
      <c r="N68" s="39"/>
      <c r="O68" s="39"/>
      <c r="P68" s="39"/>
      <c r="Q68" s="39"/>
      <c r="R68" s="39">
        <v>1</v>
      </c>
      <c r="S68" s="10">
        <f t="shared" si="12"/>
        <v>1</v>
      </c>
      <c r="T68" s="10">
        <v>100000</v>
      </c>
      <c r="U68" s="10">
        <f>T68*S68</f>
        <v>100000</v>
      </c>
      <c r="V68" s="4"/>
      <c r="W68" s="4"/>
      <c r="X68" s="4"/>
      <c r="Y68" s="4"/>
    </row>
    <row r="69" spans="2:25" ht="37.5" hidden="1">
      <c r="B69" s="58"/>
      <c r="C69" s="60"/>
      <c r="D69" s="52" t="s">
        <v>43</v>
      </c>
      <c r="E69" s="63"/>
      <c r="F69" s="8">
        <v>0.75</v>
      </c>
      <c r="G69" s="67" t="s">
        <v>98</v>
      </c>
      <c r="H69" s="68"/>
      <c r="I69" s="35">
        <v>8</v>
      </c>
      <c r="J69" s="9">
        <f t="shared" si="2"/>
        <v>0.625</v>
      </c>
      <c r="K69" s="39"/>
      <c r="L69" s="39"/>
      <c r="M69" s="39"/>
      <c r="N69" s="39"/>
      <c r="O69" s="39"/>
      <c r="P69" s="39"/>
      <c r="Q69" s="39"/>
      <c r="R69" s="39">
        <v>5</v>
      </c>
      <c r="S69" s="10">
        <f t="shared" si="12"/>
        <v>5</v>
      </c>
      <c r="T69" s="10">
        <v>100000</v>
      </c>
      <c r="U69" s="10">
        <f t="shared" ref="U69:U76" si="14">T69*S69</f>
        <v>500000</v>
      </c>
      <c r="V69" s="4"/>
      <c r="W69" s="4"/>
      <c r="X69" s="11"/>
      <c r="Y69" s="4"/>
    </row>
    <row r="70" spans="2:25" ht="37.5" hidden="1">
      <c r="B70" s="58"/>
      <c r="C70" s="60"/>
      <c r="D70" s="53" t="s">
        <v>43</v>
      </c>
      <c r="E70" s="64"/>
      <c r="F70" s="12">
        <v>0.83333333333333337</v>
      </c>
      <c r="G70" s="67" t="s">
        <v>98</v>
      </c>
      <c r="H70" s="68"/>
      <c r="I70" s="36"/>
      <c r="J70" s="9" t="str">
        <f t="shared" si="2"/>
        <v/>
      </c>
      <c r="K70" s="41"/>
      <c r="L70" s="41"/>
      <c r="M70" s="41"/>
      <c r="N70" s="41"/>
      <c r="O70" s="41"/>
      <c r="P70" s="41"/>
      <c r="Q70" s="41"/>
      <c r="R70" s="41"/>
      <c r="S70" s="13">
        <f t="shared" si="12"/>
        <v>0</v>
      </c>
      <c r="T70" s="13">
        <v>100000</v>
      </c>
      <c r="U70" s="13">
        <f t="shared" si="14"/>
        <v>0</v>
      </c>
      <c r="V70" s="4"/>
      <c r="Y70" s="4"/>
    </row>
    <row r="71" spans="2:25" ht="37.5" hidden="1">
      <c r="B71" s="58"/>
      <c r="C71" s="60"/>
      <c r="D71" s="51" t="s">
        <v>43</v>
      </c>
      <c r="E71" s="62" t="s">
        <v>102</v>
      </c>
      <c r="F71" s="5">
        <v>0.91666666666666663</v>
      </c>
      <c r="G71" s="65" t="s">
        <v>82</v>
      </c>
      <c r="H71" s="66"/>
      <c r="I71" s="34">
        <v>48</v>
      </c>
      <c r="J71" s="6">
        <f t="shared" si="2"/>
        <v>2.0833333333333332E-2</v>
      </c>
      <c r="K71" s="38">
        <v>1</v>
      </c>
      <c r="L71" s="38"/>
      <c r="M71" s="38"/>
      <c r="N71" s="38"/>
      <c r="O71" s="38"/>
      <c r="P71" s="38"/>
      <c r="Q71" s="38"/>
      <c r="R71" s="38"/>
      <c r="S71" s="7">
        <f t="shared" si="12"/>
        <v>1</v>
      </c>
      <c r="T71" s="7">
        <v>100000</v>
      </c>
      <c r="U71" s="7">
        <f t="shared" si="14"/>
        <v>100000</v>
      </c>
      <c r="V71" s="4"/>
      <c r="Y71" s="4"/>
    </row>
    <row r="72" spans="2:25" ht="37.5" hidden="1">
      <c r="B72" s="58"/>
      <c r="C72" s="60"/>
      <c r="D72" s="52" t="s">
        <v>43</v>
      </c>
      <c r="E72" s="63"/>
      <c r="F72" s="8">
        <v>1</v>
      </c>
      <c r="G72" s="67" t="s">
        <v>82</v>
      </c>
      <c r="H72" s="68"/>
      <c r="I72" s="35">
        <v>16</v>
      </c>
      <c r="J72" s="9">
        <f t="shared" si="2"/>
        <v>6.25E-2</v>
      </c>
      <c r="K72" s="39">
        <v>1</v>
      </c>
      <c r="L72" s="39"/>
      <c r="M72" s="39"/>
      <c r="N72" s="39"/>
      <c r="O72" s="39"/>
      <c r="P72" s="39"/>
      <c r="Q72" s="39"/>
      <c r="R72" s="39"/>
      <c r="S72" s="10">
        <f t="shared" si="12"/>
        <v>1</v>
      </c>
      <c r="T72" s="10">
        <v>100000</v>
      </c>
      <c r="U72" s="10">
        <f t="shared" si="14"/>
        <v>100000</v>
      </c>
      <c r="V72" s="4"/>
      <c r="Y72" s="4"/>
    </row>
    <row r="73" spans="2:25" ht="37.5" hidden="1">
      <c r="B73" s="58"/>
      <c r="C73" s="60"/>
      <c r="D73" s="52" t="s">
        <v>43</v>
      </c>
      <c r="E73" s="63"/>
      <c r="F73" s="8">
        <v>8.3333333333333329E-2</v>
      </c>
      <c r="G73" s="67" t="s">
        <v>82</v>
      </c>
      <c r="H73" s="68"/>
      <c r="I73" s="35">
        <v>48</v>
      </c>
      <c r="J73" s="9">
        <f t="shared" si="2"/>
        <v>2.0833333333333332E-2</v>
      </c>
      <c r="K73" s="39">
        <v>1</v>
      </c>
      <c r="L73" s="39"/>
      <c r="M73" s="39"/>
      <c r="N73" s="39"/>
      <c r="O73" s="39"/>
      <c r="P73" s="39"/>
      <c r="Q73" s="39"/>
      <c r="R73" s="39"/>
      <c r="S73" s="10">
        <f t="shared" si="12"/>
        <v>1</v>
      </c>
      <c r="T73" s="10">
        <v>100000</v>
      </c>
      <c r="U73" s="10">
        <f t="shared" si="14"/>
        <v>100000</v>
      </c>
      <c r="V73" s="4"/>
      <c r="Y73" s="4"/>
    </row>
    <row r="74" spans="2:25" ht="37.5" hidden="1">
      <c r="B74" s="58"/>
      <c r="C74" s="60"/>
      <c r="D74" s="52" t="s">
        <v>43</v>
      </c>
      <c r="E74" s="63"/>
      <c r="F74" s="8">
        <v>0.16666666666666666</v>
      </c>
      <c r="G74" s="67" t="s">
        <v>82</v>
      </c>
      <c r="H74" s="68"/>
      <c r="I74" s="35">
        <v>48</v>
      </c>
      <c r="J74" s="9">
        <f t="shared" si="2"/>
        <v>2.0833333333333332E-2</v>
      </c>
      <c r="K74" s="39">
        <v>1</v>
      </c>
      <c r="L74" s="39"/>
      <c r="M74" s="39"/>
      <c r="N74" s="39"/>
      <c r="O74" s="39"/>
      <c r="P74" s="39"/>
      <c r="Q74" s="39"/>
      <c r="R74" s="39"/>
      <c r="S74" s="10">
        <f t="shared" si="12"/>
        <v>1</v>
      </c>
      <c r="T74" s="10">
        <v>100000</v>
      </c>
      <c r="U74" s="10">
        <f t="shared" si="14"/>
        <v>100000</v>
      </c>
      <c r="V74" s="4"/>
      <c r="W74" s="4"/>
      <c r="X74" s="4"/>
      <c r="Y74" s="4"/>
    </row>
    <row r="75" spans="2:25" ht="37.5" hidden="1">
      <c r="B75" s="58"/>
      <c r="C75" s="60"/>
      <c r="D75" s="52" t="s">
        <v>43</v>
      </c>
      <c r="E75" s="63"/>
      <c r="F75" s="8">
        <v>0.25</v>
      </c>
      <c r="G75" s="67" t="s">
        <v>82</v>
      </c>
      <c r="H75" s="68"/>
      <c r="I75" s="35">
        <v>20</v>
      </c>
      <c r="J75" s="9">
        <f t="shared" si="2"/>
        <v>0.05</v>
      </c>
      <c r="K75" s="39">
        <v>1</v>
      </c>
      <c r="L75" s="39"/>
      <c r="M75" s="39"/>
      <c r="N75" s="39"/>
      <c r="O75" s="39"/>
      <c r="P75" s="39"/>
      <c r="Q75" s="39"/>
      <c r="R75" s="39"/>
      <c r="S75" s="10">
        <f t="shared" si="12"/>
        <v>1</v>
      </c>
      <c r="T75" s="10">
        <v>100000</v>
      </c>
      <c r="U75" s="10">
        <f t="shared" si="14"/>
        <v>100000</v>
      </c>
      <c r="V75" s="4"/>
      <c r="Y75" s="4"/>
    </row>
    <row r="76" spans="2:25" ht="37.5" hidden="1">
      <c r="B76" s="58"/>
      <c r="C76" s="60"/>
      <c r="D76" s="53" t="s">
        <v>43</v>
      </c>
      <c r="E76" s="64"/>
      <c r="F76" s="14">
        <v>0.33333333333333331</v>
      </c>
      <c r="G76" s="67" t="s">
        <v>82</v>
      </c>
      <c r="H76" s="68"/>
      <c r="I76" s="37">
        <v>48</v>
      </c>
      <c r="J76" s="9">
        <f t="shared" si="2"/>
        <v>2.0833333333333332E-2</v>
      </c>
      <c r="K76" s="40">
        <v>1</v>
      </c>
      <c r="L76" s="40"/>
      <c r="M76" s="40"/>
      <c r="N76" s="40"/>
      <c r="O76" s="40"/>
      <c r="P76" s="40"/>
      <c r="Q76" s="40"/>
      <c r="R76" s="40"/>
      <c r="S76" s="16">
        <f t="shared" si="12"/>
        <v>1</v>
      </c>
      <c r="T76" s="16">
        <v>100000</v>
      </c>
      <c r="U76" s="16">
        <f t="shared" si="14"/>
        <v>100000</v>
      </c>
      <c r="V76" s="4"/>
      <c r="W76" s="4"/>
      <c r="X76" s="4"/>
      <c r="Y76" s="4"/>
    </row>
    <row r="77" spans="2:25" ht="36" hidden="1" customHeight="1">
      <c r="B77" s="58">
        <v>46087</v>
      </c>
      <c r="C77" s="59" t="s">
        <v>17</v>
      </c>
      <c r="D77" s="51" t="s">
        <v>43</v>
      </c>
      <c r="E77" s="62" t="s">
        <v>101</v>
      </c>
      <c r="F77" s="5">
        <v>0.41666666666666669</v>
      </c>
      <c r="G77" s="65" t="s">
        <v>98</v>
      </c>
      <c r="H77" s="66"/>
      <c r="I77" s="34">
        <v>44</v>
      </c>
      <c r="J77" s="6">
        <f t="shared" si="2"/>
        <v>9.0909090909090912E-2</v>
      </c>
      <c r="K77" s="38"/>
      <c r="L77" s="38"/>
      <c r="M77" s="38"/>
      <c r="N77" s="38"/>
      <c r="O77" s="38"/>
      <c r="P77" s="38"/>
      <c r="Q77" s="38"/>
      <c r="R77" s="38">
        <v>4</v>
      </c>
      <c r="S77" s="7">
        <f>SUM(K77:R77)</f>
        <v>4</v>
      </c>
      <c r="T77" s="7">
        <v>100000</v>
      </c>
      <c r="U77" s="7">
        <f>T77*S77</f>
        <v>400000</v>
      </c>
      <c r="V77" s="4"/>
      <c r="W77" s="4"/>
      <c r="X77" s="4"/>
      <c r="Y77" s="4"/>
    </row>
    <row r="78" spans="2:25" ht="37.5" hidden="1">
      <c r="B78" s="58"/>
      <c r="C78" s="60"/>
      <c r="D78" s="52" t="s">
        <v>43</v>
      </c>
      <c r="E78" s="63"/>
      <c r="F78" s="8">
        <v>0.5</v>
      </c>
      <c r="G78" s="67" t="s">
        <v>98</v>
      </c>
      <c r="H78" s="68"/>
      <c r="I78" s="35">
        <v>58</v>
      </c>
      <c r="J78" s="9">
        <f t="shared" si="2"/>
        <v>1.7241379310344827E-2</v>
      </c>
      <c r="K78" s="39"/>
      <c r="L78" s="39"/>
      <c r="M78" s="39"/>
      <c r="N78" s="39"/>
      <c r="O78" s="39"/>
      <c r="P78" s="39"/>
      <c r="Q78" s="39"/>
      <c r="R78" s="39">
        <v>1</v>
      </c>
      <c r="S78" s="10">
        <f t="shared" ref="S78:S88" si="15">SUM(K78:R78)</f>
        <v>1</v>
      </c>
      <c r="T78" s="10">
        <v>100000</v>
      </c>
      <c r="U78" s="10">
        <f t="shared" ref="U78:U79" si="16">T78*S78</f>
        <v>100000</v>
      </c>
      <c r="V78" s="4"/>
      <c r="W78" s="4"/>
      <c r="X78" s="4"/>
      <c r="Y78" s="4"/>
    </row>
    <row r="79" spans="2:25" ht="37.5" hidden="1">
      <c r="B79" s="58"/>
      <c r="C79" s="60"/>
      <c r="D79" s="52" t="s">
        <v>43</v>
      </c>
      <c r="E79" s="63"/>
      <c r="F79" s="8">
        <v>0.58333333333333337</v>
      </c>
      <c r="G79" s="67" t="s">
        <v>98</v>
      </c>
      <c r="H79" s="68"/>
      <c r="I79" s="35">
        <v>60</v>
      </c>
      <c r="J79" s="9">
        <f t="shared" si="2"/>
        <v>0</v>
      </c>
      <c r="K79" s="39"/>
      <c r="L79" s="39"/>
      <c r="M79" s="39"/>
      <c r="N79" s="39"/>
      <c r="O79" s="39"/>
      <c r="P79" s="39"/>
      <c r="Q79" s="39"/>
      <c r="R79" s="39"/>
      <c r="S79" s="10">
        <f t="shared" si="15"/>
        <v>0</v>
      </c>
      <c r="T79" s="10">
        <v>100000</v>
      </c>
      <c r="U79" s="10">
        <f t="shared" si="16"/>
        <v>0</v>
      </c>
      <c r="V79" s="4"/>
      <c r="W79" s="4"/>
      <c r="X79" s="4"/>
      <c r="Y79" s="4"/>
    </row>
    <row r="80" spans="2:25" ht="37.5" hidden="1">
      <c r="B80" s="58"/>
      <c r="C80" s="60"/>
      <c r="D80" s="52" t="s">
        <v>43</v>
      </c>
      <c r="E80" s="63"/>
      <c r="F80" s="8">
        <v>0.66666666666666663</v>
      </c>
      <c r="G80" s="67" t="s">
        <v>98</v>
      </c>
      <c r="H80" s="68"/>
      <c r="I80" s="35">
        <v>60</v>
      </c>
      <c r="J80" s="9">
        <f t="shared" si="2"/>
        <v>0</v>
      </c>
      <c r="K80" s="39"/>
      <c r="L80" s="39"/>
      <c r="M80" s="39"/>
      <c r="N80" s="39"/>
      <c r="O80" s="39"/>
      <c r="P80" s="39"/>
      <c r="Q80" s="39"/>
      <c r="R80" s="39"/>
      <c r="S80" s="10">
        <f t="shared" si="15"/>
        <v>0</v>
      </c>
      <c r="T80" s="10">
        <v>100000</v>
      </c>
      <c r="U80" s="10">
        <f>T80*S80</f>
        <v>0</v>
      </c>
      <c r="V80" s="4"/>
      <c r="W80" s="4"/>
      <c r="X80" s="4"/>
      <c r="Y80" s="4"/>
    </row>
    <row r="81" spans="2:25" ht="37.5" hidden="1">
      <c r="B81" s="58"/>
      <c r="C81" s="60"/>
      <c r="D81" s="52" t="s">
        <v>43</v>
      </c>
      <c r="E81" s="63"/>
      <c r="F81" s="8">
        <v>0.75</v>
      </c>
      <c r="G81" s="67" t="s">
        <v>98</v>
      </c>
      <c r="H81" s="68"/>
      <c r="I81" s="35">
        <v>60</v>
      </c>
      <c r="J81" s="9">
        <f t="shared" si="2"/>
        <v>0</v>
      </c>
      <c r="K81" s="39"/>
      <c r="L81" s="39"/>
      <c r="M81" s="39"/>
      <c r="N81" s="39"/>
      <c r="O81" s="39"/>
      <c r="P81" s="39"/>
      <c r="Q81" s="39"/>
      <c r="R81" s="39"/>
      <c r="S81" s="10">
        <f t="shared" si="15"/>
        <v>0</v>
      </c>
      <c r="T81" s="10">
        <v>100000</v>
      </c>
      <c r="U81" s="10">
        <f t="shared" ref="U81:U88" si="17">T81*S81</f>
        <v>0</v>
      </c>
      <c r="V81" s="4"/>
      <c r="W81" s="4"/>
      <c r="X81" s="11"/>
      <c r="Y81" s="4"/>
    </row>
    <row r="82" spans="2:25" ht="37.5" hidden="1">
      <c r="B82" s="58"/>
      <c r="C82" s="60"/>
      <c r="D82" s="53" t="s">
        <v>43</v>
      </c>
      <c r="E82" s="64"/>
      <c r="F82" s="12">
        <v>0.83333333333333337</v>
      </c>
      <c r="G82" s="67" t="s">
        <v>98</v>
      </c>
      <c r="H82" s="68"/>
      <c r="I82" s="36">
        <v>60</v>
      </c>
      <c r="J82" s="9">
        <f t="shared" si="2"/>
        <v>0</v>
      </c>
      <c r="K82" s="41"/>
      <c r="L82" s="41"/>
      <c r="M82" s="41"/>
      <c r="N82" s="41"/>
      <c r="O82" s="41"/>
      <c r="P82" s="41"/>
      <c r="Q82" s="41"/>
      <c r="R82" s="41"/>
      <c r="S82" s="13">
        <f t="shared" si="15"/>
        <v>0</v>
      </c>
      <c r="T82" s="13">
        <v>100000</v>
      </c>
      <c r="U82" s="13">
        <f t="shared" si="17"/>
        <v>0</v>
      </c>
      <c r="V82" s="4"/>
      <c r="Y82" s="4"/>
    </row>
    <row r="83" spans="2:25" ht="37.5" hidden="1">
      <c r="B83" s="58"/>
      <c r="C83" s="60"/>
      <c r="D83" s="51" t="s">
        <v>43</v>
      </c>
      <c r="E83" s="62" t="s">
        <v>102</v>
      </c>
      <c r="F83" s="5">
        <v>0.91666666666666663</v>
      </c>
      <c r="G83" s="65" t="s">
        <v>82</v>
      </c>
      <c r="H83" s="66"/>
      <c r="I83" s="34">
        <v>57</v>
      </c>
      <c r="J83" s="6">
        <f t="shared" ref="J83:J136" si="18">IFERROR(S83/I83,"")</f>
        <v>1.7543859649122806E-2</v>
      </c>
      <c r="K83" s="38">
        <v>1</v>
      </c>
      <c r="L83" s="38"/>
      <c r="M83" s="38"/>
      <c r="N83" s="38"/>
      <c r="O83" s="38"/>
      <c r="P83" s="38"/>
      <c r="Q83" s="38"/>
      <c r="R83" s="38"/>
      <c r="S83" s="7">
        <f t="shared" si="15"/>
        <v>1</v>
      </c>
      <c r="T83" s="7">
        <v>100000</v>
      </c>
      <c r="U83" s="7">
        <f t="shared" si="17"/>
        <v>100000</v>
      </c>
      <c r="V83" s="4"/>
      <c r="Y83" s="4"/>
    </row>
    <row r="84" spans="2:25" ht="37.5" hidden="1">
      <c r="B84" s="58"/>
      <c r="C84" s="60"/>
      <c r="D84" s="52" t="s">
        <v>43</v>
      </c>
      <c r="E84" s="63"/>
      <c r="F84" s="8">
        <v>1</v>
      </c>
      <c r="G84" s="67" t="s">
        <v>82</v>
      </c>
      <c r="H84" s="68"/>
      <c r="I84" s="35">
        <v>57</v>
      </c>
      <c r="J84" s="9">
        <f t="shared" si="18"/>
        <v>1.7543859649122806E-2</v>
      </c>
      <c r="K84" s="39">
        <v>1</v>
      </c>
      <c r="L84" s="39"/>
      <c r="M84" s="39"/>
      <c r="N84" s="39"/>
      <c r="O84" s="39"/>
      <c r="P84" s="39"/>
      <c r="Q84" s="39"/>
      <c r="R84" s="39"/>
      <c r="S84" s="10">
        <f t="shared" si="15"/>
        <v>1</v>
      </c>
      <c r="T84" s="10">
        <v>100000</v>
      </c>
      <c r="U84" s="10">
        <f t="shared" si="17"/>
        <v>100000</v>
      </c>
      <c r="V84" s="4"/>
      <c r="Y84" s="4"/>
    </row>
    <row r="85" spans="2:25" ht="37.5" hidden="1">
      <c r="B85" s="58"/>
      <c r="C85" s="60"/>
      <c r="D85" s="52" t="s">
        <v>43</v>
      </c>
      <c r="E85" s="63"/>
      <c r="F85" s="8">
        <v>8.3333333333333329E-2</v>
      </c>
      <c r="G85" s="67" t="s">
        <v>82</v>
      </c>
      <c r="H85" s="68"/>
      <c r="I85" s="35">
        <v>57</v>
      </c>
      <c r="J85" s="9">
        <f t="shared" si="18"/>
        <v>1.7543859649122806E-2</v>
      </c>
      <c r="K85" s="39">
        <v>1</v>
      </c>
      <c r="L85" s="39"/>
      <c r="M85" s="39"/>
      <c r="N85" s="39"/>
      <c r="O85" s="39"/>
      <c r="P85" s="39"/>
      <c r="Q85" s="39"/>
      <c r="R85" s="39"/>
      <c r="S85" s="10">
        <f t="shared" si="15"/>
        <v>1</v>
      </c>
      <c r="T85" s="10">
        <v>100000</v>
      </c>
      <c r="U85" s="10">
        <f t="shared" si="17"/>
        <v>100000</v>
      </c>
      <c r="V85" s="4"/>
      <c r="Y85" s="4"/>
    </row>
    <row r="86" spans="2:25" ht="37.5" hidden="1">
      <c r="B86" s="58"/>
      <c r="C86" s="60"/>
      <c r="D86" s="52" t="s">
        <v>43</v>
      </c>
      <c r="E86" s="63"/>
      <c r="F86" s="8">
        <v>0.16666666666666666</v>
      </c>
      <c r="G86" s="67" t="s">
        <v>82</v>
      </c>
      <c r="H86" s="68"/>
      <c r="I86" s="35">
        <v>57</v>
      </c>
      <c r="J86" s="9">
        <f t="shared" si="18"/>
        <v>0</v>
      </c>
      <c r="K86" s="39"/>
      <c r="L86" s="39"/>
      <c r="M86" s="39"/>
      <c r="N86" s="39"/>
      <c r="O86" s="39"/>
      <c r="P86" s="39"/>
      <c r="Q86" s="39"/>
      <c r="R86" s="39"/>
      <c r="S86" s="10">
        <f t="shared" si="15"/>
        <v>0</v>
      </c>
      <c r="T86" s="10">
        <v>100000</v>
      </c>
      <c r="U86" s="10">
        <f t="shared" si="17"/>
        <v>0</v>
      </c>
      <c r="V86" s="4"/>
      <c r="W86" s="4"/>
      <c r="X86" s="4"/>
      <c r="Y86" s="4"/>
    </row>
    <row r="87" spans="2:25" ht="37.5" hidden="1">
      <c r="B87" s="58"/>
      <c r="C87" s="60"/>
      <c r="D87" s="52" t="s">
        <v>43</v>
      </c>
      <c r="E87" s="63"/>
      <c r="F87" s="8">
        <v>0.25</v>
      </c>
      <c r="G87" s="67" t="s">
        <v>82</v>
      </c>
      <c r="H87" s="68"/>
      <c r="I87" s="35">
        <v>57</v>
      </c>
      <c r="J87" s="9">
        <f t="shared" si="18"/>
        <v>0</v>
      </c>
      <c r="K87" s="39"/>
      <c r="L87" s="39"/>
      <c r="M87" s="39"/>
      <c r="N87" s="39"/>
      <c r="O87" s="39"/>
      <c r="P87" s="39"/>
      <c r="Q87" s="39"/>
      <c r="R87" s="39"/>
      <c r="S87" s="10">
        <f t="shared" si="15"/>
        <v>0</v>
      </c>
      <c r="T87" s="10">
        <v>100000</v>
      </c>
      <c r="U87" s="10">
        <f t="shared" si="17"/>
        <v>0</v>
      </c>
      <c r="V87" s="4"/>
      <c r="Y87" s="4"/>
    </row>
    <row r="88" spans="2:25" ht="37.5" hidden="1">
      <c r="B88" s="58"/>
      <c r="C88" s="60"/>
      <c r="D88" s="53" t="s">
        <v>43</v>
      </c>
      <c r="E88" s="64"/>
      <c r="F88" s="14">
        <v>0.33333333333333331</v>
      </c>
      <c r="G88" s="67" t="s">
        <v>82</v>
      </c>
      <c r="H88" s="68"/>
      <c r="I88" s="37">
        <v>57</v>
      </c>
      <c r="J88" s="9">
        <f t="shared" si="18"/>
        <v>0</v>
      </c>
      <c r="K88" s="40"/>
      <c r="L88" s="40"/>
      <c r="M88" s="40"/>
      <c r="N88" s="40"/>
      <c r="O88" s="40"/>
      <c r="P88" s="40"/>
      <c r="Q88" s="40"/>
      <c r="R88" s="40"/>
      <c r="S88" s="16">
        <f t="shared" si="15"/>
        <v>0</v>
      </c>
      <c r="T88" s="16">
        <v>100000</v>
      </c>
      <c r="U88" s="16">
        <f t="shared" si="17"/>
        <v>0</v>
      </c>
      <c r="V88" s="4"/>
      <c r="W88" s="4"/>
      <c r="X88" s="4"/>
      <c r="Y88" s="4"/>
    </row>
    <row r="89" spans="2:25" ht="33.75" hidden="1" customHeight="1">
      <c r="B89" s="58">
        <v>46088</v>
      </c>
      <c r="C89" s="59" t="s">
        <v>17</v>
      </c>
      <c r="D89" s="51" t="s">
        <v>43</v>
      </c>
      <c r="E89" s="62" t="s">
        <v>101</v>
      </c>
      <c r="F89" s="5">
        <v>0.41666666666666669</v>
      </c>
      <c r="G89" s="65" t="s">
        <v>79</v>
      </c>
      <c r="H89" s="66"/>
      <c r="I89" s="34">
        <v>60</v>
      </c>
      <c r="J89" s="6">
        <f t="shared" si="18"/>
        <v>0.11666666666666667</v>
      </c>
      <c r="K89" s="38"/>
      <c r="L89" s="38"/>
      <c r="M89" s="38"/>
      <c r="N89" s="38"/>
      <c r="O89" s="38"/>
      <c r="P89" s="38"/>
      <c r="Q89" s="38">
        <v>7</v>
      </c>
      <c r="R89" s="38"/>
      <c r="S89" s="7">
        <f>SUM(K89:R89)</f>
        <v>7</v>
      </c>
      <c r="T89" s="7">
        <v>100000</v>
      </c>
      <c r="U89" s="7">
        <f>T89*S89</f>
        <v>700000</v>
      </c>
      <c r="V89" s="4"/>
      <c r="W89" s="4"/>
      <c r="X89" s="4"/>
      <c r="Y89" s="4"/>
    </row>
    <row r="90" spans="2:25" ht="37.5" hidden="1">
      <c r="B90" s="58"/>
      <c r="C90" s="60"/>
      <c r="D90" s="52" t="s">
        <v>43</v>
      </c>
      <c r="E90" s="63"/>
      <c r="F90" s="8">
        <v>0.5</v>
      </c>
      <c r="G90" s="67" t="s">
        <v>79</v>
      </c>
      <c r="H90" s="68"/>
      <c r="I90" s="35">
        <v>60</v>
      </c>
      <c r="J90" s="9">
        <f t="shared" si="18"/>
        <v>0</v>
      </c>
      <c r="K90" s="39"/>
      <c r="L90" s="39"/>
      <c r="M90" s="39"/>
      <c r="N90" s="39"/>
      <c r="O90" s="39"/>
      <c r="P90" s="39"/>
      <c r="Q90" s="39"/>
      <c r="R90" s="39"/>
      <c r="S90" s="10">
        <f t="shared" ref="S90:S100" si="19">SUM(K90:R90)</f>
        <v>0</v>
      </c>
      <c r="T90" s="10">
        <v>100000</v>
      </c>
      <c r="U90" s="10">
        <f t="shared" ref="U90:U91" si="20">T90*S90</f>
        <v>0</v>
      </c>
      <c r="V90" s="4"/>
      <c r="W90" s="4"/>
      <c r="X90" s="4"/>
      <c r="Y90" s="4"/>
    </row>
    <row r="91" spans="2:25" ht="37.5" hidden="1">
      <c r="B91" s="58"/>
      <c r="C91" s="60"/>
      <c r="D91" s="52" t="s">
        <v>43</v>
      </c>
      <c r="E91" s="63"/>
      <c r="F91" s="8">
        <v>0.58333333333333337</v>
      </c>
      <c r="G91" s="67" t="s">
        <v>79</v>
      </c>
      <c r="H91" s="68"/>
      <c r="I91" s="35">
        <v>60</v>
      </c>
      <c r="J91" s="9">
        <f t="shared" si="18"/>
        <v>0</v>
      </c>
      <c r="K91" s="39"/>
      <c r="L91" s="39"/>
      <c r="M91" s="39"/>
      <c r="N91" s="39"/>
      <c r="O91" s="39"/>
      <c r="P91" s="39"/>
      <c r="Q91" s="39"/>
      <c r="R91" s="39"/>
      <c r="S91" s="10">
        <f t="shared" si="19"/>
        <v>0</v>
      </c>
      <c r="T91" s="10">
        <v>100000</v>
      </c>
      <c r="U91" s="10">
        <f t="shared" si="20"/>
        <v>0</v>
      </c>
      <c r="V91" s="4"/>
      <c r="W91" s="4"/>
      <c r="X91" s="4"/>
      <c r="Y91" s="4"/>
    </row>
    <row r="92" spans="2:25" ht="37.5" hidden="1">
      <c r="B92" s="58"/>
      <c r="C92" s="60"/>
      <c r="D92" s="52" t="s">
        <v>43</v>
      </c>
      <c r="E92" s="63"/>
      <c r="F92" s="8">
        <v>0.66666666666666663</v>
      </c>
      <c r="G92" s="67" t="s">
        <v>79</v>
      </c>
      <c r="H92" s="68"/>
      <c r="I92" s="35">
        <v>60</v>
      </c>
      <c r="J92" s="9">
        <f t="shared" si="18"/>
        <v>0</v>
      </c>
      <c r="K92" s="39"/>
      <c r="L92" s="39"/>
      <c r="M92" s="39"/>
      <c r="N92" s="39"/>
      <c r="O92" s="39"/>
      <c r="P92" s="39"/>
      <c r="Q92" s="39"/>
      <c r="R92" s="39"/>
      <c r="S92" s="10">
        <f t="shared" si="19"/>
        <v>0</v>
      </c>
      <c r="T92" s="10">
        <v>100000</v>
      </c>
      <c r="U92" s="10">
        <f>T92*S92</f>
        <v>0</v>
      </c>
      <c r="V92" s="4"/>
      <c r="W92" s="4"/>
      <c r="X92" s="4"/>
      <c r="Y92" s="4"/>
    </row>
    <row r="93" spans="2:25" ht="37.5" hidden="1">
      <c r="B93" s="58"/>
      <c r="C93" s="60"/>
      <c r="D93" s="52" t="s">
        <v>43</v>
      </c>
      <c r="E93" s="63"/>
      <c r="F93" s="8">
        <v>0.75</v>
      </c>
      <c r="G93" s="67" t="s">
        <v>79</v>
      </c>
      <c r="H93" s="68"/>
      <c r="I93" s="35">
        <v>23</v>
      </c>
      <c r="J93" s="9">
        <f t="shared" si="18"/>
        <v>4.3478260869565216E-2</v>
      </c>
      <c r="K93" s="39">
        <v>1</v>
      </c>
      <c r="L93" s="39"/>
      <c r="M93" s="39"/>
      <c r="N93" s="39"/>
      <c r="O93" s="39"/>
      <c r="P93" s="39"/>
      <c r="Q93" s="39"/>
      <c r="R93" s="39"/>
      <c r="S93" s="10">
        <f t="shared" si="19"/>
        <v>1</v>
      </c>
      <c r="T93" s="10">
        <v>100000</v>
      </c>
      <c r="U93" s="10">
        <f t="shared" ref="U93:U100" si="21">T93*S93</f>
        <v>100000</v>
      </c>
      <c r="V93" s="4"/>
      <c r="W93" s="4"/>
      <c r="X93" s="11"/>
      <c r="Y93" s="4"/>
    </row>
    <row r="94" spans="2:25" ht="37.5" hidden="1">
      <c r="B94" s="58"/>
      <c r="C94" s="60"/>
      <c r="D94" s="53" t="s">
        <v>43</v>
      </c>
      <c r="E94" s="64"/>
      <c r="F94" s="12">
        <v>0.83333333333333337</v>
      </c>
      <c r="G94" s="67" t="s">
        <v>79</v>
      </c>
      <c r="H94" s="68"/>
      <c r="I94" s="36">
        <v>60</v>
      </c>
      <c r="J94" s="9">
        <f t="shared" si="18"/>
        <v>0</v>
      </c>
      <c r="K94" s="41"/>
      <c r="L94" s="41"/>
      <c r="M94" s="41"/>
      <c r="N94" s="41"/>
      <c r="O94" s="41"/>
      <c r="P94" s="41"/>
      <c r="Q94" s="41"/>
      <c r="R94" s="41"/>
      <c r="S94" s="13">
        <f t="shared" si="19"/>
        <v>0</v>
      </c>
      <c r="T94" s="13">
        <v>100000</v>
      </c>
      <c r="U94" s="13">
        <f t="shared" si="21"/>
        <v>0</v>
      </c>
      <c r="V94" s="4"/>
      <c r="Y94" s="4"/>
    </row>
    <row r="95" spans="2:25" ht="37.5" hidden="1">
      <c r="B95" s="58"/>
      <c r="C95" s="60"/>
      <c r="D95" s="51" t="s">
        <v>43</v>
      </c>
      <c r="E95" s="62" t="s">
        <v>102</v>
      </c>
      <c r="F95" s="5">
        <v>0.91666666666666663</v>
      </c>
      <c r="G95" s="65" t="s">
        <v>82</v>
      </c>
      <c r="H95" s="66"/>
      <c r="I95" s="34">
        <v>53</v>
      </c>
      <c r="J95" s="6">
        <f t="shared" si="18"/>
        <v>0.11320754716981132</v>
      </c>
      <c r="K95" s="38"/>
      <c r="L95" s="38"/>
      <c r="M95" s="38"/>
      <c r="N95" s="38"/>
      <c r="O95" s="38"/>
      <c r="P95" s="38"/>
      <c r="Q95" s="38"/>
      <c r="R95" s="38">
        <v>6</v>
      </c>
      <c r="S95" s="7">
        <f t="shared" si="19"/>
        <v>6</v>
      </c>
      <c r="T95" s="7">
        <v>100000</v>
      </c>
      <c r="U95" s="7">
        <f t="shared" si="21"/>
        <v>600000</v>
      </c>
      <c r="V95" s="4"/>
      <c r="Y95" s="4"/>
    </row>
    <row r="96" spans="2:25" ht="37.5" hidden="1">
      <c r="B96" s="58"/>
      <c r="C96" s="60"/>
      <c r="D96" s="52" t="s">
        <v>43</v>
      </c>
      <c r="E96" s="63"/>
      <c r="F96" s="8">
        <v>1</v>
      </c>
      <c r="G96" s="67" t="s">
        <v>82</v>
      </c>
      <c r="H96" s="68"/>
      <c r="I96" s="35">
        <v>55</v>
      </c>
      <c r="J96" s="9">
        <f t="shared" si="18"/>
        <v>5.4545454545454543E-2</v>
      </c>
      <c r="K96" s="39"/>
      <c r="L96" s="39"/>
      <c r="M96" s="39"/>
      <c r="N96" s="39"/>
      <c r="O96" s="39"/>
      <c r="P96" s="39"/>
      <c r="Q96" s="39"/>
      <c r="R96" s="39">
        <v>3</v>
      </c>
      <c r="S96" s="10">
        <f t="shared" si="19"/>
        <v>3</v>
      </c>
      <c r="T96" s="10">
        <v>100000</v>
      </c>
      <c r="U96" s="10">
        <f t="shared" si="21"/>
        <v>300000</v>
      </c>
      <c r="V96" s="4"/>
      <c r="Y96" s="4"/>
    </row>
    <row r="97" spans="2:25" ht="37.5" hidden="1">
      <c r="B97" s="58"/>
      <c r="C97" s="60"/>
      <c r="D97" s="52" t="s">
        <v>43</v>
      </c>
      <c r="E97" s="63"/>
      <c r="F97" s="8">
        <v>8.3333333333333329E-2</v>
      </c>
      <c r="G97" s="67" t="s">
        <v>82</v>
      </c>
      <c r="H97" s="68"/>
      <c r="I97" s="35">
        <v>56</v>
      </c>
      <c r="J97" s="9">
        <f t="shared" si="18"/>
        <v>5.3571428571428568E-2</v>
      </c>
      <c r="K97" s="39"/>
      <c r="L97" s="39"/>
      <c r="M97" s="39"/>
      <c r="N97" s="39"/>
      <c r="O97" s="39"/>
      <c r="P97" s="39"/>
      <c r="Q97" s="39"/>
      <c r="R97" s="39">
        <v>3</v>
      </c>
      <c r="S97" s="10">
        <f t="shared" si="19"/>
        <v>3</v>
      </c>
      <c r="T97" s="10">
        <v>100000</v>
      </c>
      <c r="U97" s="10">
        <f t="shared" si="21"/>
        <v>300000</v>
      </c>
      <c r="V97" s="4"/>
      <c r="Y97" s="4"/>
    </row>
    <row r="98" spans="2:25" ht="37.5" hidden="1">
      <c r="B98" s="58"/>
      <c r="C98" s="60"/>
      <c r="D98" s="52" t="s">
        <v>43</v>
      </c>
      <c r="E98" s="63"/>
      <c r="F98" s="8">
        <v>0.16666666666666666</v>
      </c>
      <c r="G98" s="67" t="s">
        <v>82</v>
      </c>
      <c r="H98" s="68"/>
      <c r="I98" s="35">
        <v>60</v>
      </c>
      <c r="J98" s="9">
        <f t="shared" si="18"/>
        <v>3.3333333333333333E-2</v>
      </c>
      <c r="K98" s="39"/>
      <c r="L98" s="39"/>
      <c r="M98" s="39"/>
      <c r="N98" s="39"/>
      <c r="O98" s="39"/>
      <c r="P98" s="39"/>
      <c r="Q98" s="39"/>
      <c r="R98" s="39">
        <v>2</v>
      </c>
      <c r="S98" s="10">
        <f t="shared" si="19"/>
        <v>2</v>
      </c>
      <c r="T98" s="10">
        <v>100000</v>
      </c>
      <c r="U98" s="10">
        <f t="shared" si="21"/>
        <v>200000</v>
      </c>
      <c r="V98" s="4"/>
      <c r="W98" s="4"/>
      <c r="X98" s="4"/>
      <c r="Y98" s="4"/>
    </row>
    <row r="99" spans="2:25" ht="37.5" hidden="1">
      <c r="B99" s="58"/>
      <c r="C99" s="60"/>
      <c r="D99" s="52" t="s">
        <v>43</v>
      </c>
      <c r="E99" s="63"/>
      <c r="F99" s="8">
        <v>0.25</v>
      </c>
      <c r="G99" s="67" t="s">
        <v>82</v>
      </c>
      <c r="H99" s="68"/>
      <c r="I99" s="35">
        <v>58</v>
      </c>
      <c r="J99" s="9">
        <f t="shared" si="18"/>
        <v>3.4482758620689655E-2</v>
      </c>
      <c r="K99" s="39"/>
      <c r="L99" s="39"/>
      <c r="M99" s="39"/>
      <c r="N99" s="39"/>
      <c r="O99" s="39"/>
      <c r="P99" s="39"/>
      <c r="Q99" s="39"/>
      <c r="R99" s="39">
        <v>2</v>
      </c>
      <c r="S99" s="10">
        <f t="shared" si="19"/>
        <v>2</v>
      </c>
      <c r="T99" s="10">
        <v>100000</v>
      </c>
      <c r="U99" s="10">
        <f t="shared" si="21"/>
        <v>200000</v>
      </c>
      <c r="V99" s="4"/>
      <c r="Y99" s="4"/>
    </row>
    <row r="100" spans="2:25" ht="37.5" hidden="1">
      <c r="B100" s="58"/>
      <c r="C100" s="60"/>
      <c r="D100" s="53" t="s">
        <v>43</v>
      </c>
      <c r="E100" s="64"/>
      <c r="F100" s="14">
        <v>0.33333333333333331</v>
      </c>
      <c r="G100" s="67" t="s">
        <v>82</v>
      </c>
      <c r="H100" s="68"/>
      <c r="I100" s="37">
        <v>60</v>
      </c>
      <c r="J100" s="9">
        <f t="shared" si="18"/>
        <v>0</v>
      </c>
      <c r="K100" s="40"/>
      <c r="L100" s="40"/>
      <c r="M100" s="40"/>
      <c r="N100" s="40"/>
      <c r="O100" s="40"/>
      <c r="P100" s="40"/>
      <c r="Q100" s="40"/>
      <c r="R100" s="40"/>
      <c r="S100" s="16">
        <f t="shared" si="19"/>
        <v>0</v>
      </c>
      <c r="T100" s="16">
        <v>100000</v>
      </c>
      <c r="U100" s="16">
        <f t="shared" si="21"/>
        <v>0</v>
      </c>
      <c r="V100" s="4"/>
      <c r="W100" s="4"/>
      <c r="X100" s="4"/>
      <c r="Y100" s="4"/>
    </row>
    <row r="101" spans="2:25" ht="33.75" hidden="1" customHeight="1">
      <c r="B101" s="58">
        <v>46089</v>
      </c>
      <c r="C101" s="59" t="s">
        <v>17</v>
      </c>
      <c r="D101" s="51" t="s">
        <v>43</v>
      </c>
      <c r="E101" s="62" t="s">
        <v>101</v>
      </c>
      <c r="F101" s="5">
        <v>0.41666666666666669</v>
      </c>
      <c r="G101" s="65" t="s">
        <v>76</v>
      </c>
      <c r="H101" s="66"/>
      <c r="I101" s="34">
        <v>60</v>
      </c>
      <c r="J101" s="6">
        <f t="shared" si="18"/>
        <v>0</v>
      </c>
      <c r="K101" s="38"/>
      <c r="L101" s="38"/>
      <c r="M101" s="38"/>
      <c r="N101" s="38"/>
      <c r="O101" s="38"/>
      <c r="P101" s="38"/>
      <c r="Q101" s="38"/>
      <c r="R101" s="38"/>
      <c r="S101" s="7">
        <f>SUM(K101:R101)</f>
        <v>0</v>
      </c>
      <c r="T101" s="7">
        <v>100000</v>
      </c>
      <c r="U101" s="7">
        <f>T101*S101</f>
        <v>0</v>
      </c>
      <c r="V101" s="4"/>
      <c r="W101" s="4"/>
      <c r="X101" s="4"/>
      <c r="Y101" s="4"/>
    </row>
    <row r="102" spans="2:25" ht="37.5" hidden="1">
      <c r="B102" s="58"/>
      <c r="C102" s="60"/>
      <c r="D102" s="52" t="s">
        <v>43</v>
      </c>
      <c r="E102" s="63"/>
      <c r="F102" s="8">
        <v>0.5</v>
      </c>
      <c r="G102" s="67" t="s">
        <v>76</v>
      </c>
      <c r="H102" s="68"/>
      <c r="I102" s="35">
        <v>60</v>
      </c>
      <c r="J102" s="9">
        <f t="shared" si="18"/>
        <v>0</v>
      </c>
      <c r="K102" s="39"/>
      <c r="L102" s="39"/>
      <c r="M102" s="39"/>
      <c r="N102" s="39"/>
      <c r="O102" s="39"/>
      <c r="P102" s="39"/>
      <c r="Q102" s="39"/>
      <c r="R102" s="39"/>
      <c r="S102" s="10">
        <f t="shared" ref="S102:S112" si="22">SUM(K102:R102)</f>
        <v>0</v>
      </c>
      <c r="T102" s="10">
        <v>100000</v>
      </c>
      <c r="U102" s="10">
        <f t="shared" ref="U102:U103" si="23">T102*S102</f>
        <v>0</v>
      </c>
      <c r="V102" s="4"/>
      <c r="W102" s="4"/>
      <c r="X102" s="4"/>
      <c r="Y102" s="4"/>
    </row>
    <row r="103" spans="2:25" ht="37.5" hidden="1">
      <c r="B103" s="58"/>
      <c r="C103" s="60"/>
      <c r="D103" s="52" t="s">
        <v>43</v>
      </c>
      <c r="E103" s="63"/>
      <c r="F103" s="8">
        <v>0.58333333333333337</v>
      </c>
      <c r="G103" s="67" t="s">
        <v>76</v>
      </c>
      <c r="H103" s="68"/>
      <c r="I103" s="35">
        <v>58</v>
      </c>
      <c r="J103" s="9">
        <f t="shared" si="18"/>
        <v>6.8965517241379309E-2</v>
      </c>
      <c r="K103" s="39"/>
      <c r="L103" s="39"/>
      <c r="M103" s="39"/>
      <c r="N103" s="39"/>
      <c r="O103" s="39"/>
      <c r="P103" s="39"/>
      <c r="Q103" s="39"/>
      <c r="R103" s="39">
        <v>4</v>
      </c>
      <c r="S103" s="10">
        <f t="shared" si="22"/>
        <v>4</v>
      </c>
      <c r="T103" s="10">
        <v>100000</v>
      </c>
      <c r="U103" s="10">
        <f t="shared" si="23"/>
        <v>400000</v>
      </c>
      <c r="V103" s="4"/>
      <c r="W103" s="4"/>
      <c r="X103" s="4"/>
      <c r="Y103" s="4"/>
    </row>
    <row r="104" spans="2:25" ht="37.5" hidden="1">
      <c r="B104" s="58"/>
      <c r="C104" s="60"/>
      <c r="D104" s="52" t="s">
        <v>43</v>
      </c>
      <c r="E104" s="63"/>
      <c r="F104" s="8">
        <v>0.66666666666666663</v>
      </c>
      <c r="G104" s="67" t="s">
        <v>76</v>
      </c>
      <c r="H104" s="68"/>
      <c r="I104" s="35">
        <v>60</v>
      </c>
      <c r="J104" s="9">
        <f t="shared" si="18"/>
        <v>0</v>
      </c>
      <c r="K104" s="39"/>
      <c r="L104" s="39"/>
      <c r="M104" s="39"/>
      <c r="N104" s="39"/>
      <c r="O104" s="39"/>
      <c r="P104" s="39"/>
      <c r="Q104" s="39"/>
      <c r="R104" s="39"/>
      <c r="S104" s="10">
        <f t="shared" si="22"/>
        <v>0</v>
      </c>
      <c r="T104" s="10">
        <v>100000</v>
      </c>
      <c r="U104" s="10">
        <f>T104*S104</f>
        <v>0</v>
      </c>
      <c r="V104" s="4"/>
      <c r="W104" s="4"/>
      <c r="X104" s="4"/>
      <c r="Y104" s="4"/>
    </row>
    <row r="105" spans="2:25" ht="37.5" hidden="1">
      <c r="B105" s="58"/>
      <c r="C105" s="60"/>
      <c r="D105" s="52" t="s">
        <v>43</v>
      </c>
      <c r="E105" s="63"/>
      <c r="F105" s="8">
        <v>0.75</v>
      </c>
      <c r="G105" s="67" t="s">
        <v>76</v>
      </c>
      <c r="H105" s="68"/>
      <c r="I105" s="35">
        <v>28</v>
      </c>
      <c r="J105" s="9">
        <f t="shared" si="18"/>
        <v>0</v>
      </c>
      <c r="K105" s="39"/>
      <c r="L105" s="39"/>
      <c r="M105" s="39"/>
      <c r="N105" s="39"/>
      <c r="O105" s="39"/>
      <c r="P105" s="39"/>
      <c r="Q105" s="39"/>
      <c r="R105" s="39"/>
      <c r="S105" s="10">
        <f t="shared" si="22"/>
        <v>0</v>
      </c>
      <c r="T105" s="10">
        <v>100000</v>
      </c>
      <c r="U105" s="10">
        <f t="shared" ref="U105:U112" si="24">T105*S105</f>
        <v>0</v>
      </c>
      <c r="V105" s="4"/>
      <c r="W105" s="4"/>
      <c r="X105" s="11"/>
      <c r="Y105" s="4"/>
    </row>
    <row r="106" spans="2:25" ht="37.5" hidden="1">
      <c r="B106" s="58"/>
      <c r="C106" s="60"/>
      <c r="D106" s="53" t="s">
        <v>43</v>
      </c>
      <c r="E106" s="64"/>
      <c r="F106" s="12">
        <v>0.83333333333333337</v>
      </c>
      <c r="G106" s="67" t="s">
        <v>76</v>
      </c>
      <c r="H106" s="68"/>
      <c r="I106" s="36"/>
      <c r="J106" s="9" t="str">
        <f t="shared" si="18"/>
        <v/>
      </c>
      <c r="K106" s="41"/>
      <c r="L106" s="41"/>
      <c r="M106" s="41"/>
      <c r="N106" s="41"/>
      <c r="O106" s="41"/>
      <c r="P106" s="41"/>
      <c r="Q106" s="41"/>
      <c r="R106" s="41"/>
      <c r="S106" s="13">
        <f t="shared" si="22"/>
        <v>0</v>
      </c>
      <c r="T106" s="13">
        <v>100000</v>
      </c>
      <c r="U106" s="13">
        <f t="shared" si="24"/>
        <v>0</v>
      </c>
      <c r="V106" s="4"/>
      <c r="Y106" s="4"/>
    </row>
    <row r="107" spans="2:25" ht="37.5" hidden="1">
      <c r="B107" s="58"/>
      <c r="C107" s="60"/>
      <c r="D107" s="51" t="s">
        <v>43</v>
      </c>
      <c r="E107" s="62" t="s">
        <v>102</v>
      </c>
      <c r="F107" s="5">
        <v>0.91666666666666663</v>
      </c>
      <c r="G107" s="65" t="s">
        <v>82</v>
      </c>
      <c r="H107" s="66"/>
      <c r="I107" s="34">
        <v>45</v>
      </c>
      <c r="J107" s="6">
        <f t="shared" si="18"/>
        <v>0.13333333333333333</v>
      </c>
      <c r="K107" s="38">
        <v>1</v>
      </c>
      <c r="L107" s="38"/>
      <c r="M107" s="38"/>
      <c r="N107" s="38"/>
      <c r="O107" s="38"/>
      <c r="P107" s="38"/>
      <c r="Q107" s="38">
        <v>5</v>
      </c>
      <c r="R107" s="38"/>
      <c r="S107" s="7">
        <f t="shared" si="22"/>
        <v>6</v>
      </c>
      <c r="T107" s="7">
        <v>100000</v>
      </c>
      <c r="U107" s="7">
        <f t="shared" si="24"/>
        <v>600000</v>
      </c>
      <c r="V107" s="4"/>
      <c r="Y107" s="4"/>
    </row>
    <row r="108" spans="2:25" ht="37.5" hidden="1">
      <c r="B108" s="58"/>
      <c r="C108" s="60"/>
      <c r="D108" s="52" t="s">
        <v>43</v>
      </c>
      <c r="E108" s="63"/>
      <c r="F108" s="8">
        <v>1</v>
      </c>
      <c r="G108" s="67" t="s">
        <v>82</v>
      </c>
      <c r="H108" s="68"/>
      <c r="I108" s="35">
        <v>59</v>
      </c>
      <c r="J108" s="9">
        <f t="shared" si="18"/>
        <v>1.6949152542372881E-2</v>
      </c>
      <c r="K108" s="39">
        <v>1</v>
      </c>
      <c r="L108" s="39"/>
      <c r="M108" s="39"/>
      <c r="N108" s="39"/>
      <c r="O108" s="39"/>
      <c r="P108" s="39"/>
      <c r="Q108" s="39"/>
      <c r="R108" s="39"/>
      <c r="S108" s="10">
        <f t="shared" si="22"/>
        <v>1</v>
      </c>
      <c r="T108" s="10">
        <v>100000</v>
      </c>
      <c r="U108" s="10">
        <f t="shared" si="24"/>
        <v>100000</v>
      </c>
      <c r="V108" s="4"/>
      <c r="Y108" s="4"/>
    </row>
    <row r="109" spans="2:25" ht="37.5" hidden="1">
      <c r="B109" s="58"/>
      <c r="C109" s="60"/>
      <c r="D109" s="52" t="s">
        <v>43</v>
      </c>
      <c r="E109" s="63"/>
      <c r="F109" s="8">
        <v>8.3333333333333329E-2</v>
      </c>
      <c r="G109" s="67" t="s">
        <v>82</v>
      </c>
      <c r="H109" s="68"/>
      <c r="I109" s="35">
        <v>59</v>
      </c>
      <c r="J109" s="9">
        <f t="shared" si="18"/>
        <v>1.6949152542372881E-2</v>
      </c>
      <c r="K109" s="39">
        <v>1</v>
      </c>
      <c r="L109" s="39"/>
      <c r="M109" s="39"/>
      <c r="N109" s="39"/>
      <c r="O109" s="39"/>
      <c r="P109" s="39"/>
      <c r="Q109" s="39"/>
      <c r="R109" s="39"/>
      <c r="S109" s="10">
        <f t="shared" si="22"/>
        <v>1</v>
      </c>
      <c r="T109" s="10">
        <v>100000</v>
      </c>
      <c r="U109" s="10">
        <f t="shared" si="24"/>
        <v>100000</v>
      </c>
      <c r="V109" s="4"/>
      <c r="Y109" s="4"/>
    </row>
    <row r="110" spans="2:25" ht="37.5" hidden="1">
      <c r="B110" s="58"/>
      <c r="C110" s="60"/>
      <c r="D110" s="52" t="s">
        <v>43</v>
      </c>
      <c r="E110" s="63"/>
      <c r="F110" s="8">
        <v>0.16666666666666666</v>
      </c>
      <c r="G110" s="67" t="s">
        <v>82</v>
      </c>
      <c r="H110" s="68"/>
      <c r="I110" s="35">
        <v>59</v>
      </c>
      <c r="J110" s="9">
        <f t="shared" si="18"/>
        <v>1.6949152542372881E-2</v>
      </c>
      <c r="K110" s="39">
        <v>1</v>
      </c>
      <c r="L110" s="39"/>
      <c r="M110" s="39"/>
      <c r="N110" s="39"/>
      <c r="O110" s="39"/>
      <c r="P110" s="39"/>
      <c r="Q110" s="39"/>
      <c r="R110" s="39"/>
      <c r="S110" s="10">
        <f t="shared" si="22"/>
        <v>1</v>
      </c>
      <c r="T110" s="10">
        <v>100000</v>
      </c>
      <c r="U110" s="10">
        <f t="shared" si="24"/>
        <v>100000</v>
      </c>
      <c r="V110" s="4"/>
      <c r="W110" s="4"/>
      <c r="X110" s="4"/>
      <c r="Y110" s="4"/>
    </row>
    <row r="111" spans="2:25" ht="37.5" hidden="1">
      <c r="B111" s="58"/>
      <c r="C111" s="60"/>
      <c r="D111" s="52" t="s">
        <v>43</v>
      </c>
      <c r="E111" s="63"/>
      <c r="F111" s="8">
        <v>0.25</v>
      </c>
      <c r="G111" s="67" t="s">
        <v>82</v>
      </c>
      <c r="H111" s="68"/>
      <c r="I111" s="35">
        <v>60</v>
      </c>
      <c r="J111" s="9">
        <f t="shared" si="18"/>
        <v>0</v>
      </c>
      <c r="K111" s="39"/>
      <c r="L111" s="39"/>
      <c r="M111" s="39"/>
      <c r="N111" s="39"/>
      <c r="O111" s="39"/>
      <c r="P111" s="39"/>
      <c r="Q111" s="39"/>
      <c r="R111" s="39"/>
      <c r="S111" s="10">
        <f t="shared" si="22"/>
        <v>0</v>
      </c>
      <c r="T111" s="10">
        <v>100000</v>
      </c>
      <c r="U111" s="10">
        <f t="shared" si="24"/>
        <v>0</v>
      </c>
      <c r="V111" s="4"/>
      <c r="Y111" s="4"/>
    </row>
    <row r="112" spans="2:25" ht="37.5" hidden="1">
      <c r="B112" s="58"/>
      <c r="C112" s="60"/>
      <c r="D112" s="53" t="s">
        <v>43</v>
      </c>
      <c r="E112" s="64"/>
      <c r="F112" s="14">
        <v>0.33333333333333331</v>
      </c>
      <c r="G112" s="67" t="s">
        <v>82</v>
      </c>
      <c r="H112" s="68"/>
      <c r="I112" s="37">
        <v>60</v>
      </c>
      <c r="J112" s="9">
        <f t="shared" si="18"/>
        <v>0</v>
      </c>
      <c r="K112" s="40"/>
      <c r="L112" s="40"/>
      <c r="M112" s="40"/>
      <c r="N112" s="40"/>
      <c r="O112" s="40"/>
      <c r="P112" s="40"/>
      <c r="Q112" s="40"/>
      <c r="R112" s="40"/>
      <c r="S112" s="16">
        <f t="shared" si="22"/>
        <v>0</v>
      </c>
      <c r="T112" s="16">
        <v>100000</v>
      </c>
      <c r="U112" s="16">
        <f t="shared" si="24"/>
        <v>0</v>
      </c>
      <c r="V112" s="4"/>
      <c r="W112" s="4"/>
      <c r="X112" s="4"/>
      <c r="Y112" s="4"/>
    </row>
    <row r="113" spans="2:25" ht="39.75" hidden="1" customHeight="1">
      <c r="B113" s="58">
        <v>46090</v>
      </c>
      <c r="C113" s="59" t="s">
        <v>17</v>
      </c>
      <c r="D113" s="51" t="s">
        <v>43</v>
      </c>
      <c r="E113" s="62" t="s">
        <v>101</v>
      </c>
      <c r="F113" s="5">
        <v>0.41666666666666669</v>
      </c>
      <c r="G113" s="65" t="s">
        <v>76</v>
      </c>
      <c r="H113" s="66"/>
      <c r="I113" s="34"/>
      <c r="J113" s="6" t="str">
        <f t="shared" si="18"/>
        <v/>
      </c>
      <c r="K113" s="38"/>
      <c r="L113" s="38"/>
      <c r="M113" s="38"/>
      <c r="N113" s="38"/>
      <c r="O113" s="38"/>
      <c r="P113" s="38"/>
      <c r="Q113" s="38"/>
      <c r="R113" s="38"/>
      <c r="S113" s="7">
        <f>SUM(K113:R113)</f>
        <v>0</v>
      </c>
      <c r="T113" s="7">
        <v>100000</v>
      </c>
      <c r="U113" s="7">
        <f>T113*S113</f>
        <v>0</v>
      </c>
      <c r="V113" s="4"/>
      <c r="W113" s="4"/>
      <c r="X113" s="4"/>
      <c r="Y113" s="4"/>
    </row>
    <row r="114" spans="2:25" ht="37.5" hidden="1">
      <c r="B114" s="58"/>
      <c r="C114" s="60"/>
      <c r="D114" s="52" t="s">
        <v>43</v>
      </c>
      <c r="E114" s="63"/>
      <c r="F114" s="8">
        <v>0.5</v>
      </c>
      <c r="G114" s="67" t="s">
        <v>76</v>
      </c>
      <c r="H114" s="68"/>
      <c r="I114" s="35"/>
      <c r="J114" s="9" t="str">
        <f t="shared" si="18"/>
        <v/>
      </c>
      <c r="K114" s="39"/>
      <c r="L114" s="39"/>
      <c r="M114" s="39"/>
      <c r="N114" s="39"/>
      <c r="O114" s="39"/>
      <c r="P114" s="39"/>
      <c r="Q114" s="39"/>
      <c r="R114" s="39"/>
      <c r="S114" s="10">
        <f t="shared" ref="S114:S124" si="25">SUM(K114:R114)</f>
        <v>0</v>
      </c>
      <c r="T114" s="10">
        <v>100000</v>
      </c>
      <c r="U114" s="10">
        <f t="shared" ref="U114:U115" si="26">T114*S114</f>
        <v>0</v>
      </c>
      <c r="V114" s="4"/>
      <c r="W114" s="4"/>
      <c r="X114" s="4"/>
      <c r="Y114" s="4"/>
    </row>
    <row r="115" spans="2:25" ht="37.5" hidden="1">
      <c r="B115" s="58"/>
      <c r="C115" s="60"/>
      <c r="D115" s="52" t="s">
        <v>43</v>
      </c>
      <c r="E115" s="63"/>
      <c r="F115" s="8">
        <v>0.58333333333333337</v>
      </c>
      <c r="G115" s="67" t="s">
        <v>76</v>
      </c>
      <c r="H115" s="68"/>
      <c r="I115" s="35">
        <v>67</v>
      </c>
      <c r="J115" s="9">
        <f t="shared" si="18"/>
        <v>0.1044776119402985</v>
      </c>
      <c r="K115" s="39"/>
      <c r="L115" s="39"/>
      <c r="M115" s="39"/>
      <c r="N115" s="39"/>
      <c r="O115" s="39"/>
      <c r="P115" s="39"/>
      <c r="Q115" s="39">
        <v>7</v>
      </c>
      <c r="R115" s="39"/>
      <c r="S115" s="10">
        <f t="shared" si="25"/>
        <v>7</v>
      </c>
      <c r="T115" s="10">
        <v>100000</v>
      </c>
      <c r="U115" s="10">
        <f t="shared" si="26"/>
        <v>700000</v>
      </c>
      <c r="V115" s="4"/>
      <c r="W115" s="4"/>
      <c r="X115" s="4"/>
      <c r="Y115" s="4"/>
    </row>
    <row r="116" spans="2:25" ht="37.5" hidden="1">
      <c r="B116" s="58"/>
      <c r="C116" s="60"/>
      <c r="D116" s="52" t="s">
        <v>43</v>
      </c>
      <c r="E116" s="63"/>
      <c r="F116" s="8">
        <v>0.66666666666666663</v>
      </c>
      <c r="G116" s="67" t="s">
        <v>76</v>
      </c>
      <c r="H116" s="68"/>
      <c r="I116" s="35">
        <v>60</v>
      </c>
      <c r="J116" s="9">
        <f t="shared" si="18"/>
        <v>0</v>
      </c>
      <c r="K116" s="39"/>
      <c r="L116" s="39"/>
      <c r="M116" s="39"/>
      <c r="N116" s="39"/>
      <c r="O116" s="39"/>
      <c r="P116" s="39"/>
      <c r="Q116" s="39"/>
      <c r="R116" s="39"/>
      <c r="S116" s="10">
        <f t="shared" si="25"/>
        <v>0</v>
      </c>
      <c r="T116" s="10">
        <v>100000</v>
      </c>
      <c r="U116" s="10">
        <f>T116*S116</f>
        <v>0</v>
      </c>
      <c r="V116" s="4"/>
      <c r="W116" s="4"/>
      <c r="X116" s="4"/>
      <c r="Y116" s="4"/>
    </row>
    <row r="117" spans="2:25" ht="37.5" hidden="1">
      <c r="B117" s="58"/>
      <c r="C117" s="60"/>
      <c r="D117" s="52" t="s">
        <v>43</v>
      </c>
      <c r="E117" s="63"/>
      <c r="F117" s="8">
        <v>0.75</v>
      </c>
      <c r="G117" s="67" t="s">
        <v>76</v>
      </c>
      <c r="H117" s="68"/>
      <c r="I117" s="35">
        <v>60</v>
      </c>
      <c r="J117" s="9">
        <f t="shared" si="18"/>
        <v>0</v>
      </c>
      <c r="K117" s="39"/>
      <c r="L117" s="39"/>
      <c r="M117" s="39"/>
      <c r="N117" s="39"/>
      <c r="O117" s="39"/>
      <c r="P117" s="39"/>
      <c r="Q117" s="39"/>
      <c r="R117" s="39"/>
      <c r="S117" s="10">
        <f t="shared" si="25"/>
        <v>0</v>
      </c>
      <c r="T117" s="10">
        <v>100000</v>
      </c>
      <c r="U117" s="10">
        <f t="shared" ref="U117:U124" si="27">T117*S117</f>
        <v>0</v>
      </c>
      <c r="V117" s="4"/>
      <c r="W117" s="4"/>
      <c r="X117" s="11"/>
      <c r="Y117" s="4"/>
    </row>
    <row r="118" spans="2:25" ht="37.5" hidden="1">
      <c r="B118" s="58"/>
      <c r="C118" s="60"/>
      <c r="D118" s="53" t="s">
        <v>43</v>
      </c>
      <c r="E118" s="64"/>
      <c r="F118" s="12">
        <v>0.83333333333333337</v>
      </c>
      <c r="G118" s="67" t="s">
        <v>76</v>
      </c>
      <c r="H118" s="68"/>
      <c r="I118" s="36">
        <v>60</v>
      </c>
      <c r="J118" s="9">
        <f t="shared" si="18"/>
        <v>0</v>
      </c>
      <c r="K118" s="41"/>
      <c r="L118" s="41"/>
      <c r="M118" s="41"/>
      <c r="N118" s="41"/>
      <c r="O118" s="41"/>
      <c r="P118" s="41"/>
      <c r="Q118" s="41"/>
      <c r="R118" s="41"/>
      <c r="S118" s="13">
        <f t="shared" si="25"/>
        <v>0</v>
      </c>
      <c r="T118" s="13">
        <v>100000</v>
      </c>
      <c r="U118" s="13">
        <f t="shared" si="27"/>
        <v>0</v>
      </c>
      <c r="V118" s="4"/>
      <c r="Y118" s="4"/>
    </row>
    <row r="119" spans="2:25" ht="37.5" hidden="1">
      <c r="B119" s="58"/>
      <c r="C119" s="60"/>
      <c r="D119" s="51" t="s">
        <v>43</v>
      </c>
      <c r="E119" s="62" t="s">
        <v>102</v>
      </c>
      <c r="F119" s="5">
        <v>0.91666666666666663</v>
      </c>
      <c r="G119" s="65" t="s">
        <v>83</v>
      </c>
      <c r="H119" s="66"/>
      <c r="I119" s="34">
        <v>57</v>
      </c>
      <c r="J119" s="6">
        <f t="shared" si="18"/>
        <v>1.7543859649122806E-2</v>
      </c>
      <c r="K119" s="38">
        <v>1</v>
      </c>
      <c r="L119" s="38"/>
      <c r="M119" s="38"/>
      <c r="N119" s="38"/>
      <c r="O119" s="38"/>
      <c r="P119" s="38"/>
      <c r="Q119" s="38"/>
      <c r="R119" s="38"/>
      <c r="S119" s="7">
        <f t="shared" si="25"/>
        <v>1</v>
      </c>
      <c r="T119" s="7">
        <v>100000</v>
      </c>
      <c r="U119" s="7">
        <f t="shared" si="27"/>
        <v>100000</v>
      </c>
      <c r="V119" s="4"/>
      <c r="Y119" s="4"/>
    </row>
    <row r="120" spans="2:25" ht="37.5" hidden="1">
      <c r="B120" s="58"/>
      <c r="C120" s="60"/>
      <c r="D120" s="52" t="s">
        <v>43</v>
      </c>
      <c r="E120" s="63"/>
      <c r="F120" s="8">
        <v>1</v>
      </c>
      <c r="G120" s="67" t="s">
        <v>83</v>
      </c>
      <c r="H120" s="68"/>
      <c r="I120" s="35">
        <v>57</v>
      </c>
      <c r="J120" s="9">
        <f t="shared" si="18"/>
        <v>1.7543859649122806E-2</v>
      </c>
      <c r="K120" s="39">
        <v>1</v>
      </c>
      <c r="L120" s="39"/>
      <c r="M120" s="39"/>
      <c r="N120" s="39"/>
      <c r="O120" s="39"/>
      <c r="P120" s="39"/>
      <c r="Q120" s="39"/>
      <c r="R120" s="39"/>
      <c r="S120" s="10">
        <f t="shared" si="25"/>
        <v>1</v>
      </c>
      <c r="T120" s="10">
        <v>100000</v>
      </c>
      <c r="U120" s="10">
        <f t="shared" si="27"/>
        <v>100000</v>
      </c>
      <c r="V120" s="4"/>
      <c r="Y120" s="4"/>
    </row>
    <row r="121" spans="2:25" ht="37.5" hidden="1">
      <c r="B121" s="58"/>
      <c r="C121" s="60"/>
      <c r="D121" s="52" t="s">
        <v>43</v>
      </c>
      <c r="E121" s="63"/>
      <c r="F121" s="8">
        <v>8.3333333333333329E-2</v>
      </c>
      <c r="G121" s="67" t="s">
        <v>83</v>
      </c>
      <c r="H121" s="68"/>
      <c r="I121" s="35">
        <v>57</v>
      </c>
      <c r="J121" s="9">
        <f t="shared" si="18"/>
        <v>1.7543859649122806E-2</v>
      </c>
      <c r="K121" s="39">
        <v>1</v>
      </c>
      <c r="L121" s="39"/>
      <c r="M121" s="39"/>
      <c r="N121" s="39"/>
      <c r="O121" s="39"/>
      <c r="P121" s="39"/>
      <c r="Q121" s="39"/>
      <c r="R121" s="39"/>
      <c r="S121" s="10">
        <f t="shared" si="25"/>
        <v>1</v>
      </c>
      <c r="T121" s="10">
        <v>100000</v>
      </c>
      <c r="U121" s="10">
        <f t="shared" si="27"/>
        <v>100000</v>
      </c>
      <c r="V121" s="4"/>
      <c r="Y121" s="4"/>
    </row>
    <row r="122" spans="2:25" ht="37.5" hidden="1">
      <c r="B122" s="58"/>
      <c r="C122" s="60"/>
      <c r="D122" s="52" t="s">
        <v>43</v>
      </c>
      <c r="E122" s="63"/>
      <c r="F122" s="8">
        <v>0.16666666666666666</v>
      </c>
      <c r="G122" s="67" t="s">
        <v>83</v>
      </c>
      <c r="H122" s="68"/>
      <c r="I122" s="35">
        <v>57</v>
      </c>
      <c r="J122" s="9">
        <f t="shared" si="18"/>
        <v>0</v>
      </c>
      <c r="K122" s="39"/>
      <c r="L122" s="39"/>
      <c r="M122" s="39"/>
      <c r="N122" s="39"/>
      <c r="O122" s="39"/>
      <c r="P122" s="39"/>
      <c r="Q122" s="39"/>
      <c r="R122" s="39"/>
      <c r="S122" s="10">
        <f t="shared" si="25"/>
        <v>0</v>
      </c>
      <c r="T122" s="10">
        <v>100000</v>
      </c>
      <c r="U122" s="10">
        <f t="shared" si="27"/>
        <v>0</v>
      </c>
      <c r="V122" s="4"/>
      <c r="W122" s="4"/>
      <c r="X122" s="4"/>
      <c r="Y122" s="4"/>
    </row>
    <row r="123" spans="2:25" ht="37.5" hidden="1">
      <c r="B123" s="58"/>
      <c r="C123" s="60"/>
      <c r="D123" s="52" t="s">
        <v>43</v>
      </c>
      <c r="E123" s="63"/>
      <c r="F123" s="8">
        <v>0.25</v>
      </c>
      <c r="G123" s="67" t="s">
        <v>83</v>
      </c>
      <c r="H123" s="68"/>
      <c r="I123" s="35">
        <v>57</v>
      </c>
      <c r="J123" s="9">
        <f t="shared" si="18"/>
        <v>0</v>
      </c>
      <c r="K123" s="39"/>
      <c r="L123" s="39"/>
      <c r="M123" s="39"/>
      <c r="N123" s="39"/>
      <c r="O123" s="39"/>
      <c r="P123" s="39"/>
      <c r="Q123" s="39"/>
      <c r="R123" s="39"/>
      <c r="S123" s="10">
        <f t="shared" si="25"/>
        <v>0</v>
      </c>
      <c r="T123" s="10">
        <v>100000</v>
      </c>
      <c r="U123" s="10">
        <f t="shared" si="27"/>
        <v>0</v>
      </c>
      <c r="V123" s="4"/>
      <c r="Y123" s="4"/>
    </row>
    <row r="124" spans="2:25" ht="37.5" hidden="1">
      <c r="B124" s="58"/>
      <c r="C124" s="60"/>
      <c r="D124" s="53" t="s">
        <v>43</v>
      </c>
      <c r="E124" s="64"/>
      <c r="F124" s="14">
        <v>0.33333333333333331</v>
      </c>
      <c r="G124" s="67" t="s">
        <v>83</v>
      </c>
      <c r="H124" s="68"/>
      <c r="I124" s="37">
        <v>57</v>
      </c>
      <c r="J124" s="9">
        <f t="shared" si="18"/>
        <v>0</v>
      </c>
      <c r="K124" s="40"/>
      <c r="L124" s="40"/>
      <c r="M124" s="40"/>
      <c r="N124" s="40"/>
      <c r="O124" s="40"/>
      <c r="P124" s="40"/>
      <c r="Q124" s="40"/>
      <c r="R124" s="40"/>
      <c r="S124" s="16">
        <f t="shared" si="25"/>
        <v>0</v>
      </c>
      <c r="T124" s="16">
        <v>100000</v>
      </c>
      <c r="U124" s="16">
        <f t="shared" si="27"/>
        <v>0</v>
      </c>
      <c r="V124" s="4"/>
      <c r="W124" s="4"/>
      <c r="X124" s="4"/>
      <c r="Y124" s="4"/>
    </row>
    <row r="125" spans="2:25" ht="38.25" hidden="1" customHeight="1">
      <c r="B125" s="58">
        <v>46091</v>
      </c>
      <c r="C125" s="59" t="s">
        <v>17</v>
      </c>
      <c r="D125" s="51" t="s">
        <v>43</v>
      </c>
      <c r="E125" s="62" t="s">
        <v>101</v>
      </c>
      <c r="F125" s="5">
        <v>0.41666666666666669</v>
      </c>
      <c r="G125" s="65" t="s">
        <v>76</v>
      </c>
      <c r="H125" s="66"/>
      <c r="I125" s="34">
        <v>41</v>
      </c>
      <c r="J125" s="6">
        <f t="shared" si="18"/>
        <v>7.3170731707317069E-2</v>
      </c>
      <c r="K125" s="38"/>
      <c r="L125" s="38"/>
      <c r="M125" s="38"/>
      <c r="N125" s="38"/>
      <c r="O125" s="38"/>
      <c r="P125" s="38"/>
      <c r="Q125" s="38"/>
      <c r="R125" s="38">
        <v>3</v>
      </c>
      <c r="S125" s="7">
        <f>SUM(K125:R125)</f>
        <v>3</v>
      </c>
      <c r="T125" s="7">
        <v>100000</v>
      </c>
      <c r="U125" s="7">
        <f>T125*S125</f>
        <v>300000</v>
      </c>
      <c r="V125" s="4"/>
      <c r="W125" s="4"/>
      <c r="X125" s="4"/>
      <c r="Y125" s="4"/>
    </row>
    <row r="126" spans="2:25" ht="37.5" hidden="1">
      <c r="B126" s="58"/>
      <c r="C126" s="60"/>
      <c r="D126" s="52" t="s">
        <v>43</v>
      </c>
      <c r="E126" s="63"/>
      <c r="F126" s="8">
        <v>0.5</v>
      </c>
      <c r="G126" s="67" t="s">
        <v>76</v>
      </c>
      <c r="H126" s="68"/>
      <c r="I126" s="35">
        <v>50</v>
      </c>
      <c r="J126" s="9">
        <f t="shared" si="18"/>
        <v>0.04</v>
      </c>
      <c r="K126" s="39"/>
      <c r="L126" s="39"/>
      <c r="M126" s="39"/>
      <c r="N126" s="39"/>
      <c r="O126" s="39"/>
      <c r="P126" s="39"/>
      <c r="Q126" s="39"/>
      <c r="R126" s="39">
        <v>2</v>
      </c>
      <c r="S126" s="10">
        <f t="shared" ref="S126:S136" si="28">SUM(K126:R126)</f>
        <v>2</v>
      </c>
      <c r="T126" s="10">
        <v>100000</v>
      </c>
      <c r="U126" s="10">
        <f t="shared" ref="U126:U127" si="29">T126*S126</f>
        <v>200000</v>
      </c>
      <c r="V126" s="4"/>
      <c r="W126" s="4"/>
      <c r="X126" s="4"/>
      <c r="Y126" s="4"/>
    </row>
    <row r="127" spans="2:25" ht="37.5" hidden="1">
      <c r="B127" s="58"/>
      <c r="C127" s="60"/>
      <c r="D127" s="52" t="s">
        <v>43</v>
      </c>
      <c r="E127" s="63"/>
      <c r="F127" s="8">
        <v>0.58333333333333337</v>
      </c>
      <c r="G127" s="67" t="s">
        <v>76</v>
      </c>
      <c r="H127" s="68"/>
      <c r="I127" s="35">
        <v>60</v>
      </c>
      <c r="J127" s="9">
        <f t="shared" si="18"/>
        <v>3.3333333333333333E-2</v>
      </c>
      <c r="K127" s="39">
        <v>2</v>
      </c>
      <c r="L127" s="39"/>
      <c r="M127" s="39"/>
      <c r="N127" s="39"/>
      <c r="O127" s="39"/>
      <c r="P127" s="39"/>
      <c r="Q127" s="39"/>
      <c r="R127" s="39"/>
      <c r="S127" s="10">
        <f t="shared" si="28"/>
        <v>2</v>
      </c>
      <c r="T127" s="10">
        <v>100000</v>
      </c>
      <c r="U127" s="10">
        <f t="shared" si="29"/>
        <v>200000</v>
      </c>
      <c r="V127" s="4"/>
      <c r="W127" s="4"/>
      <c r="X127" s="4"/>
      <c r="Y127" s="4"/>
    </row>
    <row r="128" spans="2:25" ht="37.5" hidden="1">
      <c r="B128" s="58"/>
      <c r="C128" s="60"/>
      <c r="D128" s="52" t="s">
        <v>43</v>
      </c>
      <c r="E128" s="63"/>
      <c r="F128" s="8">
        <v>0.66666666666666663</v>
      </c>
      <c r="G128" s="67" t="s">
        <v>76</v>
      </c>
      <c r="H128" s="68"/>
      <c r="I128" s="35">
        <v>55</v>
      </c>
      <c r="J128" s="9">
        <f t="shared" si="18"/>
        <v>1.8181818181818181E-2</v>
      </c>
      <c r="K128" s="39"/>
      <c r="L128" s="39"/>
      <c r="M128" s="39"/>
      <c r="N128" s="39"/>
      <c r="O128" s="39"/>
      <c r="P128" s="39"/>
      <c r="Q128" s="39">
        <v>1</v>
      </c>
      <c r="R128" s="39"/>
      <c r="S128" s="10">
        <f t="shared" si="28"/>
        <v>1</v>
      </c>
      <c r="T128" s="10">
        <v>100000</v>
      </c>
      <c r="U128" s="10">
        <f>T128*S128</f>
        <v>100000</v>
      </c>
      <c r="V128" s="4"/>
      <c r="W128" s="4"/>
      <c r="X128" s="4"/>
      <c r="Y128" s="4"/>
    </row>
    <row r="129" spans="2:25" ht="37.5" hidden="1">
      <c r="B129" s="58"/>
      <c r="C129" s="60"/>
      <c r="D129" s="52" t="s">
        <v>43</v>
      </c>
      <c r="E129" s="63"/>
      <c r="F129" s="8">
        <v>0.75</v>
      </c>
      <c r="G129" s="67" t="s">
        <v>76</v>
      </c>
      <c r="H129" s="68"/>
      <c r="I129" s="35">
        <v>60</v>
      </c>
      <c r="J129" s="9">
        <f t="shared" si="18"/>
        <v>0</v>
      </c>
      <c r="K129" s="39"/>
      <c r="L129" s="39"/>
      <c r="M129" s="39"/>
      <c r="N129" s="39"/>
      <c r="O129" s="39"/>
      <c r="P129" s="39"/>
      <c r="Q129" s="39"/>
      <c r="R129" s="39"/>
      <c r="S129" s="10">
        <f t="shared" si="28"/>
        <v>0</v>
      </c>
      <c r="T129" s="10">
        <v>100000</v>
      </c>
      <c r="U129" s="10">
        <f t="shared" ref="U129:U136" si="30">T129*S129</f>
        <v>0</v>
      </c>
      <c r="V129" s="4"/>
      <c r="W129" s="4"/>
      <c r="X129" s="11"/>
      <c r="Y129" s="4"/>
    </row>
    <row r="130" spans="2:25" ht="37.5" hidden="1">
      <c r="B130" s="58"/>
      <c r="C130" s="60"/>
      <c r="D130" s="53" t="s">
        <v>43</v>
      </c>
      <c r="E130" s="64"/>
      <c r="F130" s="12">
        <v>0.83333333333333337</v>
      </c>
      <c r="G130" s="67" t="s">
        <v>76</v>
      </c>
      <c r="H130" s="68"/>
      <c r="I130" s="36">
        <v>0</v>
      </c>
      <c r="J130" s="9" t="str">
        <f t="shared" si="18"/>
        <v/>
      </c>
      <c r="K130" s="41"/>
      <c r="L130" s="41"/>
      <c r="M130" s="41"/>
      <c r="N130" s="41"/>
      <c r="O130" s="41"/>
      <c r="P130" s="41"/>
      <c r="Q130" s="41"/>
      <c r="R130" s="41"/>
      <c r="S130" s="13">
        <f t="shared" si="28"/>
        <v>0</v>
      </c>
      <c r="T130" s="13">
        <v>100000</v>
      </c>
      <c r="U130" s="13">
        <f t="shared" si="30"/>
        <v>0</v>
      </c>
      <c r="V130" s="4"/>
      <c r="Y130" s="4"/>
    </row>
    <row r="131" spans="2:25" ht="37.5" hidden="1">
      <c r="B131" s="58"/>
      <c r="C131" s="60"/>
      <c r="D131" s="51" t="s">
        <v>43</v>
      </c>
      <c r="E131" s="62" t="s">
        <v>102</v>
      </c>
      <c r="F131" s="5">
        <v>0.91666666666666663</v>
      </c>
      <c r="G131" s="65" t="s">
        <v>82</v>
      </c>
      <c r="H131" s="66"/>
      <c r="I131" s="34">
        <v>50</v>
      </c>
      <c r="J131" s="6">
        <f t="shared" si="18"/>
        <v>0.1</v>
      </c>
      <c r="K131" s="38">
        <v>1</v>
      </c>
      <c r="L131" s="38"/>
      <c r="M131" s="38"/>
      <c r="N131" s="38"/>
      <c r="O131" s="38"/>
      <c r="P131" s="38"/>
      <c r="Q131" s="38">
        <v>4</v>
      </c>
      <c r="R131" s="38"/>
      <c r="S131" s="7">
        <f t="shared" si="28"/>
        <v>5</v>
      </c>
      <c r="T131" s="7">
        <v>100000</v>
      </c>
      <c r="U131" s="7">
        <f t="shared" si="30"/>
        <v>500000</v>
      </c>
      <c r="V131" s="4"/>
      <c r="Y131" s="4"/>
    </row>
    <row r="132" spans="2:25" ht="37.5" hidden="1">
      <c r="B132" s="58"/>
      <c r="C132" s="60"/>
      <c r="D132" s="52" t="s">
        <v>43</v>
      </c>
      <c r="E132" s="63"/>
      <c r="F132" s="8">
        <v>1</v>
      </c>
      <c r="G132" s="67" t="s">
        <v>82</v>
      </c>
      <c r="H132" s="68"/>
      <c r="I132" s="35">
        <v>50</v>
      </c>
      <c r="J132" s="9">
        <f t="shared" si="18"/>
        <v>0</v>
      </c>
      <c r="K132" s="39"/>
      <c r="L132" s="39"/>
      <c r="M132" s="39"/>
      <c r="N132" s="39"/>
      <c r="O132" s="39"/>
      <c r="P132" s="39"/>
      <c r="Q132" s="39"/>
      <c r="R132" s="39"/>
      <c r="S132" s="10">
        <f t="shared" si="28"/>
        <v>0</v>
      </c>
      <c r="T132" s="10">
        <v>100000</v>
      </c>
      <c r="U132" s="10">
        <f t="shared" si="30"/>
        <v>0</v>
      </c>
      <c r="V132" s="4"/>
      <c r="Y132" s="4"/>
    </row>
    <row r="133" spans="2:25" ht="37.5" hidden="1">
      <c r="B133" s="58"/>
      <c r="C133" s="60"/>
      <c r="D133" s="52" t="s">
        <v>43</v>
      </c>
      <c r="E133" s="63"/>
      <c r="F133" s="8">
        <v>8.3333333333333329E-2</v>
      </c>
      <c r="G133" s="67" t="s">
        <v>82</v>
      </c>
      <c r="H133" s="68"/>
      <c r="I133" s="35">
        <v>50</v>
      </c>
      <c r="J133" s="9">
        <f t="shared" si="18"/>
        <v>0</v>
      </c>
      <c r="K133" s="39"/>
      <c r="L133" s="39"/>
      <c r="M133" s="39"/>
      <c r="N133" s="39"/>
      <c r="O133" s="39"/>
      <c r="P133" s="39"/>
      <c r="Q133" s="39"/>
      <c r="R133" s="39"/>
      <c r="S133" s="10">
        <f t="shared" si="28"/>
        <v>0</v>
      </c>
      <c r="T133" s="10">
        <v>100000</v>
      </c>
      <c r="U133" s="10">
        <f t="shared" si="30"/>
        <v>0</v>
      </c>
      <c r="V133" s="4"/>
      <c r="Y133" s="4"/>
    </row>
    <row r="134" spans="2:25" ht="37.5" hidden="1">
      <c r="B134" s="58"/>
      <c r="C134" s="60"/>
      <c r="D134" s="52" t="s">
        <v>43</v>
      </c>
      <c r="E134" s="63"/>
      <c r="F134" s="8">
        <v>0.16666666666666666</v>
      </c>
      <c r="G134" s="67" t="s">
        <v>82</v>
      </c>
      <c r="H134" s="68"/>
      <c r="I134" s="35">
        <v>50</v>
      </c>
      <c r="J134" s="9">
        <f t="shared" si="18"/>
        <v>0</v>
      </c>
      <c r="K134" s="39"/>
      <c r="L134" s="39"/>
      <c r="M134" s="39"/>
      <c r="N134" s="39"/>
      <c r="O134" s="39"/>
      <c r="P134" s="39"/>
      <c r="Q134" s="39"/>
      <c r="R134" s="39"/>
      <c r="S134" s="10">
        <f t="shared" si="28"/>
        <v>0</v>
      </c>
      <c r="T134" s="10">
        <v>100000</v>
      </c>
      <c r="U134" s="10">
        <f t="shared" si="30"/>
        <v>0</v>
      </c>
      <c r="V134" s="4"/>
      <c r="W134" s="4"/>
      <c r="X134" s="4"/>
      <c r="Y134" s="4"/>
    </row>
    <row r="135" spans="2:25" ht="37.5" hidden="1">
      <c r="B135" s="58"/>
      <c r="C135" s="60"/>
      <c r="D135" s="52" t="s">
        <v>43</v>
      </c>
      <c r="E135" s="63"/>
      <c r="F135" s="8">
        <v>0.25</v>
      </c>
      <c r="G135" s="67" t="s">
        <v>82</v>
      </c>
      <c r="H135" s="68"/>
      <c r="I135" s="35">
        <v>50</v>
      </c>
      <c r="J135" s="9">
        <f t="shared" si="18"/>
        <v>0</v>
      </c>
      <c r="K135" s="39"/>
      <c r="L135" s="39"/>
      <c r="M135" s="39"/>
      <c r="N135" s="39"/>
      <c r="O135" s="39"/>
      <c r="P135" s="39"/>
      <c r="Q135" s="39"/>
      <c r="R135" s="39"/>
      <c r="S135" s="10">
        <f t="shared" si="28"/>
        <v>0</v>
      </c>
      <c r="T135" s="10">
        <v>100000</v>
      </c>
      <c r="U135" s="10">
        <f t="shared" si="30"/>
        <v>0</v>
      </c>
      <c r="V135" s="4"/>
      <c r="Y135" s="4"/>
    </row>
    <row r="136" spans="2:25" ht="37.5" hidden="1">
      <c r="B136" s="58"/>
      <c r="C136" s="61"/>
      <c r="D136" s="53" t="s">
        <v>43</v>
      </c>
      <c r="E136" s="64"/>
      <c r="F136" s="14">
        <v>0.33333333333333331</v>
      </c>
      <c r="G136" s="67" t="s">
        <v>82</v>
      </c>
      <c r="H136" s="68"/>
      <c r="I136" s="37">
        <v>54</v>
      </c>
      <c r="J136" s="15">
        <f t="shared" si="18"/>
        <v>1.8518518518518517E-2</v>
      </c>
      <c r="K136" s="40">
        <v>1</v>
      </c>
      <c r="L136" s="40"/>
      <c r="M136" s="40"/>
      <c r="N136" s="40"/>
      <c r="O136" s="40"/>
      <c r="P136" s="40"/>
      <c r="Q136" s="40"/>
      <c r="R136" s="40"/>
      <c r="S136" s="16">
        <f t="shared" si="28"/>
        <v>1</v>
      </c>
      <c r="T136" s="16">
        <v>100000</v>
      </c>
      <c r="U136" s="16">
        <f t="shared" si="30"/>
        <v>100000</v>
      </c>
      <c r="V136" s="4"/>
      <c r="W136" s="4"/>
      <c r="X136" s="4"/>
      <c r="Y136" s="4"/>
    </row>
    <row r="137" spans="2:25" ht="39" hidden="1" customHeight="1">
      <c r="B137" s="58">
        <v>46092</v>
      </c>
      <c r="C137" s="59" t="s">
        <v>17</v>
      </c>
      <c r="D137" s="51" t="s">
        <v>43</v>
      </c>
      <c r="E137" s="62" t="s">
        <v>101</v>
      </c>
      <c r="F137" s="5">
        <v>0.41666666666666669</v>
      </c>
      <c r="G137" s="65" t="s">
        <v>78</v>
      </c>
      <c r="H137" s="66"/>
      <c r="I137" s="34">
        <v>38</v>
      </c>
      <c r="J137" s="6">
        <f t="shared" ref="J137:J148" si="31">IFERROR(S137/I137,"")</f>
        <v>7.8947368421052627E-2</v>
      </c>
      <c r="K137" s="38"/>
      <c r="L137" s="38"/>
      <c r="M137" s="38"/>
      <c r="N137" s="38"/>
      <c r="O137" s="38"/>
      <c r="P137" s="38"/>
      <c r="Q137" s="38">
        <v>2</v>
      </c>
      <c r="R137" s="38">
        <v>1</v>
      </c>
      <c r="S137" s="7">
        <f>SUM(K137:R137)</f>
        <v>3</v>
      </c>
      <c r="T137" s="7">
        <v>100000</v>
      </c>
      <c r="U137" s="7">
        <f>T137*S137</f>
        <v>300000</v>
      </c>
      <c r="V137" s="4"/>
      <c r="W137" s="4"/>
      <c r="X137" s="4"/>
      <c r="Y137" s="4"/>
    </row>
    <row r="138" spans="2:25" ht="18.75" hidden="1">
      <c r="B138" s="58"/>
      <c r="C138" s="60"/>
      <c r="D138" s="52"/>
      <c r="E138" s="63"/>
      <c r="F138" s="8">
        <v>0.5</v>
      </c>
      <c r="G138" s="67"/>
      <c r="H138" s="68"/>
      <c r="I138" s="35"/>
      <c r="J138" s="9" t="str">
        <f t="shared" si="31"/>
        <v/>
      </c>
      <c r="K138" s="39"/>
      <c r="L138" s="39"/>
      <c r="M138" s="39"/>
      <c r="N138" s="39"/>
      <c r="O138" s="39"/>
      <c r="P138" s="39"/>
      <c r="Q138" s="39"/>
      <c r="R138" s="39"/>
      <c r="S138" s="10">
        <f t="shared" ref="S138:S148" si="32">SUM(K138:R138)</f>
        <v>0</v>
      </c>
      <c r="T138" s="10">
        <v>100000</v>
      </c>
      <c r="U138" s="10">
        <f t="shared" ref="U138:U139" si="33">T138*S138</f>
        <v>0</v>
      </c>
      <c r="V138" s="4"/>
      <c r="W138" s="4"/>
      <c r="X138" s="4"/>
      <c r="Y138" s="4"/>
    </row>
    <row r="139" spans="2:25" ht="18.75" hidden="1">
      <c r="B139" s="58"/>
      <c r="C139" s="60"/>
      <c r="D139" s="52"/>
      <c r="E139" s="63"/>
      <c r="F139" s="8">
        <v>0.58333333333333337</v>
      </c>
      <c r="G139" s="67"/>
      <c r="H139" s="68"/>
      <c r="I139" s="35"/>
      <c r="J139" s="9" t="str">
        <f t="shared" si="31"/>
        <v/>
      </c>
      <c r="K139" s="39"/>
      <c r="L139" s="39"/>
      <c r="M139" s="39"/>
      <c r="N139" s="39"/>
      <c r="O139" s="39"/>
      <c r="P139" s="39"/>
      <c r="Q139" s="39"/>
      <c r="R139" s="39"/>
      <c r="S139" s="10">
        <f t="shared" si="32"/>
        <v>0</v>
      </c>
      <c r="T139" s="10">
        <v>100000</v>
      </c>
      <c r="U139" s="10">
        <f t="shared" si="33"/>
        <v>0</v>
      </c>
      <c r="V139" s="4"/>
      <c r="W139" s="4"/>
      <c r="X139" s="4"/>
      <c r="Y139" s="4"/>
    </row>
    <row r="140" spans="2:25" ht="18.75" hidden="1">
      <c r="B140" s="58"/>
      <c r="C140" s="60"/>
      <c r="D140" s="52"/>
      <c r="E140" s="63"/>
      <c r="F140" s="8">
        <v>0.66666666666666663</v>
      </c>
      <c r="G140" s="67"/>
      <c r="H140" s="68"/>
      <c r="I140" s="35"/>
      <c r="J140" s="9" t="str">
        <f t="shared" si="31"/>
        <v/>
      </c>
      <c r="K140" s="39"/>
      <c r="L140" s="39"/>
      <c r="M140" s="39"/>
      <c r="N140" s="39"/>
      <c r="O140" s="39"/>
      <c r="P140" s="39"/>
      <c r="Q140" s="39"/>
      <c r="R140" s="39"/>
      <c r="S140" s="10">
        <f t="shared" si="32"/>
        <v>0</v>
      </c>
      <c r="T140" s="10">
        <v>100000</v>
      </c>
      <c r="U140" s="10">
        <f>T140*S140</f>
        <v>0</v>
      </c>
      <c r="V140" s="4"/>
      <c r="W140" s="4"/>
      <c r="X140" s="4"/>
      <c r="Y140" s="4"/>
    </row>
    <row r="141" spans="2:25" ht="18.75" hidden="1">
      <c r="B141" s="58"/>
      <c r="C141" s="60"/>
      <c r="D141" s="52"/>
      <c r="E141" s="63"/>
      <c r="F141" s="8">
        <v>0.75</v>
      </c>
      <c r="G141" s="67"/>
      <c r="H141" s="68"/>
      <c r="I141" s="35"/>
      <c r="J141" s="9" t="str">
        <f t="shared" si="31"/>
        <v/>
      </c>
      <c r="K141" s="39"/>
      <c r="L141" s="39"/>
      <c r="M141" s="39"/>
      <c r="N141" s="39"/>
      <c r="O141" s="39"/>
      <c r="P141" s="39"/>
      <c r="Q141" s="39"/>
      <c r="R141" s="39"/>
      <c r="S141" s="10">
        <f t="shared" si="32"/>
        <v>0</v>
      </c>
      <c r="T141" s="10">
        <v>100000</v>
      </c>
      <c r="U141" s="10">
        <f t="shared" ref="U141:U148" si="34">T141*S141</f>
        <v>0</v>
      </c>
      <c r="V141" s="4"/>
      <c r="W141" s="4"/>
      <c r="X141" s="11"/>
      <c r="Y141" s="4"/>
    </row>
    <row r="142" spans="2:25" ht="18.75" hidden="1">
      <c r="B142" s="58"/>
      <c r="C142" s="60"/>
      <c r="D142" s="53"/>
      <c r="E142" s="64"/>
      <c r="F142" s="12">
        <v>0.83333333333333337</v>
      </c>
      <c r="G142" s="67"/>
      <c r="H142" s="68"/>
      <c r="I142" s="36"/>
      <c r="J142" s="9" t="str">
        <f t="shared" si="31"/>
        <v/>
      </c>
      <c r="K142" s="41"/>
      <c r="L142" s="41"/>
      <c r="M142" s="41"/>
      <c r="N142" s="41"/>
      <c r="O142" s="41"/>
      <c r="P142" s="41"/>
      <c r="Q142" s="41"/>
      <c r="R142" s="41"/>
      <c r="S142" s="13">
        <f t="shared" si="32"/>
        <v>0</v>
      </c>
      <c r="T142" s="13">
        <v>100000</v>
      </c>
      <c r="U142" s="13">
        <f t="shared" si="34"/>
        <v>0</v>
      </c>
      <c r="V142" s="4"/>
      <c r="Y142" s="4"/>
    </row>
    <row r="143" spans="2:25" ht="37.5" hidden="1">
      <c r="B143" s="58"/>
      <c r="C143" s="60"/>
      <c r="D143" s="51" t="s">
        <v>43</v>
      </c>
      <c r="E143" s="62" t="s">
        <v>102</v>
      </c>
      <c r="F143" s="5">
        <v>0.91666666666666663</v>
      </c>
      <c r="G143" s="65" t="s">
        <v>82</v>
      </c>
      <c r="H143" s="66"/>
      <c r="I143" s="34">
        <v>53</v>
      </c>
      <c r="J143" s="6">
        <f t="shared" si="31"/>
        <v>1.8867924528301886E-2</v>
      </c>
      <c r="K143" s="38">
        <v>1</v>
      </c>
      <c r="L143" s="38"/>
      <c r="M143" s="38"/>
      <c r="N143" s="38"/>
      <c r="O143" s="38"/>
      <c r="P143" s="38"/>
      <c r="Q143" s="38"/>
      <c r="R143" s="38"/>
      <c r="S143" s="7">
        <f t="shared" si="32"/>
        <v>1</v>
      </c>
      <c r="T143" s="7">
        <v>100000</v>
      </c>
      <c r="U143" s="7">
        <f t="shared" si="34"/>
        <v>100000</v>
      </c>
      <c r="V143" s="4"/>
      <c r="Y143" s="4"/>
    </row>
    <row r="144" spans="2:25" ht="37.5" hidden="1">
      <c r="B144" s="58"/>
      <c r="C144" s="60"/>
      <c r="D144" s="52" t="s">
        <v>43</v>
      </c>
      <c r="E144" s="63"/>
      <c r="F144" s="8">
        <v>1</v>
      </c>
      <c r="G144" s="67" t="s">
        <v>82</v>
      </c>
      <c r="H144" s="68"/>
      <c r="I144" s="35">
        <v>53</v>
      </c>
      <c r="J144" s="9">
        <f t="shared" si="31"/>
        <v>1.8867924528301886E-2</v>
      </c>
      <c r="K144" s="39">
        <v>1</v>
      </c>
      <c r="L144" s="39"/>
      <c r="M144" s="39"/>
      <c r="N144" s="39"/>
      <c r="O144" s="39"/>
      <c r="P144" s="39"/>
      <c r="Q144" s="39"/>
      <c r="R144" s="39"/>
      <c r="S144" s="10">
        <f t="shared" si="32"/>
        <v>1</v>
      </c>
      <c r="T144" s="10">
        <v>100000</v>
      </c>
      <c r="U144" s="10">
        <f t="shared" si="34"/>
        <v>100000</v>
      </c>
      <c r="V144" s="4"/>
      <c r="Y144" s="4"/>
    </row>
    <row r="145" spans="2:25" ht="37.5" hidden="1">
      <c r="B145" s="58"/>
      <c r="C145" s="60"/>
      <c r="D145" s="52" t="s">
        <v>43</v>
      </c>
      <c r="E145" s="63"/>
      <c r="F145" s="8">
        <v>8.3333333333333329E-2</v>
      </c>
      <c r="G145" s="67" t="s">
        <v>82</v>
      </c>
      <c r="H145" s="68"/>
      <c r="I145" s="35">
        <v>53</v>
      </c>
      <c r="J145" s="9">
        <f t="shared" si="31"/>
        <v>1.8867924528301886E-2</v>
      </c>
      <c r="K145" s="39">
        <v>1</v>
      </c>
      <c r="L145" s="39"/>
      <c r="M145" s="39"/>
      <c r="N145" s="39"/>
      <c r="O145" s="39"/>
      <c r="P145" s="39"/>
      <c r="Q145" s="39"/>
      <c r="R145" s="39"/>
      <c r="S145" s="10">
        <f t="shared" si="32"/>
        <v>1</v>
      </c>
      <c r="T145" s="10">
        <v>100000</v>
      </c>
      <c r="U145" s="10">
        <f t="shared" si="34"/>
        <v>100000</v>
      </c>
      <c r="V145" s="4"/>
      <c r="Y145" s="4"/>
    </row>
    <row r="146" spans="2:25" ht="37.5" hidden="1">
      <c r="B146" s="58"/>
      <c r="C146" s="60"/>
      <c r="D146" s="52" t="s">
        <v>43</v>
      </c>
      <c r="E146" s="63"/>
      <c r="F146" s="8">
        <v>0.16666666666666666</v>
      </c>
      <c r="G146" s="67" t="s">
        <v>82</v>
      </c>
      <c r="H146" s="68"/>
      <c r="I146" s="35">
        <v>54</v>
      </c>
      <c r="J146" s="9">
        <f t="shared" si="31"/>
        <v>0</v>
      </c>
      <c r="K146" s="39"/>
      <c r="L146" s="39"/>
      <c r="M146" s="39"/>
      <c r="N146" s="39"/>
      <c r="O146" s="39"/>
      <c r="P146" s="39"/>
      <c r="Q146" s="39"/>
      <c r="R146" s="39"/>
      <c r="S146" s="10">
        <f t="shared" si="32"/>
        <v>0</v>
      </c>
      <c r="T146" s="10">
        <v>100000</v>
      </c>
      <c r="U146" s="10">
        <f t="shared" si="34"/>
        <v>0</v>
      </c>
      <c r="V146" s="4"/>
      <c r="W146" s="4"/>
      <c r="X146" s="4"/>
      <c r="Y146" s="4"/>
    </row>
    <row r="147" spans="2:25" ht="37.5" hidden="1">
      <c r="B147" s="58"/>
      <c r="C147" s="60"/>
      <c r="D147" s="52" t="s">
        <v>43</v>
      </c>
      <c r="E147" s="63"/>
      <c r="F147" s="8">
        <v>0.25</v>
      </c>
      <c r="G147" s="67" t="s">
        <v>82</v>
      </c>
      <c r="H147" s="68"/>
      <c r="I147" s="35">
        <v>54</v>
      </c>
      <c r="J147" s="9">
        <f t="shared" si="31"/>
        <v>0</v>
      </c>
      <c r="K147" s="39"/>
      <c r="L147" s="39"/>
      <c r="M147" s="39"/>
      <c r="N147" s="39"/>
      <c r="O147" s="39"/>
      <c r="P147" s="39"/>
      <c r="Q147" s="39"/>
      <c r="R147" s="39"/>
      <c r="S147" s="10">
        <f t="shared" si="32"/>
        <v>0</v>
      </c>
      <c r="T147" s="10">
        <v>100000</v>
      </c>
      <c r="U147" s="10">
        <f t="shared" si="34"/>
        <v>0</v>
      </c>
      <c r="V147" s="4"/>
      <c r="Y147" s="4"/>
    </row>
    <row r="148" spans="2:25" ht="37.5" hidden="1">
      <c r="B148" s="58"/>
      <c r="C148" s="61"/>
      <c r="D148" s="53" t="s">
        <v>43</v>
      </c>
      <c r="E148" s="69"/>
      <c r="F148" s="14">
        <v>0.33333333333333331</v>
      </c>
      <c r="G148" s="67" t="s">
        <v>82</v>
      </c>
      <c r="H148" s="68"/>
      <c r="I148" s="37">
        <v>56</v>
      </c>
      <c r="J148" s="15">
        <f t="shared" si="31"/>
        <v>0</v>
      </c>
      <c r="K148" s="40"/>
      <c r="L148" s="40"/>
      <c r="M148" s="40"/>
      <c r="N148" s="40"/>
      <c r="O148" s="40"/>
      <c r="P148" s="40"/>
      <c r="Q148" s="40"/>
      <c r="R148" s="40"/>
      <c r="S148" s="16">
        <f t="shared" si="32"/>
        <v>0</v>
      </c>
      <c r="T148" s="16">
        <v>100000</v>
      </c>
      <c r="U148" s="16">
        <f t="shared" si="34"/>
        <v>0</v>
      </c>
      <c r="V148" s="4"/>
      <c r="W148" s="4"/>
      <c r="X148" s="4"/>
      <c r="Y148" s="4"/>
    </row>
    <row r="149" spans="2:25" ht="39" hidden="1" customHeight="1">
      <c r="B149" s="58">
        <v>46093</v>
      </c>
      <c r="C149" s="59" t="s">
        <v>17</v>
      </c>
      <c r="D149" s="51"/>
      <c r="E149" s="62" t="s">
        <v>101</v>
      </c>
      <c r="F149" s="5">
        <v>0.41666666666666669</v>
      </c>
      <c r="G149" s="65"/>
      <c r="H149" s="66"/>
      <c r="I149" s="34"/>
      <c r="J149" s="6" t="str">
        <f t="shared" ref="J149:J160" si="35">IFERROR(S149/I149,"")</f>
        <v/>
      </c>
      <c r="K149" s="38"/>
      <c r="L149" s="38"/>
      <c r="M149" s="38"/>
      <c r="N149" s="38"/>
      <c r="O149" s="38"/>
      <c r="P149" s="38"/>
      <c r="Q149" s="38"/>
      <c r="R149" s="38"/>
      <c r="S149" s="7">
        <f>SUM(K149:R149)</f>
        <v>0</v>
      </c>
      <c r="T149" s="7">
        <v>100000</v>
      </c>
      <c r="U149" s="7">
        <f>T149*S149</f>
        <v>0</v>
      </c>
      <c r="V149" s="4"/>
      <c r="W149" s="4"/>
      <c r="X149" s="4"/>
      <c r="Y149" s="4"/>
    </row>
    <row r="150" spans="2:25" ht="18.75" hidden="1">
      <c r="B150" s="58"/>
      <c r="C150" s="60"/>
      <c r="D150" s="52"/>
      <c r="E150" s="63"/>
      <c r="F150" s="8">
        <v>0.5</v>
      </c>
      <c r="G150" s="67"/>
      <c r="H150" s="68"/>
      <c r="I150" s="35"/>
      <c r="J150" s="9" t="str">
        <f t="shared" si="35"/>
        <v/>
      </c>
      <c r="K150" s="39"/>
      <c r="L150" s="39"/>
      <c r="M150" s="39"/>
      <c r="N150" s="39"/>
      <c r="O150" s="39"/>
      <c r="P150" s="39"/>
      <c r="Q150" s="39"/>
      <c r="R150" s="39"/>
      <c r="S150" s="10">
        <f t="shared" ref="S150:S160" si="36">SUM(K150:R150)</f>
        <v>0</v>
      </c>
      <c r="T150" s="10">
        <v>100000</v>
      </c>
      <c r="U150" s="10">
        <f t="shared" ref="U150:U151" si="37">T150*S150</f>
        <v>0</v>
      </c>
      <c r="V150" s="4"/>
      <c r="W150" s="4"/>
      <c r="X150" s="4"/>
      <c r="Y150" s="4"/>
    </row>
    <row r="151" spans="2:25" ht="18.75" hidden="1">
      <c r="B151" s="58"/>
      <c r="C151" s="60"/>
      <c r="D151" s="52"/>
      <c r="E151" s="63"/>
      <c r="F151" s="8">
        <v>0.58333333333333337</v>
      </c>
      <c r="G151" s="67"/>
      <c r="H151" s="68"/>
      <c r="I151" s="35"/>
      <c r="J151" s="9" t="str">
        <f t="shared" si="35"/>
        <v/>
      </c>
      <c r="K151" s="39"/>
      <c r="L151" s="39"/>
      <c r="M151" s="39"/>
      <c r="N151" s="39"/>
      <c r="O151" s="39"/>
      <c r="P151" s="39"/>
      <c r="Q151" s="39"/>
      <c r="R151" s="39"/>
      <c r="S151" s="10">
        <f t="shared" si="36"/>
        <v>0</v>
      </c>
      <c r="T151" s="10">
        <v>100000</v>
      </c>
      <c r="U151" s="10">
        <f t="shared" si="37"/>
        <v>0</v>
      </c>
      <c r="V151" s="4"/>
      <c r="W151" s="4"/>
      <c r="X151" s="4"/>
      <c r="Y151" s="4"/>
    </row>
    <row r="152" spans="2:25" ht="18.75" hidden="1">
      <c r="B152" s="58"/>
      <c r="C152" s="60"/>
      <c r="D152" s="52"/>
      <c r="E152" s="63"/>
      <c r="F152" s="8">
        <v>0.66666666666666663</v>
      </c>
      <c r="G152" s="67"/>
      <c r="H152" s="68"/>
      <c r="I152" s="35"/>
      <c r="J152" s="9" t="str">
        <f t="shared" si="35"/>
        <v/>
      </c>
      <c r="K152" s="39"/>
      <c r="L152" s="39"/>
      <c r="M152" s="39"/>
      <c r="N152" s="39"/>
      <c r="O152" s="39"/>
      <c r="P152" s="39"/>
      <c r="Q152" s="39"/>
      <c r="R152" s="39"/>
      <c r="S152" s="10">
        <f t="shared" si="36"/>
        <v>0</v>
      </c>
      <c r="T152" s="10">
        <v>100000</v>
      </c>
      <c r="U152" s="10">
        <f>T152*S152</f>
        <v>0</v>
      </c>
      <c r="V152" s="4"/>
      <c r="W152" s="4"/>
      <c r="X152" s="4"/>
      <c r="Y152" s="4"/>
    </row>
    <row r="153" spans="2:25" ht="18.75" hidden="1">
      <c r="B153" s="58"/>
      <c r="C153" s="60"/>
      <c r="D153" s="52"/>
      <c r="E153" s="63"/>
      <c r="F153" s="8">
        <v>0.75</v>
      </c>
      <c r="G153" s="67"/>
      <c r="H153" s="68"/>
      <c r="I153" s="35"/>
      <c r="J153" s="9" t="str">
        <f t="shared" si="35"/>
        <v/>
      </c>
      <c r="K153" s="39"/>
      <c r="L153" s="39"/>
      <c r="M153" s="39"/>
      <c r="N153" s="39"/>
      <c r="O153" s="39"/>
      <c r="P153" s="39"/>
      <c r="Q153" s="39"/>
      <c r="R153" s="39"/>
      <c r="S153" s="10">
        <f t="shared" si="36"/>
        <v>0</v>
      </c>
      <c r="T153" s="10">
        <v>100000</v>
      </c>
      <c r="U153" s="10">
        <f t="shared" ref="U153:U160" si="38">T153*S153</f>
        <v>0</v>
      </c>
      <c r="V153" s="4"/>
      <c r="W153" s="4"/>
      <c r="X153" s="11"/>
      <c r="Y153" s="4"/>
    </row>
    <row r="154" spans="2:25" ht="18.75" hidden="1">
      <c r="B154" s="58"/>
      <c r="C154" s="60"/>
      <c r="D154" s="53"/>
      <c r="E154" s="64"/>
      <c r="F154" s="12">
        <v>0.83333333333333337</v>
      </c>
      <c r="G154" s="67"/>
      <c r="H154" s="68"/>
      <c r="I154" s="36"/>
      <c r="J154" s="9" t="str">
        <f t="shared" si="35"/>
        <v/>
      </c>
      <c r="K154" s="41"/>
      <c r="L154" s="41"/>
      <c r="M154" s="41"/>
      <c r="N154" s="41"/>
      <c r="O154" s="41"/>
      <c r="P154" s="41"/>
      <c r="Q154" s="41"/>
      <c r="R154" s="41"/>
      <c r="S154" s="13">
        <f t="shared" si="36"/>
        <v>0</v>
      </c>
      <c r="T154" s="13">
        <v>100000</v>
      </c>
      <c r="U154" s="13">
        <f t="shared" si="38"/>
        <v>0</v>
      </c>
      <c r="V154" s="4"/>
      <c r="Y154" s="4"/>
    </row>
    <row r="155" spans="2:25" ht="18.75" hidden="1">
      <c r="B155" s="58"/>
      <c r="C155" s="60"/>
      <c r="D155" s="51"/>
      <c r="E155" s="62" t="s">
        <v>102</v>
      </c>
      <c r="F155" s="5">
        <v>0.91666666666666663</v>
      </c>
      <c r="G155" s="65"/>
      <c r="H155" s="66"/>
      <c r="I155" s="34"/>
      <c r="J155" s="6" t="str">
        <f t="shared" si="35"/>
        <v/>
      </c>
      <c r="K155" s="38"/>
      <c r="L155" s="38"/>
      <c r="M155" s="38"/>
      <c r="N155" s="38"/>
      <c r="O155" s="38"/>
      <c r="P155" s="38"/>
      <c r="Q155" s="38"/>
      <c r="R155" s="38"/>
      <c r="S155" s="7">
        <f t="shared" si="36"/>
        <v>0</v>
      </c>
      <c r="T155" s="7">
        <v>100000</v>
      </c>
      <c r="U155" s="7">
        <f t="shared" si="38"/>
        <v>0</v>
      </c>
      <c r="V155" s="4"/>
      <c r="Y155" s="4"/>
    </row>
    <row r="156" spans="2:25" ht="18.75" hidden="1">
      <c r="B156" s="58"/>
      <c r="C156" s="60"/>
      <c r="D156" s="52"/>
      <c r="E156" s="63"/>
      <c r="F156" s="8">
        <v>1</v>
      </c>
      <c r="G156" s="67"/>
      <c r="H156" s="68"/>
      <c r="I156" s="35"/>
      <c r="J156" s="9" t="str">
        <f t="shared" si="35"/>
        <v/>
      </c>
      <c r="K156" s="39"/>
      <c r="L156" s="39"/>
      <c r="M156" s="39"/>
      <c r="N156" s="39"/>
      <c r="O156" s="39"/>
      <c r="P156" s="39"/>
      <c r="Q156" s="39"/>
      <c r="R156" s="39"/>
      <c r="S156" s="10">
        <f t="shared" si="36"/>
        <v>0</v>
      </c>
      <c r="T156" s="10">
        <v>100000</v>
      </c>
      <c r="U156" s="10">
        <f t="shared" si="38"/>
        <v>0</v>
      </c>
      <c r="V156" s="4"/>
      <c r="Y156" s="4"/>
    </row>
    <row r="157" spans="2:25" ht="18.75" hidden="1">
      <c r="B157" s="58"/>
      <c r="C157" s="60"/>
      <c r="D157" s="52"/>
      <c r="E157" s="63"/>
      <c r="F157" s="8">
        <v>8.3333333333333329E-2</v>
      </c>
      <c r="G157" s="67"/>
      <c r="H157" s="68"/>
      <c r="I157" s="35"/>
      <c r="J157" s="9" t="str">
        <f t="shared" si="35"/>
        <v/>
      </c>
      <c r="K157" s="39"/>
      <c r="L157" s="39"/>
      <c r="M157" s="39"/>
      <c r="N157" s="39"/>
      <c r="O157" s="39"/>
      <c r="P157" s="39"/>
      <c r="Q157" s="39"/>
      <c r="R157" s="39"/>
      <c r="S157" s="10">
        <f t="shared" si="36"/>
        <v>0</v>
      </c>
      <c r="T157" s="10">
        <v>100000</v>
      </c>
      <c r="U157" s="10">
        <f t="shared" si="38"/>
        <v>0</v>
      </c>
      <c r="V157" s="4"/>
      <c r="Y157" s="4"/>
    </row>
    <row r="158" spans="2:25" ht="18.75" hidden="1">
      <c r="B158" s="58"/>
      <c r="C158" s="60"/>
      <c r="D158" s="52"/>
      <c r="E158" s="63"/>
      <c r="F158" s="8">
        <v>0.16666666666666666</v>
      </c>
      <c r="G158" s="67"/>
      <c r="H158" s="68"/>
      <c r="I158" s="35"/>
      <c r="J158" s="9" t="str">
        <f t="shared" si="35"/>
        <v/>
      </c>
      <c r="K158" s="39"/>
      <c r="L158" s="39"/>
      <c r="M158" s="39"/>
      <c r="N158" s="39"/>
      <c r="O158" s="39"/>
      <c r="P158" s="39"/>
      <c r="Q158" s="39"/>
      <c r="R158" s="39"/>
      <c r="S158" s="10">
        <f t="shared" si="36"/>
        <v>0</v>
      </c>
      <c r="T158" s="10">
        <v>100000</v>
      </c>
      <c r="U158" s="10">
        <f t="shared" si="38"/>
        <v>0</v>
      </c>
      <c r="V158" s="4"/>
      <c r="W158" s="4"/>
      <c r="X158" s="4"/>
      <c r="Y158" s="4"/>
    </row>
    <row r="159" spans="2:25" ht="18.75" hidden="1">
      <c r="B159" s="58"/>
      <c r="C159" s="60"/>
      <c r="D159" s="52"/>
      <c r="E159" s="63"/>
      <c r="F159" s="8">
        <v>0.25</v>
      </c>
      <c r="G159" s="67"/>
      <c r="H159" s="68"/>
      <c r="I159" s="35"/>
      <c r="J159" s="9" t="str">
        <f t="shared" si="35"/>
        <v/>
      </c>
      <c r="K159" s="39"/>
      <c r="L159" s="39"/>
      <c r="M159" s="39"/>
      <c r="N159" s="39"/>
      <c r="O159" s="39"/>
      <c r="P159" s="39"/>
      <c r="Q159" s="39"/>
      <c r="R159" s="39"/>
      <c r="S159" s="10">
        <f t="shared" si="36"/>
        <v>0</v>
      </c>
      <c r="T159" s="10">
        <v>100000</v>
      </c>
      <c r="U159" s="10">
        <f t="shared" si="38"/>
        <v>0</v>
      </c>
      <c r="V159" s="4"/>
      <c r="Y159" s="4"/>
    </row>
    <row r="160" spans="2:25" ht="18.75" hidden="1">
      <c r="B160" s="58"/>
      <c r="C160" s="61"/>
      <c r="D160" s="53"/>
      <c r="E160" s="69"/>
      <c r="F160" s="14">
        <v>0.33333333333333331</v>
      </c>
      <c r="G160" s="67"/>
      <c r="H160" s="68"/>
      <c r="I160" s="37"/>
      <c r="J160" s="15" t="str">
        <f t="shared" si="35"/>
        <v/>
      </c>
      <c r="K160" s="40"/>
      <c r="L160" s="40"/>
      <c r="M160" s="40"/>
      <c r="N160" s="40"/>
      <c r="O160" s="40"/>
      <c r="P160" s="40"/>
      <c r="Q160" s="40"/>
      <c r="R160" s="40"/>
      <c r="S160" s="16">
        <f t="shared" si="36"/>
        <v>0</v>
      </c>
      <c r="T160" s="16">
        <v>100000</v>
      </c>
      <c r="U160" s="16">
        <f t="shared" si="38"/>
        <v>0</v>
      </c>
      <c r="V160" s="4"/>
      <c r="W160" s="4"/>
      <c r="X160" s="4"/>
      <c r="Y160" s="4"/>
    </row>
    <row r="161" spans="2:25" ht="39.75" hidden="1" customHeight="1">
      <c r="B161" s="58">
        <v>46094</v>
      </c>
      <c r="C161" s="59" t="s">
        <v>17</v>
      </c>
      <c r="D161" s="51" t="s">
        <v>43</v>
      </c>
      <c r="E161" s="62" t="s">
        <v>101</v>
      </c>
      <c r="F161" s="5">
        <v>0.41666666666666669</v>
      </c>
      <c r="G161" s="65" t="s">
        <v>74</v>
      </c>
      <c r="H161" s="66"/>
      <c r="I161" s="34">
        <v>30</v>
      </c>
      <c r="J161" s="6">
        <f t="shared" ref="J161:J208" si="39">IFERROR(S161/I161,"")</f>
        <v>0.23333333333333334</v>
      </c>
      <c r="K161" s="38"/>
      <c r="L161" s="38"/>
      <c r="M161" s="38"/>
      <c r="N161" s="38"/>
      <c r="O161" s="38"/>
      <c r="P161" s="38"/>
      <c r="Q161" s="38">
        <v>4</v>
      </c>
      <c r="R161" s="38">
        <v>3</v>
      </c>
      <c r="S161" s="7">
        <f>SUM(K161:R161)</f>
        <v>7</v>
      </c>
      <c r="T161" s="7">
        <v>100000</v>
      </c>
      <c r="U161" s="7">
        <f>T161*S161</f>
        <v>700000</v>
      </c>
      <c r="V161" s="4"/>
      <c r="W161" s="4"/>
      <c r="X161" s="4"/>
      <c r="Y161" s="4"/>
    </row>
    <row r="162" spans="2:25" ht="37.5" hidden="1">
      <c r="B162" s="58"/>
      <c r="C162" s="60"/>
      <c r="D162" s="52" t="s">
        <v>43</v>
      </c>
      <c r="E162" s="63"/>
      <c r="F162" s="8">
        <v>0.5</v>
      </c>
      <c r="G162" s="67" t="s">
        <v>74</v>
      </c>
      <c r="H162" s="68"/>
      <c r="I162" s="35">
        <v>26</v>
      </c>
      <c r="J162" s="9">
        <f t="shared" si="39"/>
        <v>0</v>
      </c>
      <c r="K162" s="39"/>
      <c r="L162" s="39"/>
      <c r="M162" s="39"/>
      <c r="N162" s="39"/>
      <c r="O162" s="39"/>
      <c r="P162" s="39"/>
      <c r="Q162" s="39"/>
      <c r="R162" s="39"/>
      <c r="S162" s="10">
        <f t="shared" ref="S162:S172" si="40">SUM(K162:R162)</f>
        <v>0</v>
      </c>
      <c r="T162" s="10">
        <v>100000</v>
      </c>
      <c r="U162" s="10">
        <f t="shared" ref="U162:U163" si="41">T162*S162</f>
        <v>0</v>
      </c>
      <c r="V162" s="4"/>
      <c r="W162" s="4"/>
      <c r="X162" s="4"/>
      <c r="Y162" s="4"/>
    </row>
    <row r="163" spans="2:25" ht="37.5" hidden="1">
      <c r="B163" s="58"/>
      <c r="C163" s="60"/>
      <c r="D163" s="52" t="s">
        <v>43</v>
      </c>
      <c r="E163" s="63"/>
      <c r="F163" s="8">
        <v>0.58333333333333337</v>
      </c>
      <c r="G163" s="67" t="s">
        <v>74</v>
      </c>
      <c r="H163" s="68"/>
      <c r="I163" s="35">
        <v>60</v>
      </c>
      <c r="J163" s="9">
        <f t="shared" si="39"/>
        <v>0</v>
      </c>
      <c r="K163" s="39"/>
      <c r="L163" s="39"/>
      <c r="M163" s="39"/>
      <c r="N163" s="39"/>
      <c r="O163" s="39"/>
      <c r="P163" s="39"/>
      <c r="Q163" s="39"/>
      <c r="R163" s="39"/>
      <c r="S163" s="10">
        <f t="shared" si="40"/>
        <v>0</v>
      </c>
      <c r="T163" s="10">
        <v>100000</v>
      </c>
      <c r="U163" s="10">
        <f t="shared" si="41"/>
        <v>0</v>
      </c>
      <c r="V163" s="4"/>
      <c r="W163" s="4"/>
      <c r="X163" s="4"/>
      <c r="Y163" s="4"/>
    </row>
    <row r="164" spans="2:25" ht="37.5" hidden="1">
      <c r="B164" s="58"/>
      <c r="C164" s="60"/>
      <c r="D164" s="52" t="s">
        <v>43</v>
      </c>
      <c r="E164" s="63"/>
      <c r="F164" s="8">
        <v>0.66666666666666663</v>
      </c>
      <c r="G164" s="67" t="s">
        <v>74</v>
      </c>
      <c r="H164" s="68"/>
      <c r="I164" s="35">
        <v>50</v>
      </c>
      <c r="J164" s="9">
        <f t="shared" si="39"/>
        <v>0</v>
      </c>
      <c r="K164" s="39"/>
      <c r="L164" s="39"/>
      <c r="M164" s="39"/>
      <c r="N164" s="39"/>
      <c r="O164" s="39"/>
      <c r="P164" s="39"/>
      <c r="Q164" s="39"/>
      <c r="R164" s="39"/>
      <c r="S164" s="10">
        <f t="shared" si="40"/>
        <v>0</v>
      </c>
      <c r="T164" s="10">
        <v>100000</v>
      </c>
      <c r="U164" s="10">
        <f>T164*S164</f>
        <v>0</v>
      </c>
      <c r="V164" s="4"/>
      <c r="W164" s="4"/>
      <c r="X164" s="4"/>
      <c r="Y164" s="4"/>
    </row>
    <row r="165" spans="2:25" ht="37.5" hidden="1">
      <c r="B165" s="58"/>
      <c r="C165" s="60"/>
      <c r="D165" s="52" t="s">
        <v>43</v>
      </c>
      <c r="E165" s="63"/>
      <c r="F165" s="8">
        <v>0.75</v>
      </c>
      <c r="G165" s="67" t="s">
        <v>74</v>
      </c>
      <c r="H165" s="68"/>
      <c r="I165" s="35">
        <v>40</v>
      </c>
      <c r="J165" s="9">
        <f t="shared" si="39"/>
        <v>0</v>
      </c>
      <c r="K165" s="39"/>
      <c r="L165" s="39"/>
      <c r="M165" s="39"/>
      <c r="N165" s="39"/>
      <c r="O165" s="39"/>
      <c r="P165" s="39"/>
      <c r="Q165" s="39"/>
      <c r="R165" s="39"/>
      <c r="S165" s="10">
        <f t="shared" si="40"/>
        <v>0</v>
      </c>
      <c r="T165" s="10">
        <v>100000</v>
      </c>
      <c r="U165" s="10">
        <f t="shared" ref="U165:U172" si="42">T165*S165</f>
        <v>0</v>
      </c>
      <c r="V165" s="4"/>
      <c r="W165" s="4"/>
      <c r="X165" s="11"/>
      <c r="Y165" s="4"/>
    </row>
    <row r="166" spans="2:25" ht="37.5" hidden="1">
      <c r="B166" s="58"/>
      <c r="C166" s="60"/>
      <c r="D166" s="53" t="s">
        <v>43</v>
      </c>
      <c r="E166" s="64"/>
      <c r="F166" s="12">
        <v>0.83333333333333337</v>
      </c>
      <c r="G166" s="67" t="s">
        <v>74</v>
      </c>
      <c r="H166" s="68"/>
      <c r="I166" s="36">
        <v>60</v>
      </c>
      <c r="J166" s="9">
        <f t="shared" si="39"/>
        <v>0</v>
      </c>
      <c r="K166" s="41"/>
      <c r="L166" s="41"/>
      <c r="M166" s="41"/>
      <c r="N166" s="41"/>
      <c r="O166" s="41"/>
      <c r="P166" s="41"/>
      <c r="Q166" s="41"/>
      <c r="R166" s="41"/>
      <c r="S166" s="13">
        <f t="shared" si="40"/>
        <v>0</v>
      </c>
      <c r="T166" s="13">
        <v>100000</v>
      </c>
      <c r="U166" s="13">
        <f t="shared" si="42"/>
        <v>0</v>
      </c>
      <c r="V166" s="4"/>
      <c r="Y166" s="4"/>
    </row>
    <row r="167" spans="2:25" ht="37.5" hidden="1">
      <c r="B167" s="58"/>
      <c r="C167" s="60"/>
      <c r="D167" s="51" t="s">
        <v>43</v>
      </c>
      <c r="E167" s="62" t="s">
        <v>102</v>
      </c>
      <c r="F167" s="5">
        <v>0.91666666666666663</v>
      </c>
      <c r="G167" s="65" t="s">
        <v>82</v>
      </c>
      <c r="H167" s="66"/>
      <c r="I167" s="34">
        <v>53</v>
      </c>
      <c r="J167" s="6">
        <f t="shared" si="39"/>
        <v>1.8867924528301886E-2</v>
      </c>
      <c r="K167" s="38">
        <v>1</v>
      </c>
      <c r="L167" s="38"/>
      <c r="M167" s="38"/>
      <c r="N167" s="38"/>
      <c r="O167" s="38"/>
      <c r="P167" s="38"/>
      <c r="Q167" s="38"/>
      <c r="R167" s="38"/>
      <c r="S167" s="7">
        <f t="shared" si="40"/>
        <v>1</v>
      </c>
      <c r="T167" s="7">
        <v>100000</v>
      </c>
      <c r="U167" s="7">
        <f t="shared" si="42"/>
        <v>100000</v>
      </c>
      <c r="V167" s="4"/>
      <c r="Y167" s="4"/>
    </row>
    <row r="168" spans="2:25" ht="37.5" hidden="1">
      <c r="B168" s="58"/>
      <c r="C168" s="60"/>
      <c r="D168" s="52" t="s">
        <v>43</v>
      </c>
      <c r="E168" s="63"/>
      <c r="F168" s="8">
        <v>1</v>
      </c>
      <c r="G168" s="67" t="s">
        <v>82</v>
      </c>
      <c r="H168" s="68"/>
      <c r="I168" s="35">
        <v>53</v>
      </c>
      <c r="J168" s="9">
        <f t="shared" si="39"/>
        <v>1.8867924528301886E-2</v>
      </c>
      <c r="K168" s="39">
        <v>1</v>
      </c>
      <c r="L168" s="39"/>
      <c r="M168" s="39"/>
      <c r="N168" s="39"/>
      <c r="O168" s="39"/>
      <c r="P168" s="39"/>
      <c r="Q168" s="39"/>
      <c r="R168" s="39"/>
      <c r="S168" s="10">
        <f t="shared" si="40"/>
        <v>1</v>
      </c>
      <c r="T168" s="10">
        <v>100000</v>
      </c>
      <c r="U168" s="10">
        <f t="shared" si="42"/>
        <v>100000</v>
      </c>
      <c r="V168" s="4"/>
      <c r="Y168" s="4"/>
    </row>
    <row r="169" spans="2:25" ht="37.5" hidden="1">
      <c r="B169" s="58"/>
      <c r="C169" s="60"/>
      <c r="D169" s="52" t="s">
        <v>43</v>
      </c>
      <c r="E169" s="63"/>
      <c r="F169" s="8">
        <v>8.3333333333333329E-2</v>
      </c>
      <c r="G169" s="67" t="s">
        <v>82</v>
      </c>
      <c r="H169" s="68"/>
      <c r="I169" s="35">
        <v>53</v>
      </c>
      <c r="J169" s="9">
        <f t="shared" si="39"/>
        <v>1.8867924528301886E-2</v>
      </c>
      <c r="K169" s="39">
        <v>1</v>
      </c>
      <c r="L169" s="39"/>
      <c r="M169" s="39"/>
      <c r="N169" s="39"/>
      <c r="O169" s="39"/>
      <c r="P169" s="39"/>
      <c r="Q169" s="39"/>
      <c r="R169" s="39"/>
      <c r="S169" s="10">
        <f t="shared" si="40"/>
        <v>1</v>
      </c>
      <c r="T169" s="10">
        <v>100000</v>
      </c>
      <c r="U169" s="10">
        <f t="shared" si="42"/>
        <v>100000</v>
      </c>
      <c r="V169" s="4"/>
      <c r="Y169" s="4"/>
    </row>
    <row r="170" spans="2:25" ht="37.5" hidden="1">
      <c r="B170" s="58"/>
      <c r="C170" s="60"/>
      <c r="D170" s="52" t="s">
        <v>43</v>
      </c>
      <c r="E170" s="63"/>
      <c r="F170" s="8">
        <v>0.16666666666666666</v>
      </c>
      <c r="G170" s="67" t="s">
        <v>82</v>
      </c>
      <c r="H170" s="68"/>
      <c r="I170" s="35">
        <v>42</v>
      </c>
      <c r="J170" s="9">
        <f t="shared" si="39"/>
        <v>2.3809523809523808E-2</v>
      </c>
      <c r="K170" s="39">
        <v>1</v>
      </c>
      <c r="L170" s="39"/>
      <c r="M170" s="39"/>
      <c r="N170" s="39"/>
      <c r="O170" s="39"/>
      <c r="P170" s="39"/>
      <c r="Q170" s="39"/>
      <c r="R170" s="39"/>
      <c r="S170" s="10">
        <f t="shared" si="40"/>
        <v>1</v>
      </c>
      <c r="T170" s="10">
        <v>100000</v>
      </c>
      <c r="U170" s="10">
        <f t="shared" si="42"/>
        <v>100000</v>
      </c>
      <c r="V170" s="4"/>
      <c r="W170" s="4"/>
      <c r="X170" s="4"/>
      <c r="Y170" s="4"/>
    </row>
    <row r="171" spans="2:25" ht="37.5" hidden="1">
      <c r="B171" s="58"/>
      <c r="C171" s="60"/>
      <c r="D171" s="52" t="s">
        <v>43</v>
      </c>
      <c r="E171" s="63"/>
      <c r="F171" s="8">
        <v>0.25</v>
      </c>
      <c r="G171" s="67" t="s">
        <v>82</v>
      </c>
      <c r="H171" s="68"/>
      <c r="I171" s="35">
        <v>55</v>
      </c>
      <c r="J171" s="9">
        <f t="shared" si="39"/>
        <v>1.8181818181818181E-2</v>
      </c>
      <c r="K171" s="39">
        <v>1</v>
      </c>
      <c r="L171" s="39"/>
      <c r="M171" s="39"/>
      <c r="N171" s="39"/>
      <c r="O171" s="39"/>
      <c r="P171" s="39"/>
      <c r="Q171" s="39"/>
      <c r="R171" s="39"/>
      <c r="S171" s="10">
        <f t="shared" si="40"/>
        <v>1</v>
      </c>
      <c r="T171" s="10">
        <v>100000</v>
      </c>
      <c r="U171" s="10">
        <f t="shared" si="42"/>
        <v>100000</v>
      </c>
      <c r="V171" s="4"/>
      <c r="Y171" s="4"/>
    </row>
    <row r="172" spans="2:25" ht="37.5" hidden="1">
      <c r="B172" s="58"/>
      <c r="C172" s="61"/>
      <c r="D172" s="53" t="s">
        <v>43</v>
      </c>
      <c r="E172" s="69"/>
      <c r="F172" s="14">
        <v>0.33333333333333331</v>
      </c>
      <c r="G172" s="67" t="s">
        <v>82</v>
      </c>
      <c r="H172" s="68"/>
      <c r="I172" s="37">
        <v>56</v>
      </c>
      <c r="J172" s="15">
        <f t="shared" si="39"/>
        <v>1.7857142857142856E-2</v>
      </c>
      <c r="K172" s="40">
        <v>1</v>
      </c>
      <c r="L172" s="40"/>
      <c r="M172" s="40"/>
      <c r="N172" s="40"/>
      <c r="O172" s="40"/>
      <c r="P172" s="40"/>
      <c r="Q172" s="40"/>
      <c r="R172" s="40"/>
      <c r="S172" s="16">
        <f t="shared" si="40"/>
        <v>1</v>
      </c>
      <c r="T172" s="16">
        <v>100000</v>
      </c>
      <c r="U172" s="16">
        <f t="shared" si="42"/>
        <v>100000</v>
      </c>
      <c r="V172" s="4"/>
      <c r="W172" s="4"/>
      <c r="X172" s="4"/>
      <c r="Y172" s="4"/>
    </row>
    <row r="173" spans="2:25" ht="36.75" hidden="1" customHeight="1">
      <c r="B173" s="58">
        <v>46095</v>
      </c>
      <c r="C173" s="59" t="s">
        <v>17</v>
      </c>
      <c r="D173" s="55" t="s">
        <v>43</v>
      </c>
      <c r="E173" s="62" t="s">
        <v>101</v>
      </c>
      <c r="F173" s="5">
        <v>0.41666666666666669</v>
      </c>
      <c r="G173" s="93" t="s">
        <v>77</v>
      </c>
      <c r="H173" s="94"/>
      <c r="I173" s="34">
        <v>60</v>
      </c>
      <c r="J173" s="6">
        <f t="shared" si="39"/>
        <v>8.3333333333333329E-2</v>
      </c>
      <c r="K173" s="38"/>
      <c r="L173" s="38"/>
      <c r="M173" s="38"/>
      <c r="N173" s="38"/>
      <c r="O173" s="38"/>
      <c r="P173" s="38"/>
      <c r="Q173" s="38">
        <v>5</v>
      </c>
      <c r="R173" s="38"/>
      <c r="S173" s="7">
        <f>SUM(K173:R173)</f>
        <v>5</v>
      </c>
      <c r="T173" s="7">
        <v>100000</v>
      </c>
      <c r="U173" s="7">
        <f>T173*S173</f>
        <v>500000</v>
      </c>
      <c r="V173" s="4"/>
      <c r="W173" s="4"/>
      <c r="X173" s="4"/>
      <c r="Y173" s="4"/>
    </row>
    <row r="174" spans="2:25" ht="37.5" hidden="1">
      <c r="B174" s="58"/>
      <c r="C174" s="60"/>
      <c r="D174" s="56" t="s">
        <v>43</v>
      </c>
      <c r="E174" s="63"/>
      <c r="F174" s="8">
        <v>0.5</v>
      </c>
      <c r="G174" s="95" t="s">
        <v>77</v>
      </c>
      <c r="H174" s="96"/>
      <c r="I174" s="35"/>
      <c r="J174" s="9" t="str">
        <f t="shared" si="39"/>
        <v/>
      </c>
      <c r="K174" s="39"/>
      <c r="L174" s="39"/>
      <c r="M174" s="39"/>
      <c r="N174" s="39"/>
      <c r="O174" s="39"/>
      <c r="P174" s="39"/>
      <c r="Q174" s="39"/>
      <c r="R174" s="39"/>
      <c r="S174" s="10">
        <f t="shared" ref="S174:S184" si="43">SUM(K174:R174)</f>
        <v>0</v>
      </c>
      <c r="T174" s="10">
        <v>100000</v>
      </c>
      <c r="U174" s="10">
        <f t="shared" ref="U174:U175" si="44">T174*S174</f>
        <v>0</v>
      </c>
      <c r="V174" s="4"/>
      <c r="W174" s="4"/>
      <c r="X174" s="4"/>
      <c r="Y174" s="4"/>
    </row>
    <row r="175" spans="2:25" ht="37.5" hidden="1">
      <c r="B175" s="58"/>
      <c r="C175" s="60"/>
      <c r="D175" s="56" t="s">
        <v>43</v>
      </c>
      <c r="E175" s="63"/>
      <c r="F175" s="8">
        <v>0.58333333333333337</v>
      </c>
      <c r="G175" s="95" t="s">
        <v>77</v>
      </c>
      <c r="H175" s="96"/>
      <c r="I175" s="35"/>
      <c r="J175" s="9" t="str">
        <f t="shared" si="39"/>
        <v/>
      </c>
      <c r="K175" s="39"/>
      <c r="L175" s="39"/>
      <c r="M175" s="39"/>
      <c r="N175" s="39"/>
      <c r="O175" s="39"/>
      <c r="P175" s="39"/>
      <c r="Q175" s="39"/>
      <c r="R175" s="39"/>
      <c r="S175" s="10">
        <f t="shared" si="43"/>
        <v>0</v>
      </c>
      <c r="T175" s="10">
        <v>100000</v>
      </c>
      <c r="U175" s="10">
        <f t="shared" si="44"/>
        <v>0</v>
      </c>
      <c r="V175" s="4"/>
      <c r="W175" s="4"/>
      <c r="X175" s="4"/>
      <c r="Y175" s="4"/>
    </row>
    <row r="176" spans="2:25" ht="37.5" hidden="1">
      <c r="B176" s="58"/>
      <c r="C176" s="60"/>
      <c r="D176" s="56" t="s">
        <v>43</v>
      </c>
      <c r="E176" s="63"/>
      <c r="F176" s="8">
        <v>0.66666666666666663</v>
      </c>
      <c r="G176" s="95" t="s">
        <v>77</v>
      </c>
      <c r="H176" s="96"/>
      <c r="I176" s="35">
        <v>58</v>
      </c>
      <c r="J176" s="9">
        <f t="shared" si="39"/>
        <v>0</v>
      </c>
      <c r="K176" s="39"/>
      <c r="L176" s="39"/>
      <c r="M176" s="39"/>
      <c r="N176" s="39"/>
      <c r="O176" s="39"/>
      <c r="P176" s="39"/>
      <c r="Q176" s="39"/>
      <c r="R176" s="39"/>
      <c r="S176" s="10">
        <f t="shared" si="43"/>
        <v>0</v>
      </c>
      <c r="T176" s="10">
        <v>100000</v>
      </c>
      <c r="U176" s="10">
        <f>T176*S176</f>
        <v>0</v>
      </c>
      <c r="V176" s="4"/>
      <c r="W176" s="4"/>
      <c r="X176" s="4"/>
      <c r="Y176" s="4"/>
    </row>
    <row r="177" spans="2:25" ht="37.5" hidden="1">
      <c r="B177" s="58"/>
      <c r="C177" s="60"/>
      <c r="D177" s="56" t="s">
        <v>43</v>
      </c>
      <c r="E177" s="63"/>
      <c r="F177" s="8">
        <v>0.75</v>
      </c>
      <c r="G177" s="95" t="s">
        <v>77</v>
      </c>
      <c r="H177" s="96"/>
      <c r="I177" s="35">
        <v>23</v>
      </c>
      <c r="J177" s="9">
        <f t="shared" si="39"/>
        <v>0</v>
      </c>
      <c r="K177" s="39"/>
      <c r="L177" s="39"/>
      <c r="M177" s="39"/>
      <c r="N177" s="39"/>
      <c r="O177" s="39"/>
      <c r="P177" s="39"/>
      <c r="Q177" s="39"/>
      <c r="R177" s="39"/>
      <c r="S177" s="10">
        <f t="shared" si="43"/>
        <v>0</v>
      </c>
      <c r="T177" s="10">
        <v>100000</v>
      </c>
      <c r="U177" s="10">
        <f t="shared" ref="U177:U184" si="45">T177*S177</f>
        <v>0</v>
      </c>
      <c r="V177" s="4"/>
      <c r="W177" s="4"/>
      <c r="X177" s="11"/>
      <c r="Y177" s="4"/>
    </row>
    <row r="178" spans="2:25" ht="37.5" hidden="1">
      <c r="B178" s="58"/>
      <c r="C178" s="60"/>
      <c r="D178" s="57" t="s">
        <v>43</v>
      </c>
      <c r="E178" s="64"/>
      <c r="F178" s="12">
        <v>0.83333333333333337</v>
      </c>
      <c r="G178" s="97" t="s">
        <v>77</v>
      </c>
      <c r="H178" s="98"/>
      <c r="I178" s="36">
        <v>30</v>
      </c>
      <c r="J178" s="9">
        <f t="shared" si="39"/>
        <v>0</v>
      </c>
      <c r="K178" s="41"/>
      <c r="L178" s="41"/>
      <c r="M178" s="41"/>
      <c r="N178" s="41"/>
      <c r="O178" s="41"/>
      <c r="P178" s="41"/>
      <c r="Q178" s="41"/>
      <c r="R178" s="41"/>
      <c r="S178" s="13">
        <f t="shared" si="43"/>
        <v>0</v>
      </c>
      <c r="T178" s="13">
        <v>100000</v>
      </c>
      <c r="U178" s="13">
        <f t="shared" si="45"/>
        <v>0</v>
      </c>
      <c r="V178" s="4"/>
      <c r="Y178" s="4"/>
    </row>
    <row r="179" spans="2:25" ht="37.5" hidden="1">
      <c r="B179" s="58"/>
      <c r="C179" s="60"/>
      <c r="D179" s="55" t="s">
        <v>43</v>
      </c>
      <c r="E179" s="62" t="s">
        <v>102</v>
      </c>
      <c r="F179" s="5">
        <v>0.91666666666666663</v>
      </c>
      <c r="G179" s="65" t="s">
        <v>82</v>
      </c>
      <c r="H179" s="66"/>
      <c r="I179" s="34">
        <v>57</v>
      </c>
      <c r="J179" s="6">
        <f t="shared" si="39"/>
        <v>1.7543859649122806E-2</v>
      </c>
      <c r="K179" s="38">
        <v>1</v>
      </c>
      <c r="L179" s="38"/>
      <c r="M179" s="38"/>
      <c r="N179" s="38"/>
      <c r="O179" s="38"/>
      <c r="P179" s="38"/>
      <c r="Q179" s="38"/>
      <c r="R179" s="38"/>
      <c r="S179" s="7">
        <f t="shared" si="43"/>
        <v>1</v>
      </c>
      <c r="T179" s="7">
        <v>100000</v>
      </c>
      <c r="U179" s="7">
        <f t="shared" si="45"/>
        <v>100000</v>
      </c>
      <c r="V179" s="4"/>
      <c r="Y179" s="4"/>
    </row>
    <row r="180" spans="2:25" ht="37.5" hidden="1">
      <c r="B180" s="58"/>
      <c r="C180" s="60"/>
      <c r="D180" s="56" t="s">
        <v>43</v>
      </c>
      <c r="E180" s="63"/>
      <c r="F180" s="8">
        <v>1</v>
      </c>
      <c r="G180" s="67" t="s">
        <v>82</v>
      </c>
      <c r="H180" s="68"/>
      <c r="I180" s="35">
        <v>57</v>
      </c>
      <c r="J180" s="9">
        <f t="shared" si="39"/>
        <v>0</v>
      </c>
      <c r="K180" s="39"/>
      <c r="L180" s="39"/>
      <c r="M180" s="39"/>
      <c r="N180" s="39"/>
      <c r="O180" s="39"/>
      <c r="P180" s="39"/>
      <c r="Q180" s="39"/>
      <c r="R180" s="39"/>
      <c r="S180" s="10">
        <f t="shared" si="43"/>
        <v>0</v>
      </c>
      <c r="T180" s="10">
        <v>100000</v>
      </c>
      <c r="U180" s="10">
        <f t="shared" si="45"/>
        <v>0</v>
      </c>
      <c r="V180" s="4"/>
      <c r="Y180" s="4"/>
    </row>
    <row r="181" spans="2:25" ht="37.5" hidden="1">
      <c r="B181" s="58"/>
      <c r="C181" s="60"/>
      <c r="D181" s="56" t="s">
        <v>43</v>
      </c>
      <c r="E181" s="63"/>
      <c r="F181" s="8">
        <v>8.3333333333333329E-2</v>
      </c>
      <c r="G181" s="67" t="s">
        <v>82</v>
      </c>
      <c r="H181" s="68"/>
      <c r="I181" s="35">
        <v>57</v>
      </c>
      <c r="J181" s="9">
        <f t="shared" si="39"/>
        <v>0</v>
      </c>
      <c r="K181" s="39"/>
      <c r="L181" s="39"/>
      <c r="M181" s="39"/>
      <c r="N181" s="39"/>
      <c r="O181" s="39"/>
      <c r="P181" s="39"/>
      <c r="Q181" s="39"/>
      <c r="R181" s="39"/>
      <c r="S181" s="10">
        <f t="shared" si="43"/>
        <v>0</v>
      </c>
      <c r="T181" s="10">
        <v>100000</v>
      </c>
      <c r="U181" s="10">
        <f t="shared" si="45"/>
        <v>0</v>
      </c>
      <c r="V181" s="4"/>
      <c r="Y181" s="4"/>
    </row>
    <row r="182" spans="2:25" ht="37.5" hidden="1">
      <c r="B182" s="58"/>
      <c r="C182" s="60"/>
      <c r="D182" s="56" t="s">
        <v>43</v>
      </c>
      <c r="E182" s="63"/>
      <c r="F182" s="8">
        <v>0.16666666666666666</v>
      </c>
      <c r="G182" s="67" t="s">
        <v>82</v>
      </c>
      <c r="H182" s="68"/>
      <c r="I182" s="35">
        <v>57</v>
      </c>
      <c r="J182" s="9">
        <f t="shared" si="39"/>
        <v>0</v>
      </c>
      <c r="K182" s="39"/>
      <c r="L182" s="39"/>
      <c r="M182" s="39"/>
      <c r="N182" s="39"/>
      <c r="O182" s="39"/>
      <c r="P182" s="39"/>
      <c r="Q182" s="39"/>
      <c r="R182" s="39"/>
      <c r="S182" s="10">
        <f t="shared" si="43"/>
        <v>0</v>
      </c>
      <c r="T182" s="10">
        <v>100000</v>
      </c>
      <c r="U182" s="10">
        <f t="shared" si="45"/>
        <v>0</v>
      </c>
      <c r="V182" s="4"/>
      <c r="W182" s="4"/>
      <c r="X182" s="4"/>
      <c r="Y182" s="4"/>
    </row>
    <row r="183" spans="2:25" ht="37.5" hidden="1">
      <c r="B183" s="58"/>
      <c r="C183" s="60"/>
      <c r="D183" s="56" t="s">
        <v>43</v>
      </c>
      <c r="E183" s="63"/>
      <c r="F183" s="8">
        <v>0.25</v>
      </c>
      <c r="G183" s="67" t="s">
        <v>82</v>
      </c>
      <c r="H183" s="68"/>
      <c r="I183" s="35">
        <v>57</v>
      </c>
      <c r="J183" s="9">
        <f t="shared" si="39"/>
        <v>0</v>
      </c>
      <c r="K183" s="39"/>
      <c r="L183" s="39"/>
      <c r="M183" s="39"/>
      <c r="N183" s="39"/>
      <c r="O183" s="39"/>
      <c r="P183" s="39"/>
      <c r="Q183" s="39"/>
      <c r="R183" s="39"/>
      <c r="S183" s="10">
        <f t="shared" si="43"/>
        <v>0</v>
      </c>
      <c r="T183" s="10">
        <v>100000</v>
      </c>
      <c r="U183" s="10">
        <f t="shared" si="45"/>
        <v>0</v>
      </c>
      <c r="V183" s="4"/>
      <c r="Y183" s="4"/>
    </row>
    <row r="184" spans="2:25" ht="37.5" hidden="1">
      <c r="B184" s="58"/>
      <c r="C184" s="61"/>
      <c r="D184" s="57" t="s">
        <v>43</v>
      </c>
      <c r="E184" s="69"/>
      <c r="F184" s="14">
        <v>0.33333333333333331</v>
      </c>
      <c r="G184" s="67" t="s">
        <v>82</v>
      </c>
      <c r="H184" s="68"/>
      <c r="I184" s="37"/>
      <c r="J184" s="15" t="str">
        <f t="shared" si="39"/>
        <v/>
      </c>
      <c r="K184" s="40"/>
      <c r="L184" s="40"/>
      <c r="M184" s="40"/>
      <c r="N184" s="40"/>
      <c r="O184" s="40"/>
      <c r="P184" s="40"/>
      <c r="Q184" s="40"/>
      <c r="R184" s="40"/>
      <c r="S184" s="16">
        <f t="shared" si="43"/>
        <v>0</v>
      </c>
      <c r="T184" s="16">
        <v>100000</v>
      </c>
      <c r="U184" s="16">
        <f t="shared" si="45"/>
        <v>0</v>
      </c>
      <c r="V184" s="4"/>
      <c r="W184" s="4"/>
      <c r="X184" s="4"/>
      <c r="Y184" s="4"/>
    </row>
    <row r="185" spans="2:25" ht="31.5" hidden="1" customHeight="1">
      <c r="B185" s="58">
        <v>46096</v>
      </c>
      <c r="C185" s="59" t="s">
        <v>17</v>
      </c>
      <c r="D185" s="51"/>
      <c r="E185" s="62" t="s">
        <v>101</v>
      </c>
      <c r="F185" s="5">
        <v>0.41666666666666669</v>
      </c>
      <c r="G185" s="65"/>
      <c r="H185" s="66"/>
      <c r="I185" s="34"/>
      <c r="J185" s="6" t="str">
        <f t="shared" si="39"/>
        <v/>
      </c>
      <c r="K185" s="38"/>
      <c r="L185" s="38"/>
      <c r="M185" s="38"/>
      <c r="N185" s="38"/>
      <c r="O185" s="38"/>
      <c r="P185" s="38"/>
      <c r="Q185" s="38"/>
      <c r="R185" s="38"/>
      <c r="S185" s="7">
        <f>SUM(K185:R185)</f>
        <v>0</v>
      </c>
      <c r="T185" s="7">
        <v>100000</v>
      </c>
      <c r="U185" s="7">
        <f>T185*S185</f>
        <v>0</v>
      </c>
      <c r="V185" s="4"/>
      <c r="W185" s="4"/>
      <c r="X185" s="4"/>
      <c r="Y185" s="4"/>
    </row>
    <row r="186" spans="2:25" ht="18.75" hidden="1">
      <c r="B186" s="58"/>
      <c r="C186" s="60"/>
      <c r="D186" s="52"/>
      <c r="E186" s="63"/>
      <c r="F186" s="8">
        <v>0.5</v>
      </c>
      <c r="G186" s="67"/>
      <c r="H186" s="68"/>
      <c r="I186" s="35"/>
      <c r="J186" s="9" t="str">
        <f t="shared" si="39"/>
        <v/>
      </c>
      <c r="K186" s="39"/>
      <c r="L186" s="39"/>
      <c r="M186" s="39"/>
      <c r="N186" s="39"/>
      <c r="O186" s="39"/>
      <c r="P186" s="39"/>
      <c r="Q186" s="39"/>
      <c r="R186" s="39"/>
      <c r="S186" s="10">
        <f t="shared" ref="S186:S196" si="46">SUM(K186:R186)</f>
        <v>0</v>
      </c>
      <c r="T186" s="10">
        <v>100000</v>
      </c>
      <c r="U186" s="10">
        <f t="shared" ref="U186:U187" si="47">T186*S186</f>
        <v>0</v>
      </c>
      <c r="V186" s="4"/>
      <c r="W186" s="4"/>
      <c r="X186" s="4"/>
      <c r="Y186" s="4"/>
    </row>
    <row r="187" spans="2:25" ht="18.75" hidden="1">
      <c r="B187" s="58"/>
      <c r="C187" s="60"/>
      <c r="D187" s="52"/>
      <c r="E187" s="63"/>
      <c r="F187" s="8">
        <v>0.58333333333333337</v>
      </c>
      <c r="G187" s="67"/>
      <c r="H187" s="68"/>
      <c r="I187" s="35"/>
      <c r="J187" s="9" t="str">
        <f t="shared" si="39"/>
        <v/>
      </c>
      <c r="K187" s="39"/>
      <c r="L187" s="39"/>
      <c r="M187" s="39"/>
      <c r="N187" s="39"/>
      <c r="O187" s="39"/>
      <c r="P187" s="39"/>
      <c r="Q187" s="39"/>
      <c r="R187" s="39"/>
      <c r="S187" s="10">
        <f t="shared" si="46"/>
        <v>0</v>
      </c>
      <c r="T187" s="10">
        <v>100000</v>
      </c>
      <c r="U187" s="10">
        <f t="shared" si="47"/>
        <v>0</v>
      </c>
      <c r="V187" s="4"/>
      <c r="W187" s="4"/>
      <c r="X187" s="4"/>
      <c r="Y187" s="4"/>
    </row>
    <row r="188" spans="2:25" ht="18.75" hidden="1">
      <c r="B188" s="58"/>
      <c r="C188" s="60"/>
      <c r="D188" s="52"/>
      <c r="E188" s="63"/>
      <c r="F188" s="8">
        <v>0.66666666666666663</v>
      </c>
      <c r="G188" s="67"/>
      <c r="H188" s="68"/>
      <c r="I188" s="35"/>
      <c r="J188" s="9" t="str">
        <f t="shared" si="39"/>
        <v/>
      </c>
      <c r="K188" s="39"/>
      <c r="L188" s="39"/>
      <c r="M188" s="39"/>
      <c r="N188" s="39"/>
      <c r="O188" s="39"/>
      <c r="P188" s="39"/>
      <c r="Q188" s="39"/>
      <c r="R188" s="39"/>
      <c r="S188" s="10">
        <f t="shared" si="46"/>
        <v>0</v>
      </c>
      <c r="T188" s="10">
        <v>100000</v>
      </c>
      <c r="U188" s="10">
        <f>T188*S188</f>
        <v>0</v>
      </c>
      <c r="V188" s="4"/>
      <c r="W188" s="4"/>
      <c r="X188" s="4"/>
      <c r="Y188" s="4"/>
    </row>
    <row r="189" spans="2:25" ht="18.75" hidden="1">
      <c r="B189" s="58"/>
      <c r="C189" s="60"/>
      <c r="D189" s="52"/>
      <c r="E189" s="63"/>
      <c r="F189" s="8">
        <v>0.75</v>
      </c>
      <c r="G189" s="67"/>
      <c r="H189" s="68"/>
      <c r="I189" s="35"/>
      <c r="J189" s="9" t="str">
        <f t="shared" si="39"/>
        <v/>
      </c>
      <c r="K189" s="39"/>
      <c r="L189" s="39"/>
      <c r="M189" s="39"/>
      <c r="N189" s="39"/>
      <c r="O189" s="39"/>
      <c r="P189" s="39"/>
      <c r="Q189" s="39"/>
      <c r="R189" s="39"/>
      <c r="S189" s="10">
        <f t="shared" si="46"/>
        <v>0</v>
      </c>
      <c r="T189" s="10">
        <v>100000</v>
      </c>
      <c r="U189" s="10">
        <f t="shared" ref="U189:U196" si="48">T189*S189</f>
        <v>0</v>
      </c>
      <c r="V189" s="4"/>
      <c r="W189" s="4"/>
      <c r="X189" s="11"/>
      <c r="Y189" s="4"/>
    </row>
    <row r="190" spans="2:25" ht="18.75" hidden="1">
      <c r="B190" s="58"/>
      <c r="C190" s="60"/>
      <c r="D190" s="53"/>
      <c r="E190" s="64"/>
      <c r="F190" s="12">
        <v>0.83333333333333337</v>
      </c>
      <c r="G190" s="67"/>
      <c r="H190" s="68"/>
      <c r="I190" s="36"/>
      <c r="J190" s="9" t="str">
        <f t="shared" si="39"/>
        <v/>
      </c>
      <c r="K190" s="41"/>
      <c r="L190" s="41"/>
      <c r="M190" s="41"/>
      <c r="N190" s="41"/>
      <c r="O190" s="41"/>
      <c r="P190" s="41"/>
      <c r="Q190" s="41"/>
      <c r="R190" s="41"/>
      <c r="S190" s="13">
        <f t="shared" si="46"/>
        <v>0</v>
      </c>
      <c r="T190" s="13">
        <v>100000</v>
      </c>
      <c r="U190" s="13">
        <f t="shared" si="48"/>
        <v>0</v>
      </c>
      <c r="V190" s="4"/>
      <c r="Y190" s="4"/>
    </row>
    <row r="191" spans="2:25" ht="18.75" hidden="1">
      <c r="B191" s="58"/>
      <c r="C191" s="60"/>
      <c r="D191" s="51"/>
      <c r="E191" s="62" t="s">
        <v>102</v>
      </c>
      <c r="F191" s="5">
        <v>0.91666666666666663</v>
      </c>
      <c r="G191" s="65"/>
      <c r="H191" s="66"/>
      <c r="I191" s="34"/>
      <c r="J191" s="6" t="str">
        <f t="shared" si="39"/>
        <v/>
      </c>
      <c r="K191" s="38"/>
      <c r="L191" s="38"/>
      <c r="M191" s="38"/>
      <c r="N191" s="38"/>
      <c r="O191" s="38"/>
      <c r="P191" s="38"/>
      <c r="Q191" s="38"/>
      <c r="R191" s="38"/>
      <c r="S191" s="7">
        <f t="shared" si="46"/>
        <v>0</v>
      </c>
      <c r="T191" s="7">
        <v>100000</v>
      </c>
      <c r="U191" s="7">
        <f t="shared" si="48"/>
        <v>0</v>
      </c>
      <c r="V191" s="4"/>
      <c r="Y191" s="4"/>
    </row>
    <row r="192" spans="2:25" ht="18.75" hidden="1">
      <c r="B192" s="58"/>
      <c r="C192" s="60"/>
      <c r="D192" s="52"/>
      <c r="E192" s="63"/>
      <c r="F192" s="8">
        <v>1</v>
      </c>
      <c r="G192" s="67"/>
      <c r="H192" s="68"/>
      <c r="I192" s="35"/>
      <c r="J192" s="9" t="str">
        <f t="shared" si="39"/>
        <v/>
      </c>
      <c r="K192" s="39"/>
      <c r="L192" s="39"/>
      <c r="M192" s="39"/>
      <c r="N192" s="39"/>
      <c r="O192" s="39"/>
      <c r="P192" s="39"/>
      <c r="Q192" s="39"/>
      <c r="R192" s="39"/>
      <c r="S192" s="10">
        <f t="shared" si="46"/>
        <v>0</v>
      </c>
      <c r="T192" s="10">
        <v>100000</v>
      </c>
      <c r="U192" s="10">
        <f t="shared" si="48"/>
        <v>0</v>
      </c>
      <c r="V192" s="4"/>
      <c r="Y192" s="4"/>
    </row>
    <row r="193" spans="2:25" ht="18.75" hidden="1">
      <c r="B193" s="58"/>
      <c r="C193" s="60"/>
      <c r="D193" s="52"/>
      <c r="E193" s="63"/>
      <c r="F193" s="8">
        <v>8.3333333333333329E-2</v>
      </c>
      <c r="G193" s="67"/>
      <c r="H193" s="68"/>
      <c r="I193" s="35"/>
      <c r="J193" s="9" t="str">
        <f t="shared" si="39"/>
        <v/>
      </c>
      <c r="K193" s="39"/>
      <c r="L193" s="39"/>
      <c r="M193" s="39"/>
      <c r="N193" s="39"/>
      <c r="O193" s="39"/>
      <c r="P193" s="39"/>
      <c r="Q193" s="39"/>
      <c r="R193" s="39"/>
      <c r="S193" s="10">
        <f t="shared" si="46"/>
        <v>0</v>
      </c>
      <c r="T193" s="10">
        <v>100000</v>
      </c>
      <c r="U193" s="10">
        <f t="shared" si="48"/>
        <v>0</v>
      </c>
      <c r="V193" s="4"/>
      <c r="Y193" s="4"/>
    </row>
    <row r="194" spans="2:25" ht="18.75" hidden="1">
      <c r="B194" s="58"/>
      <c r="C194" s="60"/>
      <c r="D194" s="52"/>
      <c r="E194" s="63"/>
      <c r="F194" s="8">
        <v>0.16666666666666666</v>
      </c>
      <c r="G194" s="67"/>
      <c r="H194" s="68"/>
      <c r="I194" s="35"/>
      <c r="J194" s="9" t="str">
        <f t="shared" si="39"/>
        <v/>
      </c>
      <c r="K194" s="39"/>
      <c r="L194" s="39"/>
      <c r="M194" s="39"/>
      <c r="N194" s="39"/>
      <c r="O194" s="39"/>
      <c r="P194" s="39"/>
      <c r="Q194" s="39"/>
      <c r="R194" s="39"/>
      <c r="S194" s="10">
        <f t="shared" si="46"/>
        <v>0</v>
      </c>
      <c r="T194" s="10">
        <v>100000</v>
      </c>
      <c r="U194" s="10">
        <f t="shared" si="48"/>
        <v>0</v>
      </c>
      <c r="V194" s="4"/>
      <c r="W194" s="4"/>
      <c r="X194" s="4"/>
      <c r="Y194" s="4"/>
    </row>
    <row r="195" spans="2:25" ht="18.75" hidden="1">
      <c r="B195" s="58"/>
      <c r="C195" s="60"/>
      <c r="D195" s="52"/>
      <c r="E195" s="63"/>
      <c r="F195" s="8">
        <v>0.25</v>
      </c>
      <c r="G195" s="67"/>
      <c r="H195" s="68"/>
      <c r="I195" s="35"/>
      <c r="J195" s="9" t="str">
        <f t="shared" si="39"/>
        <v/>
      </c>
      <c r="K195" s="39"/>
      <c r="L195" s="39"/>
      <c r="M195" s="39"/>
      <c r="N195" s="39"/>
      <c r="O195" s="39"/>
      <c r="P195" s="39"/>
      <c r="Q195" s="39"/>
      <c r="R195" s="39"/>
      <c r="S195" s="10">
        <f t="shared" si="46"/>
        <v>0</v>
      </c>
      <c r="T195" s="10">
        <v>100000</v>
      </c>
      <c r="U195" s="10">
        <f t="shared" si="48"/>
        <v>0</v>
      </c>
      <c r="V195" s="4"/>
      <c r="Y195" s="4"/>
    </row>
    <row r="196" spans="2:25" ht="18.75" hidden="1">
      <c r="B196" s="58"/>
      <c r="C196" s="61"/>
      <c r="D196" s="53"/>
      <c r="E196" s="69"/>
      <c r="F196" s="14">
        <v>0.33333333333333331</v>
      </c>
      <c r="G196" s="67"/>
      <c r="H196" s="68"/>
      <c r="I196" s="37"/>
      <c r="J196" s="15" t="str">
        <f t="shared" si="39"/>
        <v/>
      </c>
      <c r="K196" s="40"/>
      <c r="L196" s="40"/>
      <c r="M196" s="40"/>
      <c r="N196" s="40"/>
      <c r="O196" s="40"/>
      <c r="P196" s="40"/>
      <c r="Q196" s="40"/>
      <c r="R196" s="40"/>
      <c r="S196" s="16">
        <f t="shared" si="46"/>
        <v>0</v>
      </c>
      <c r="T196" s="16">
        <v>100000</v>
      </c>
      <c r="U196" s="16">
        <f t="shared" si="48"/>
        <v>0</v>
      </c>
      <c r="V196" s="4"/>
      <c r="W196" s="4"/>
      <c r="X196" s="4"/>
      <c r="Y196" s="4"/>
    </row>
    <row r="197" spans="2:25" ht="36.75" customHeight="1">
      <c r="B197" s="58">
        <v>46097</v>
      </c>
      <c r="C197" s="59" t="s">
        <v>17</v>
      </c>
      <c r="D197" s="51" t="s">
        <v>42</v>
      </c>
      <c r="E197" s="62" t="s">
        <v>101</v>
      </c>
      <c r="F197" s="5">
        <v>0.41666666666666669</v>
      </c>
      <c r="G197" s="65" t="s">
        <v>79</v>
      </c>
      <c r="H197" s="66"/>
      <c r="I197" s="34">
        <v>20</v>
      </c>
      <c r="J197" s="6">
        <f t="shared" si="39"/>
        <v>0.4</v>
      </c>
      <c r="K197" s="38"/>
      <c r="L197" s="38"/>
      <c r="M197" s="38">
        <v>1</v>
      </c>
      <c r="N197" s="38"/>
      <c r="O197" s="38"/>
      <c r="P197" s="38"/>
      <c r="Q197" s="38">
        <v>7</v>
      </c>
      <c r="R197" s="38"/>
      <c r="S197" s="7">
        <f>SUM(K197:R197)</f>
        <v>8</v>
      </c>
      <c r="T197" s="7">
        <v>100000</v>
      </c>
      <c r="U197" s="7">
        <f>T197*S197</f>
        <v>800000</v>
      </c>
      <c r="V197" s="4"/>
      <c r="W197" s="4"/>
      <c r="X197" s="4"/>
      <c r="Y197" s="4"/>
    </row>
    <row r="198" spans="2:25" ht="37.5">
      <c r="B198" s="58"/>
      <c r="C198" s="60"/>
      <c r="D198" s="52" t="s">
        <v>42</v>
      </c>
      <c r="E198" s="63"/>
      <c r="F198" s="8">
        <v>0.5</v>
      </c>
      <c r="G198" s="67" t="s">
        <v>79</v>
      </c>
      <c r="H198" s="68"/>
      <c r="I198" s="35">
        <v>40</v>
      </c>
      <c r="J198" s="9">
        <f t="shared" si="39"/>
        <v>0</v>
      </c>
      <c r="K198" s="39"/>
      <c r="L198" s="39"/>
      <c r="M198" s="39"/>
      <c r="N198" s="39"/>
      <c r="O198" s="39"/>
      <c r="P198" s="39"/>
      <c r="Q198" s="39"/>
      <c r="R198" s="39"/>
      <c r="S198" s="10">
        <f t="shared" ref="S198:S208" si="49">SUM(K198:R198)</f>
        <v>0</v>
      </c>
      <c r="T198" s="10">
        <v>100000</v>
      </c>
      <c r="U198" s="10">
        <f t="shared" ref="U198:U199" si="50">T198*S198</f>
        <v>0</v>
      </c>
      <c r="V198" s="4"/>
      <c r="W198" s="4"/>
      <c r="X198" s="4"/>
      <c r="Y198" s="4"/>
    </row>
    <row r="199" spans="2:25" ht="37.5">
      <c r="B199" s="58"/>
      <c r="C199" s="60"/>
      <c r="D199" s="52" t="s">
        <v>42</v>
      </c>
      <c r="E199" s="63"/>
      <c r="F199" s="8">
        <v>0.58333333333333337</v>
      </c>
      <c r="G199" s="67" t="s">
        <v>79</v>
      </c>
      <c r="H199" s="68"/>
      <c r="I199" s="35">
        <v>78</v>
      </c>
      <c r="J199" s="9">
        <f t="shared" si="39"/>
        <v>0</v>
      </c>
      <c r="K199" s="39"/>
      <c r="L199" s="39"/>
      <c r="M199" s="39"/>
      <c r="N199" s="39"/>
      <c r="O199" s="39"/>
      <c r="P199" s="39"/>
      <c r="Q199" s="39"/>
      <c r="R199" s="39"/>
      <c r="S199" s="10">
        <f t="shared" si="49"/>
        <v>0</v>
      </c>
      <c r="T199" s="10">
        <v>100000</v>
      </c>
      <c r="U199" s="10">
        <f t="shared" si="50"/>
        <v>0</v>
      </c>
      <c r="V199" s="4"/>
      <c r="W199" s="4"/>
      <c r="X199" s="4"/>
      <c r="Y199" s="4"/>
    </row>
    <row r="200" spans="2:25" ht="37.5">
      <c r="B200" s="58"/>
      <c r="C200" s="60"/>
      <c r="D200" s="52" t="s">
        <v>42</v>
      </c>
      <c r="E200" s="63"/>
      <c r="F200" s="8">
        <v>0.66666666666666663</v>
      </c>
      <c r="G200" s="67" t="s">
        <v>79</v>
      </c>
      <c r="H200" s="68"/>
      <c r="I200" s="35">
        <v>70</v>
      </c>
      <c r="J200" s="9">
        <f t="shared" si="39"/>
        <v>0</v>
      </c>
      <c r="K200" s="39"/>
      <c r="L200" s="39"/>
      <c r="M200" s="39"/>
      <c r="N200" s="39"/>
      <c r="O200" s="39"/>
      <c r="P200" s="39"/>
      <c r="Q200" s="39"/>
      <c r="R200" s="39"/>
      <c r="S200" s="10">
        <f t="shared" si="49"/>
        <v>0</v>
      </c>
      <c r="T200" s="10">
        <v>100000</v>
      </c>
      <c r="U200" s="10">
        <f>T200*S200</f>
        <v>0</v>
      </c>
      <c r="V200" s="4"/>
      <c r="W200" s="4"/>
      <c r="X200" s="4"/>
      <c r="Y200" s="4"/>
    </row>
    <row r="201" spans="2:25" ht="37.5">
      <c r="B201" s="58"/>
      <c r="C201" s="60"/>
      <c r="D201" s="52" t="s">
        <v>42</v>
      </c>
      <c r="E201" s="63"/>
      <c r="F201" s="8">
        <v>0.75</v>
      </c>
      <c r="G201" s="67" t="s">
        <v>79</v>
      </c>
      <c r="H201" s="68"/>
      <c r="I201" s="35">
        <v>55</v>
      </c>
      <c r="J201" s="9">
        <f t="shared" si="39"/>
        <v>0</v>
      </c>
      <c r="K201" s="39"/>
      <c r="L201" s="39"/>
      <c r="M201" s="39"/>
      <c r="N201" s="39"/>
      <c r="O201" s="39"/>
      <c r="P201" s="39"/>
      <c r="Q201" s="39"/>
      <c r="R201" s="39"/>
      <c r="S201" s="10">
        <f t="shared" si="49"/>
        <v>0</v>
      </c>
      <c r="T201" s="10">
        <v>100000</v>
      </c>
      <c r="U201" s="10">
        <f t="shared" ref="U201:U208" si="51">T201*S201</f>
        <v>0</v>
      </c>
      <c r="V201" s="4"/>
      <c r="W201" s="4"/>
      <c r="X201" s="11"/>
      <c r="Y201" s="4"/>
    </row>
    <row r="202" spans="2:25" ht="37.5">
      <c r="B202" s="58"/>
      <c r="C202" s="60"/>
      <c r="D202" s="53" t="s">
        <v>42</v>
      </c>
      <c r="E202" s="64"/>
      <c r="F202" s="12">
        <v>0.83333333333333337</v>
      </c>
      <c r="G202" s="67" t="s">
        <v>79</v>
      </c>
      <c r="H202" s="68"/>
      <c r="I202" s="36">
        <v>60</v>
      </c>
      <c r="J202" s="9">
        <f t="shared" si="39"/>
        <v>0</v>
      </c>
      <c r="K202" s="41"/>
      <c r="L202" s="41"/>
      <c r="M202" s="41"/>
      <c r="N202" s="41"/>
      <c r="O202" s="41"/>
      <c r="P202" s="41"/>
      <c r="Q202" s="41"/>
      <c r="R202" s="41"/>
      <c r="S202" s="13">
        <f t="shared" si="49"/>
        <v>0</v>
      </c>
      <c r="T202" s="13">
        <v>100000</v>
      </c>
      <c r="U202" s="13">
        <f t="shared" si="51"/>
        <v>0</v>
      </c>
      <c r="V202" s="4"/>
      <c r="Y202" s="4"/>
    </row>
    <row r="203" spans="2:25" ht="18.75">
      <c r="B203" s="58"/>
      <c r="C203" s="60"/>
      <c r="D203" s="51"/>
      <c r="E203" s="62" t="s">
        <v>102</v>
      </c>
      <c r="F203" s="5">
        <v>0.91666666666666663</v>
      </c>
      <c r="G203" s="65"/>
      <c r="H203" s="66"/>
      <c r="I203" s="34"/>
      <c r="J203" s="6" t="str">
        <f t="shared" si="39"/>
        <v/>
      </c>
      <c r="K203" s="38"/>
      <c r="L203" s="38"/>
      <c r="M203" s="38"/>
      <c r="N203" s="38"/>
      <c r="O203" s="38"/>
      <c r="P203" s="38"/>
      <c r="Q203" s="38"/>
      <c r="R203" s="38"/>
      <c r="S203" s="7">
        <f t="shared" si="49"/>
        <v>0</v>
      </c>
      <c r="T203" s="7">
        <v>100000</v>
      </c>
      <c r="U203" s="7">
        <f t="shared" si="51"/>
        <v>0</v>
      </c>
      <c r="V203" s="4"/>
      <c r="Y203" s="4"/>
    </row>
    <row r="204" spans="2:25" ht="18.75">
      <c r="B204" s="58"/>
      <c r="C204" s="60"/>
      <c r="D204" s="52"/>
      <c r="E204" s="63"/>
      <c r="F204" s="8">
        <v>1</v>
      </c>
      <c r="G204" s="67"/>
      <c r="H204" s="68"/>
      <c r="I204" s="35"/>
      <c r="J204" s="9" t="str">
        <f t="shared" si="39"/>
        <v/>
      </c>
      <c r="K204" s="39"/>
      <c r="L204" s="39"/>
      <c r="M204" s="39"/>
      <c r="N204" s="39"/>
      <c r="O204" s="39"/>
      <c r="P204" s="39"/>
      <c r="Q204" s="39"/>
      <c r="R204" s="39"/>
      <c r="S204" s="10">
        <f t="shared" si="49"/>
        <v>0</v>
      </c>
      <c r="T204" s="10">
        <v>100000</v>
      </c>
      <c r="U204" s="10">
        <f t="shared" si="51"/>
        <v>0</v>
      </c>
      <c r="V204" s="4"/>
      <c r="Y204" s="4"/>
    </row>
    <row r="205" spans="2:25" ht="18.75">
      <c r="B205" s="58"/>
      <c r="C205" s="60"/>
      <c r="D205" s="52"/>
      <c r="E205" s="63"/>
      <c r="F205" s="8">
        <v>8.3333333333333329E-2</v>
      </c>
      <c r="G205" s="67"/>
      <c r="H205" s="68"/>
      <c r="I205" s="35"/>
      <c r="J205" s="9" t="str">
        <f t="shared" si="39"/>
        <v/>
      </c>
      <c r="K205" s="39"/>
      <c r="L205" s="39"/>
      <c r="M205" s="39"/>
      <c r="N205" s="39"/>
      <c r="O205" s="39"/>
      <c r="P205" s="39"/>
      <c r="Q205" s="39"/>
      <c r="R205" s="39"/>
      <c r="S205" s="10">
        <f t="shared" si="49"/>
        <v>0</v>
      </c>
      <c r="T205" s="10">
        <v>100000</v>
      </c>
      <c r="U205" s="10">
        <f t="shared" si="51"/>
        <v>0</v>
      </c>
      <c r="V205" s="4"/>
      <c r="Y205" s="4"/>
    </row>
    <row r="206" spans="2:25" ht="18.75">
      <c r="B206" s="58"/>
      <c r="C206" s="60"/>
      <c r="D206" s="52"/>
      <c r="E206" s="63"/>
      <c r="F206" s="8">
        <v>0.16666666666666666</v>
      </c>
      <c r="G206" s="67"/>
      <c r="H206" s="68"/>
      <c r="I206" s="35"/>
      <c r="J206" s="9" t="str">
        <f t="shared" si="39"/>
        <v/>
      </c>
      <c r="K206" s="39"/>
      <c r="L206" s="39"/>
      <c r="M206" s="39"/>
      <c r="N206" s="39"/>
      <c r="O206" s="39"/>
      <c r="P206" s="39"/>
      <c r="Q206" s="39"/>
      <c r="R206" s="39"/>
      <c r="S206" s="10">
        <f t="shared" si="49"/>
        <v>0</v>
      </c>
      <c r="T206" s="10">
        <v>100000</v>
      </c>
      <c r="U206" s="10">
        <f t="shared" si="51"/>
        <v>0</v>
      </c>
      <c r="V206" s="4"/>
      <c r="W206" s="4"/>
      <c r="X206" s="4"/>
      <c r="Y206" s="4"/>
    </row>
    <row r="207" spans="2:25" ht="18.75">
      <c r="B207" s="58"/>
      <c r="C207" s="60"/>
      <c r="D207" s="52"/>
      <c r="E207" s="63"/>
      <c r="F207" s="8">
        <v>0.25</v>
      </c>
      <c r="G207" s="67"/>
      <c r="H207" s="68"/>
      <c r="I207" s="35"/>
      <c r="J207" s="9" t="str">
        <f t="shared" si="39"/>
        <v/>
      </c>
      <c r="K207" s="39"/>
      <c r="L207" s="39"/>
      <c r="M207" s="39"/>
      <c r="N207" s="39"/>
      <c r="O207" s="39"/>
      <c r="P207" s="39"/>
      <c r="Q207" s="39"/>
      <c r="R207" s="39"/>
      <c r="S207" s="10">
        <f t="shared" si="49"/>
        <v>0</v>
      </c>
      <c r="T207" s="10">
        <v>100000</v>
      </c>
      <c r="U207" s="10">
        <f t="shared" si="51"/>
        <v>0</v>
      </c>
      <c r="V207" s="4"/>
      <c r="Y207" s="4"/>
    </row>
    <row r="208" spans="2:25" ht="18.75">
      <c r="B208" s="58"/>
      <c r="C208" s="61"/>
      <c r="D208" s="53"/>
      <c r="E208" s="69"/>
      <c r="F208" s="14">
        <v>0.33333333333333331</v>
      </c>
      <c r="G208" s="67"/>
      <c r="H208" s="68"/>
      <c r="I208" s="37"/>
      <c r="J208" s="15" t="str">
        <f t="shared" si="39"/>
        <v/>
      </c>
      <c r="K208" s="40"/>
      <c r="L208" s="40"/>
      <c r="M208" s="40"/>
      <c r="N208" s="40"/>
      <c r="O208" s="40"/>
      <c r="P208" s="40"/>
      <c r="Q208" s="40"/>
      <c r="R208" s="40"/>
      <c r="S208" s="16">
        <f t="shared" si="49"/>
        <v>0</v>
      </c>
      <c r="T208" s="16">
        <v>100000</v>
      </c>
      <c r="U208" s="16">
        <f t="shared" si="51"/>
        <v>0</v>
      </c>
      <c r="V208" s="4"/>
      <c r="W208" s="4"/>
      <c r="X208" s="4"/>
      <c r="Y208" s="4"/>
    </row>
    <row r="209" spans="2:25" ht="34.5" customHeight="1">
      <c r="B209" s="58">
        <v>46098</v>
      </c>
      <c r="C209" s="59" t="s">
        <v>17</v>
      </c>
      <c r="D209" s="51" t="s">
        <v>42</v>
      </c>
      <c r="E209" s="62" t="s">
        <v>101</v>
      </c>
      <c r="F209" s="5">
        <v>0.41666666666666669</v>
      </c>
      <c r="G209" s="65" t="s">
        <v>79</v>
      </c>
      <c r="H209" s="66"/>
      <c r="I209" s="34">
        <v>60</v>
      </c>
      <c r="J209" s="6">
        <f t="shared" ref="J209:J232" si="52">IFERROR(S209/I209,"")</f>
        <v>8.3333333333333329E-2</v>
      </c>
      <c r="K209" s="38"/>
      <c r="L209" s="38"/>
      <c r="M209" s="38">
        <v>5</v>
      </c>
      <c r="N209" s="38"/>
      <c r="O209" s="38"/>
      <c r="P209" s="38"/>
      <c r="Q209" s="38"/>
      <c r="R209" s="38"/>
      <c r="S209" s="7">
        <f>SUM(K209:R209)</f>
        <v>5</v>
      </c>
      <c r="T209" s="7">
        <v>100000</v>
      </c>
      <c r="U209" s="7">
        <f>T209*S209</f>
        <v>500000</v>
      </c>
      <c r="V209" s="4"/>
      <c r="W209" s="4"/>
      <c r="X209" s="4"/>
      <c r="Y209" s="4"/>
    </row>
    <row r="210" spans="2:25" ht="37.5">
      <c r="B210" s="58"/>
      <c r="C210" s="60"/>
      <c r="D210" s="52" t="s">
        <v>42</v>
      </c>
      <c r="E210" s="63"/>
      <c r="F210" s="8">
        <v>0.5</v>
      </c>
      <c r="G210" s="67" t="s">
        <v>79</v>
      </c>
      <c r="H210" s="68"/>
      <c r="I210" s="35">
        <v>30</v>
      </c>
      <c r="J210" s="9">
        <f t="shared" si="52"/>
        <v>6.6666666666666666E-2</v>
      </c>
      <c r="K210" s="39"/>
      <c r="L210" s="39"/>
      <c r="M210" s="39"/>
      <c r="N210" s="39"/>
      <c r="O210" s="39"/>
      <c r="P210" s="39"/>
      <c r="Q210" s="39">
        <v>2</v>
      </c>
      <c r="R210" s="39"/>
      <c r="S210" s="10">
        <f t="shared" ref="S210:S220" si="53">SUM(K210:R210)</f>
        <v>2</v>
      </c>
      <c r="T210" s="10">
        <v>100000</v>
      </c>
      <c r="U210" s="10">
        <f t="shared" ref="U210:U211" si="54">T210*S210</f>
        <v>200000</v>
      </c>
      <c r="V210" s="4"/>
      <c r="W210" s="4"/>
      <c r="X210" s="4"/>
      <c r="Y210" s="4"/>
    </row>
    <row r="211" spans="2:25" ht="37.5">
      <c r="B211" s="58"/>
      <c r="C211" s="60"/>
      <c r="D211" s="52" t="s">
        <v>42</v>
      </c>
      <c r="E211" s="63"/>
      <c r="F211" s="8">
        <v>0.58333333333333337</v>
      </c>
      <c r="G211" s="67" t="s">
        <v>79</v>
      </c>
      <c r="H211" s="68"/>
      <c r="I211" s="35">
        <v>75</v>
      </c>
      <c r="J211" s="9">
        <f t="shared" si="52"/>
        <v>1.3333333333333334E-2</v>
      </c>
      <c r="K211" s="39"/>
      <c r="L211" s="39"/>
      <c r="M211" s="39">
        <v>1</v>
      </c>
      <c r="N211" s="39"/>
      <c r="O211" s="39"/>
      <c r="P211" s="39"/>
      <c r="Q211" s="39"/>
      <c r="R211" s="39"/>
      <c r="S211" s="10">
        <f t="shared" si="53"/>
        <v>1</v>
      </c>
      <c r="T211" s="10">
        <v>100000</v>
      </c>
      <c r="U211" s="10">
        <f t="shared" si="54"/>
        <v>100000</v>
      </c>
      <c r="V211" s="4"/>
      <c r="W211" s="4"/>
      <c r="X211" s="4"/>
      <c r="Y211" s="4"/>
    </row>
    <row r="212" spans="2:25" ht="37.5">
      <c r="B212" s="58"/>
      <c r="C212" s="60"/>
      <c r="D212" s="52" t="s">
        <v>42</v>
      </c>
      <c r="E212" s="63"/>
      <c r="F212" s="8">
        <v>0.66666666666666663</v>
      </c>
      <c r="G212" s="67" t="s">
        <v>79</v>
      </c>
      <c r="H212" s="68"/>
      <c r="I212" s="35">
        <v>70</v>
      </c>
      <c r="J212" s="9">
        <f t="shared" si="52"/>
        <v>1.4285714285714285E-2</v>
      </c>
      <c r="K212" s="39"/>
      <c r="L212" s="39"/>
      <c r="M212" s="39"/>
      <c r="N212" s="39"/>
      <c r="O212" s="39"/>
      <c r="P212" s="39"/>
      <c r="Q212" s="39">
        <v>1</v>
      </c>
      <c r="R212" s="39"/>
      <c r="S212" s="10">
        <f t="shared" si="53"/>
        <v>1</v>
      </c>
      <c r="T212" s="10">
        <v>100000</v>
      </c>
      <c r="U212" s="10">
        <f>T212*S212</f>
        <v>100000</v>
      </c>
      <c r="V212" s="4"/>
      <c r="W212" s="4"/>
      <c r="X212" s="4"/>
      <c r="Y212" s="4"/>
    </row>
    <row r="213" spans="2:25" ht="37.5">
      <c r="B213" s="58"/>
      <c r="C213" s="60"/>
      <c r="D213" s="52" t="s">
        <v>42</v>
      </c>
      <c r="E213" s="63"/>
      <c r="F213" s="8">
        <v>0.75</v>
      </c>
      <c r="G213" s="67" t="s">
        <v>79</v>
      </c>
      <c r="H213" s="68"/>
      <c r="I213" s="35">
        <v>78</v>
      </c>
      <c r="J213" s="9">
        <f t="shared" si="52"/>
        <v>2.564102564102564E-2</v>
      </c>
      <c r="K213" s="39"/>
      <c r="L213" s="39"/>
      <c r="M213" s="39"/>
      <c r="N213" s="39"/>
      <c r="O213" s="39"/>
      <c r="P213" s="39"/>
      <c r="Q213" s="39">
        <v>2</v>
      </c>
      <c r="R213" s="39"/>
      <c r="S213" s="10">
        <f t="shared" si="53"/>
        <v>2</v>
      </c>
      <c r="T213" s="10">
        <v>100000</v>
      </c>
      <c r="U213" s="10">
        <f t="shared" ref="U213:U220" si="55">T213*S213</f>
        <v>200000</v>
      </c>
      <c r="V213" s="4"/>
      <c r="W213" s="4"/>
      <c r="X213" s="11"/>
      <c r="Y213" s="4"/>
    </row>
    <row r="214" spans="2:25" ht="37.5">
      <c r="B214" s="58"/>
      <c r="C214" s="60"/>
      <c r="D214" s="53" t="s">
        <v>42</v>
      </c>
      <c r="E214" s="64"/>
      <c r="F214" s="12">
        <v>0.83333333333333337</v>
      </c>
      <c r="G214" s="67" t="s">
        <v>79</v>
      </c>
      <c r="H214" s="68"/>
      <c r="I214" s="36">
        <v>78</v>
      </c>
      <c r="J214" s="9">
        <f t="shared" si="52"/>
        <v>0</v>
      </c>
      <c r="K214" s="41"/>
      <c r="L214" s="41"/>
      <c r="M214" s="41"/>
      <c r="N214" s="41"/>
      <c r="O214" s="41"/>
      <c r="P214" s="41"/>
      <c r="Q214" s="41"/>
      <c r="R214" s="41"/>
      <c r="S214" s="13">
        <f t="shared" si="53"/>
        <v>0</v>
      </c>
      <c r="T214" s="13">
        <v>100000</v>
      </c>
      <c r="U214" s="13">
        <f t="shared" si="55"/>
        <v>0</v>
      </c>
      <c r="V214" s="4"/>
      <c r="Y214" s="4"/>
    </row>
    <row r="215" spans="2:25" ht="37.5">
      <c r="B215" s="58"/>
      <c r="C215" s="60"/>
      <c r="D215" s="51" t="s">
        <v>42</v>
      </c>
      <c r="E215" s="62" t="s">
        <v>102</v>
      </c>
      <c r="F215" s="5">
        <v>0.91666666666666663</v>
      </c>
      <c r="G215" s="65" t="s">
        <v>82</v>
      </c>
      <c r="H215" s="66"/>
      <c r="I215" s="34">
        <v>75</v>
      </c>
      <c r="J215" s="6">
        <f t="shared" si="52"/>
        <v>0.12</v>
      </c>
      <c r="K215" s="38"/>
      <c r="L215" s="38"/>
      <c r="M215" s="38">
        <v>2</v>
      </c>
      <c r="N215" s="38"/>
      <c r="O215" s="38"/>
      <c r="P215" s="38"/>
      <c r="Q215" s="38">
        <v>4</v>
      </c>
      <c r="R215" s="38">
        <v>3</v>
      </c>
      <c r="S215" s="7">
        <f t="shared" si="53"/>
        <v>9</v>
      </c>
      <c r="T215" s="7">
        <v>100000</v>
      </c>
      <c r="U215" s="7">
        <f t="shared" si="55"/>
        <v>900000</v>
      </c>
      <c r="V215" s="4"/>
      <c r="Y215" s="4"/>
    </row>
    <row r="216" spans="2:25" ht="37.5">
      <c r="B216" s="58"/>
      <c r="C216" s="60"/>
      <c r="D216" s="52" t="s">
        <v>42</v>
      </c>
      <c r="E216" s="63"/>
      <c r="F216" s="8">
        <v>1</v>
      </c>
      <c r="G216" s="67" t="s">
        <v>82</v>
      </c>
      <c r="H216" s="68"/>
      <c r="I216" s="35">
        <v>38</v>
      </c>
      <c r="J216" s="9">
        <f t="shared" si="52"/>
        <v>0.13157894736842105</v>
      </c>
      <c r="K216" s="39"/>
      <c r="L216" s="39"/>
      <c r="M216" s="39">
        <v>2</v>
      </c>
      <c r="N216" s="39"/>
      <c r="O216" s="39"/>
      <c r="P216" s="39"/>
      <c r="Q216" s="39"/>
      <c r="R216" s="39">
        <v>3</v>
      </c>
      <c r="S216" s="10">
        <f t="shared" si="53"/>
        <v>5</v>
      </c>
      <c r="T216" s="10">
        <v>100000</v>
      </c>
      <c r="U216" s="10">
        <f t="shared" si="55"/>
        <v>500000</v>
      </c>
      <c r="V216" s="4"/>
      <c r="Y216" s="4"/>
    </row>
    <row r="217" spans="2:25" ht="37.5">
      <c r="B217" s="58"/>
      <c r="C217" s="60"/>
      <c r="D217" s="52" t="s">
        <v>42</v>
      </c>
      <c r="E217" s="63"/>
      <c r="F217" s="8">
        <v>8.3333333333333329E-2</v>
      </c>
      <c r="G217" s="67" t="s">
        <v>82</v>
      </c>
      <c r="H217" s="68"/>
      <c r="I217" s="35">
        <v>75</v>
      </c>
      <c r="J217" s="9">
        <f t="shared" si="52"/>
        <v>5.3333333333333337E-2</v>
      </c>
      <c r="K217" s="39">
        <v>1</v>
      </c>
      <c r="L217" s="39"/>
      <c r="M217" s="39"/>
      <c r="N217" s="39"/>
      <c r="O217" s="39"/>
      <c r="P217" s="39"/>
      <c r="Q217" s="39"/>
      <c r="R217" s="39">
        <v>3</v>
      </c>
      <c r="S217" s="10">
        <f t="shared" si="53"/>
        <v>4</v>
      </c>
      <c r="T217" s="10">
        <v>100000</v>
      </c>
      <c r="U217" s="10">
        <f t="shared" si="55"/>
        <v>400000</v>
      </c>
      <c r="V217" s="4"/>
      <c r="Y217" s="4"/>
    </row>
    <row r="218" spans="2:25" ht="37.5">
      <c r="B218" s="58"/>
      <c r="C218" s="60"/>
      <c r="D218" s="52" t="s">
        <v>42</v>
      </c>
      <c r="E218" s="63"/>
      <c r="F218" s="8">
        <v>0.16666666666666666</v>
      </c>
      <c r="G218" s="67" t="s">
        <v>82</v>
      </c>
      <c r="H218" s="68"/>
      <c r="I218" s="35">
        <v>75</v>
      </c>
      <c r="J218" s="9">
        <f t="shared" si="52"/>
        <v>0.04</v>
      </c>
      <c r="K218" s="39"/>
      <c r="L218" s="39"/>
      <c r="M218" s="39"/>
      <c r="N218" s="39"/>
      <c r="O218" s="39"/>
      <c r="P218" s="39"/>
      <c r="Q218" s="39"/>
      <c r="R218" s="39">
        <v>3</v>
      </c>
      <c r="S218" s="10">
        <f t="shared" si="53"/>
        <v>3</v>
      </c>
      <c r="T218" s="10">
        <v>100000</v>
      </c>
      <c r="U218" s="10">
        <f t="shared" si="55"/>
        <v>300000</v>
      </c>
      <c r="V218" s="4"/>
      <c r="W218" s="4"/>
      <c r="X218" s="4"/>
      <c r="Y218" s="4"/>
    </row>
    <row r="219" spans="2:25" ht="37.5">
      <c r="B219" s="58"/>
      <c r="C219" s="60"/>
      <c r="D219" s="52" t="s">
        <v>42</v>
      </c>
      <c r="E219" s="63"/>
      <c r="F219" s="8">
        <v>0.25</v>
      </c>
      <c r="G219" s="67" t="s">
        <v>82</v>
      </c>
      <c r="H219" s="68"/>
      <c r="I219" s="35">
        <v>75</v>
      </c>
      <c r="J219" s="9">
        <f t="shared" si="52"/>
        <v>0.04</v>
      </c>
      <c r="K219" s="39"/>
      <c r="L219" s="39"/>
      <c r="M219" s="39"/>
      <c r="N219" s="39"/>
      <c r="O219" s="39"/>
      <c r="P219" s="39"/>
      <c r="Q219" s="39"/>
      <c r="R219" s="39">
        <v>3</v>
      </c>
      <c r="S219" s="10">
        <f t="shared" si="53"/>
        <v>3</v>
      </c>
      <c r="T219" s="10">
        <v>100000</v>
      </c>
      <c r="U219" s="10">
        <f t="shared" si="55"/>
        <v>300000</v>
      </c>
      <c r="V219" s="4"/>
      <c r="Y219" s="4"/>
    </row>
    <row r="220" spans="2:25" ht="37.5">
      <c r="B220" s="58"/>
      <c r="C220" s="61"/>
      <c r="D220" s="53" t="s">
        <v>42</v>
      </c>
      <c r="E220" s="69"/>
      <c r="F220" s="14">
        <v>0.33333333333333331</v>
      </c>
      <c r="G220" s="67" t="s">
        <v>82</v>
      </c>
      <c r="H220" s="68"/>
      <c r="I220" s="37">
        <v>80</v>
      </c>
      <c r="J220" s="15">
        <f t="shared" si="52"/>
        <v>0</v>
      </c>
      <c r="K220" s="40"/>
      <c r="L220" s="40"/>
      <c r="M220" s="40"/>
      <c r="N220" s="40"/>
      <c r="O220" s="40"/>
      <c r="P220" s="40"/>
      <c r="Q220" s="40"/>
      <c r="R220" s="40"/>
      <c r="S220" s="16">
        <f t="shared" si="53"/>
        <v>0</v>
      </c>
      <c r="T220" s="16">
        <v>100000</v>
      </c>
      <c r="U220" s="16">
        <f t="shared" si="55"/>
        <v>0</v>
      </c>
      <c r="V220" s="4"/>
      <c r="W220" s="4"/>
      <c r="X220" s="4"/>
      <c r="Y220" s="4"/>
    </row>
    <row r="221" spans="2:25" ht="38.25" customHeight="1">
      <c r="B221" s="58">
        <v>46099</v>
      </c>
      <c r="C221" s="59" t="s">
        <v>17</v>
      </c>
      <c r="D221" s="55" t="s">
        <v>43</v>
      </c>
      <c r="E221" s="62" t="s">
        <v>101</v>
      </c>
      <c r="F221" s="5">
        <v>0.41666666666666669</v>
      </c>
      <c r="G221" s="65" t="s">
        <v>79</v>
      </c>
      <c r="H221" s="66"/>
      <c r="I221" s="34"/>
      <c r="J221" s="6" t="str">
        <f t="shared" si="52"/>
        <v/>
      </c>
      <c r="K221" s="38"/>
      <c r="L221" s="38"/>
      <c r="M221" s="38"/>
      <c r="N221" s="38"/>
      <c r="O221" s="38"/>
      <c r="P221" s="38"/>
      <c r="Q221" s="38">
        <v>13</v>
      </c>
      <c r="R221" s="38"/>
      <c r="S221" s="7">
        <f>SUM(K221:R221)</f>
        <v>13</v>
      </c>
      <c r="T221" s="7">
        <v>100000</v>
      </c>
      <c r="U221" s="7">
        <f>T221*S221</f>
        <v>1300000</v>
      </c>
      <c r="V221" s="4"/>
      <c r="W221" s="4"/>
      <c r="X221" s="4"/>
      <c r="Y221" s="4"/>
    </row>
    <row r="222" spans="2:25" ht="37.5">
      <c r="B222" s="58"/>
      <c r="C222" s="60"/>
      <c r="D222" s="56" t="s">
        <v>43</v>
      </c>
      <c r="E222" s="63"/>
      <c r="F222" s="8">
        <v>0.5</v>
      </c>
      <c r="G222" s="67" t="s">
        <v>79</v>
      </c>
      <c r="H222" s="68"/>
      <c r="I222" s="35">
        <v>57</v>
      </c>
      <c r="J222" s="9">
        <f t="shared" si="52"/>
        <v>3.5087719298245612E-2</v>
      </c>
      <c r="K222" s="39"/>
      <c r="L222" s="39"/>
      <c r="M222" s="39"/>
      <c r="N222" s="39"/>
      <c r="O222" s="39"/>
      <c r="P222" s="39"/>
      <c r="Q222" s="39"/>
      <c r="R222" s="39">
        <v>2</v>
      </c>
      <c r="S222" s="10">
        <f t="shared" ref="S222:S232" si="56">SUM(K222:R222)</f>
        <v>2</v>
      </c>
      <c r="T222" s="10">
        <v>100000</v>
      </c>
      <c r="U222" s="10">
        <f t="shared" ref="U222:U223" si="57">T222*S222</f>
        <v>200000</v>
      </c>
      <c r="V222" s="4"/>
      <c r="W222" s="4"/>
      <c r="X222" s="4"/>
      <c r="Y222" s="4"/>
    </row>
    <row r="223" spans="2:25" ht="37.5">
      <c r="B223" s="58"/>
      <c r="C223" s="60"/>
      <c r="D223" s="56" t="s">
        <v>43</v>
      </c>
      <c r="E223" s="63"/>
      <c r="F223" s="8">
        <v>0.58333333333333337</v>
      </c>
      <c r="G223" s="67" t="s">
        <v>79</v>
      </c>
      <c r="H223" s="68"/>
      <c r="I223" s="35">
        <v>57</v>
      </c>
      <c r="J223" s="9">
        <f t="shared" si="52"/>
        <v>5.2631578947368418E-2</v>
      </c>
      <c r="K223" s="39"/>
      <c r="L223" s="39"/>
      <c r="M223" s="39"/>
      <c r="N223" s="39"/>
      <c r="O223" s="39"/>
      <c r="P223" s="39"/>
      <c r="Q223" s="39"/>
      <c r="R223" s="39">
        <v>3</v>
      </c>
      <c r="S223" s="10">
        <f t="shared" si="56"/>
        <v>3</v>
      </c>
      <c r="T223" s="10">
        <v>100000</v>
      </c>
      <c r="U223" s="10">
        <f t="shared" si="57"/>
        <v>300000</v>
      </c>
      <c r="V223" s="4"/>
      <c r="W223" s="4"/>
      <c r="X223" s="4"/>
      <c r="Y223" s="4"/>
    </row>
    <row r="224" spans="2:25" ht="37.5">
      <c r="B224" s="58"/>
      <c r="C224" s="60"/>
      <c r="D224" s="56" t="s">
        <v>43</v>
      </c>
      <c r="E224" s="63"/>
      <c r="F224" s="8">
        <v>0.66666666666666663</v>
      </c>
      <c r="G224" s="67" t="s">
        <v>79</v>
      </c>
      <c r="H224" s="68"/>
      <c r="I224" s="35">
        <v>59</v>
      </c>
      <c r="J224" s="9">
        <f t="shared" si="52"/>
        <v>0</v>
      </c>
      <c r="K224" s="39"/>
      <c r="L224" s="39"/>
      <c r="M224" s="39"/>
      <c r="N224" s="39"/>
      <c r="O224" s="39"/>
      <c r="P224" s="39"/>
      <c r="Q224" s="39"/>
      <c r="R224" s="39"/>
      <c r="S224" s="10">
        <f t="shared" si="56"/>
        <v>0</v>
      </c>
      <c r="T224" s="10">
        <v>100000</v>
      </c>
      <c r="U224" s="10">
        <f>T224*S224</f>
        <v>0</v>
      </c>
      <c r="V224" s="4"/>
      <c r="W224" s="4"/>
      <c r="X224" s="4"/>
      <c r="Y224" s="4"/>
    </row>
    <row r="225" spans="2:25" ht="37.5">
      <c r="B225" s="58"/>
      <c r="C225" s="60"/>
      <c r="D225" s="56" t="s">
        <v>43</v>
      </c>
      <c r="E225" s="63"/>
      <c r="F225" s="8">
        <v>0.75</v>
      </c>
      <c r="G225" s="67" t="s">
        <v>79</v>
      </c>
      <c r="H225" s="68"/>
      <c r="I225" s="35">
        <v>56</v>
      </c>
      <c r="J225" s="9">
        <f t="shared" si="52"/>
        <v>0</v>
      </c>
      <c r="K225" s="39"/>
      <c r="L225" s="39"/>
      <c r="M225" s="39"/>
      <c r="N225" s="39"/>
      <c r="O225" s="39"/>
      <c r="P225" s="39"/>
      <c r="Q225" s="39"/>
      <c r="R225" s="39"/>
      <c r="S225" s="10">
        <f t="shared" si="56"/>
        <v>0</v>
      </c>
      <c r="T225" s="10">
        <v>100000</v>
      </c>
      <c r="U225" s="10">
        <f t="shared" ref="U225:U232" si="58">T225*S225</f>
        <v>0</v>
      </c>
      <c r="V225" s="4"/>
      <c r="W225" s="4"/>
      <c r="X225" s="11"/>
      <c r="Y225" s="4"/>
    </row>
    <row r="226" spans="2:25" ht="37.5">
      <c r="B226" s="58"/>
      <c r="C226" s="60"/>
      <c r="D226" s="57" t="s">
        <v>43</v>
      </c>
      <c r="E226" s="64"/>
      <c r="F226" s="12">
        <v>0.83333333333333337</v>
      </c>
      <c r="G226" s="67" t="s">
        <v>79</v>
      </c>
      <c r="H226" s="68"/>
      <c r="I226" s="36">
        <v>56</v>
      </c>
      <c r="J226" s="9">
        <f t="shared" si="52"/>
        <v>0</v>
      </c>
      <c r="K226" s="41"/>
      <c r="L226" s="41"/>
      <c r="M226" s="41"/>
      <c r="N226" s="41"/>
      <c r="O226" s="41"/>
      <c r="P226" s="41"/>
      <c r="Q226" s="41"/>
      <c r="R226" s="41"/>
      <c r="S226" s="13">
        <f t="shared" si="56"/>
        <v>0</v>
      </c>
      <c r="T226" s="13">
        <v>100000</v>
      </c>
      <c r="U226" s="13">
        <f t="shared" si="58"/>
        <v>0</v>
      </c>
      <c r="V226" s="4"/>
      <c r="Y226" s="4"/>
    </row>
    <row r="227" spans="2:25" ht="37.5">
      <c r="B227" s="58"/>
      <c r="C227" s="60"/>
      <c r="D227" s="51" t="s">
        <v>42</v>
      </c>
      <c r="E227" s="62" t="s">
        <v>102</v>
      </c>
      <c r="F227" s="5">
        <v>0.91666666666666663</v>
      </c>
      <c r="G227" s="65" t="s">
        <v>107</v>
      </c>
      <c r="H227" s="66"/>
      <c r="I227" s="34">
        <v>76</v>
      </c>
      <c r="J227" s="6">
        <f t="shared" si="52"/>
        <v>2.6315789473684209E-2</v>
      </c>
      <c r="K227" s="38">
        <v>2</v>
      </c>
      <c r="L227" s="38"/>
      <c r="M227" s="38"/>
      <c r="N227" s="38"/>
      <c r="O227" s="38"/>
      <c r="P227" s="38"/>
      <c r="Q227" s="38"/>
      <c r="R227" s="38"/>
      <c r="S227" s="7">
        <f t="shared" si="56"/>
        <v>2</v>
      </c>
      <c r="T227" s="7">
        <v>100000</v>
      </c>
      <c r="U227" s="7">
        <f t="shared" si="58"/>
        <v>200000</v>
      </c>
      <c r="V227" s="4"/>
      <c r="Y227" s="4"/>
    </row>
    <row r="228" spans="2:25" ht="37.5">
      <c r="B228" s="58"/>
      <c r="C228" s="60"/>
      <c r="D228" s="52" t="s">
        <v>42</v>
      </c>
      <c r="E228" s="63"/>
      <c r="F228" s="8">
        <v>1</v>
      </c>
      <c r="G228" s="67" t="s">
        <v>107</v>
      </c>
      <c r="H228" s="68"/>
      <c r="I228" s="35">
        <v>76</v>
      </c>
      <c r="J228" s="9">
        <f t="shared" si="52"/>
        <v>2.6315789473684209E-2</v>
      </c>
      <c r="K228" s="39"/>
      <c r="L228" s="39"/>
      <c r="M228" s="39">
        <v>2</v>
      </c>
      <c r="N228" s="39"/>
      <c r="O228" s="39"/>
      <c r="P228" s="39"/>
      <c r="Q228" s="39"/>
      <c r="R228" s="39"/>
      <c r="S228" s="10">
        <f t="shared" si="56"/>
        <v>2</v>
      </c>
      <c r="T228" s="10">
        <v>100000</v>
      </c>
      <c r="U228" s="10">
        <f t="shared" si="58"/>
        <v>200000</v>
      </c>
      <c r="V228" s="4"/>
      <c r="Y228" s="4"/>
    </row>
    <row r="229" spans="2:25" ht="37.5">
      <c r="B229" s="58"/>
      <c r="C229" s="60"/>
      <c r="D229" s="52" t="s">
        <v>42</v>
      </c>
      <c r="E229" s="63"/>
      <c r="F229" s="8">
        <v>8.3333333333333329E-2</v>
      </c>
      <c r="G229" s="67" t="s">
        <v>107</v>
      </c>
      <c r="H229" s="68"/>
      <c r="I229" s="35">
        <v>76</v>
      </c>
      <c r="J229" s="9">
        <f t="shared" si="52"/>
        <v>2.6315789473684209E-2</v>
      </c>
      <c r="K229" s="39">
        <v>1</v>
      </c>
      <c r="L229" s="39"/>
      <c r="M229" s="39">
        <v>1</v>
      </c>
      <c r="N229" s="39"/>
      <c r="O229" s="39"/>
      <c r="P229" s="39"/>
      <c r="Q229" s="39"/>
      <c r="R229" s="39"/>
      <c r="S229" s="10">
        <f t="shared" si="56"/>
        <v>2</v>
      </c>
      <c r="T229" s="10">
        <v>100000</v>
      </c>
      <c r="U229" s="10">
        <f t="shared" si="58"/>
        <v>200000</v>
      </c>
      <c r="V229" s="4"/>
      <c r="Y229" s="4"/>
    </row>
    <row r="230" spans="2:25" ht="37.5">
      <c r="B230" s="58"/>
      <c r="C230" s="60"/>
      <c r="D230" s="52" t="s">
        <v>42</v>
      </c>
      <c r="E230" s="63"/>
      <c r="F230" s="8">
        <v>0.16666666666666666</v>
      </c>
      <c r="G230" s="67" t="s">
        <v>107</v>
      </c>
      <c r="H230" s="68"/>
      <c r="I230" s="35">
        <v>76</v>
      </c>
      <c r="J230" s="9">
        <f t="shared" si="52"/>
        <v>2.6315789473684209E-2</v>
      </c>
      <c r="K230" s="39">
        <v>2</v>
      </c>
      <c r="L230" s="39"/>
      <c r="M230" s="39"/>
      <c r="N230" s="39"/>
      <c r="O230" s="39"/>
      <c r="P230" s="39"/>
      <c r="Q230" s="39"/>
      <c r="R230" s="39"/>
      <c r="S230" s="10">
        <f t="shared" si="56"/>
        <v>2</v>
      </c>
      <c r="T230" s="10">
        <v>100000</v>
      </c>
      <c r="U230" s="10">
        <f t="shared" si="58"/>
        <v>200000</v>
      </c>
      <c r="V230" s="4"/>
      <c r="W230" s="4"/>
      <c r="X230" s="4"/>
      <c r="Y230" s="4"/>
    </row>
    <row r="231" spans="2:25" ht="37.5">
      <c r="B231" s="58"/>
      <c r="C231" s="60"/>
      <c r="D231" s="52" t="s">
        <v>42</v>
      </c>
      <c r="E231" s="63"/>
      <c r="F231" s="8">
        <v>0.25</v>
      </c>
      <c r="G231" s="67" t="s">
        <v>107</v>
      </c>
      <c r="H231" s="68"/>
      <c r="I231" s="35">
        <v>76</v>
      </c>
      <c r="J231" s="9">
        <f t="shared" si="52"/>
        <v>2.6315789473684209E-2</v>
      </c>
      <c r="K231" s="39"/>
      <c r="L231" s="39"/>
      <c r="M231" s="39">
        <v>2</v>
      </c>
      <c r="N231" s="39"/>
      <c r="O231" s="39"/>
      <c r="P231" s="39"/>
      <c r="Q231" s="39"/>
      <c r="R231" s="39"/>
      <c r="S231" s="10">
        <f t="shared" si="56"/>
        <v>2</v>
      </c>
      <c r="T231" s="10">
        <v>100000</v>
      </c>
      <c r="U231" s="10">
        <f t="shared" si="58"/>
        <v>200000</v>
      </c>
      <c r="V231" s="4"/>
      <c r="Y231" s="4"/>
    </row>
    <row r="232" spans="2:25" ht="37.5">
      <c r="B232" s="58"/>
      <c r="C232" s="61"/>
      <c r="D232" s="53" t="s">
        <v>42</v>
      </c>
      <c r="E232" s="69"/>
      <c r="F232" s="14">
        <v>0.33333333333333331</v>
      </c>
      <c r="G232" s="67" t="s">
        <v>107</v>
      </c>
      <c r="H232" s="68"/>
      <c r="I232" s="37">
        <v>57</v>
      </c>
      <c r="J232" s="15">
        <f t="shared" si="52"/>
        <v>0</v>
      </c>
      <c r="K232" s="40"/>
      <c r="L232" s="40"/>
      <c r="M232" s="40"/>
      <c r="N232" s="40"/>
      <c r="O232" s="40"/>
      <c r="P232" s="40"/>
      <c r="Q232" s="40"/>
      <c r="R232" s="40"/>
      <c r="S232" s="16">
        <f t="shared" si="56"/>
        <v>0</v>
      </c>
      <c r="T232" s="16">
        <v>100000</v>
      </c>
      <c r="U232" s="16">
        <f t="shared" si="58"/>
        <v>0</v>
      </c>
      <c r="V232" s="4"/>
      <c r="W232" s="4"/>
      <c r="X232" s="4"/>
      <c r="Y232" s="4"/>
    </row>
    <row r="233" spans="2:25" ht="38.25" customHeight="1">
      <c r="B233" s="58">
        <v>46100</v>
      </c>
      <c r="C233" s="59" t="s">
        <v>17</v>
      </c>
      <c r="D233" s="51" t="s">
        <v>43</v>
      </c>
      <c r="E233" s="62" t="s">
        <v>101</v>
      </c>
      <c r="F233" s="5">
        <v>0.41666666666666669</v>
      </c>
      <c r="G233" s="65" t="s">
        <v>76</v>
      </c>
      <c r="H233" s="66"/>
      <c r="I233" s="34">
        <v>60</v>
      </c>
      <c r="J233" s="6">
        <f t="shared" ref="J233:J244" si="59">IFERROR(S233/I233,"")</f>
        <v>0</v>
      </c>
      <c r="K233" s="38"/>
      <c r="L233" s="38"/>
      <c r="M233" s="38"/>
      <c r="N233" s="38"/>
      <c r="O233" s="38"/>
      <c r="P233" s="38"/>
      <c r="Q233" s="38"/>
      <c r="R233" s="38"/>
      <c r="S233" s="7">
        <f>SUM(K233:R233)</f>
        <v>0</v>
      </c>
      <c r="T233" s="7">
        <v>100000</v>
      </c>
      <c r="U233" s="7">
        <f>T233*S233</f>
        <v>0</v>
      </c>
      <c r="V233" s="4"/>
      <c r="W233" s="4"/>
      <c r="X233" s="4"/>
      <c r="Y233" s="4"/>
    </row>
    <row r="234" spans="2:25" ht="37.5">
      <c r="B234" s="58"/>
      <c r="C234" s="60"/>
      <c r="D234" s="52" t="s">
        <v>43</v>
      </c>
      <c r="E234" s="63"/>
      <c r="F234" s="8">
        <v>0.5</v>
      </c>
      <c r="G234" s="67" t="s">
        <v>76</v>
      </c>
      <c r="H234" s="68"/>
      <c r="I234" s="35">
        <v>16</v>
      </c>
      <c r="J234" s="9">
        <f t="shared" si="59"/>
        <v>0</v>
      </c>
      <c r="K234" s="39"/>
      <c r="L234" s="39"/>
      <c r="M234" s="39"/>
      <c r="N234" s="39"/>
      <c r="O234" s="39"/>
      <c r="P234" s="39"/>
      <c r="Q234" s="39"/>
      <c r="R234" s="39"/>
      <c r="S234" s="10">
        <f t="shared" ref="S234:S244" si="60">SUM(K234:R234)</f>
        <v>0</v>
      </c>
      <c r="T234" s="10">
        <v>100000</v>
      </c>
      <c r="U234" s="10">
        <f t="shared" ref="U234:U235" si="61">T234*S234</f>
        <v>0</v>
      </c>
      <c r="V234" s="4"/>
      <c r="W234" s="4"/>
      <c r="X234" s="4"/>
      <c r="Y234" s="4"/>
    </row>
    <row r="235" spans="2:25" ht="18.75">
      <c r="B235" s="58"/>
      <c r="C235" s="60"/>
      <c r="D235" s="52"/>
      <c r="E235" s="63"/>
      <c r="F235" s="8">
        <v>0.58333333333333337</v>
      </c>
      <c r="G235" s="67"/>
      <c r="H235" s="68"/>
      <c r="I235" s="35"/>
      <c r="J235" s="9" t="str">
        <f t="shared" si="59"/>
        <v/>
      </c>
      <c r="K235" s="39"/>
      <c r="L235" s="39"/>
      <c r="M235" s="39"/>
      <c r="N235" s="39"/>
      <c r="O235" s="39"/>
      <c r="P235" s="39"/>
      <c r="Q235" s="39"/>
      <c r="R235" s="39"/>
      <c r="S235" s="10">
        <f t="shared" si="60"/>
        <v>0</v>
      </c>
      <c r="T235" s="10">
        <v>100000</v>
      </c>
      <c r="U235" s="10">
        <f t="shared" si="61"/>
        <v>0</v>
      </c>
      <c r="V235" s="4"/>
      <c r="W235" s="4"/>
      <c r="X235" s="4"/>
      <c r="Y235" s="4"/>
    </row>
    <row r="236" spans="2:25" ht="18.75">
      <c r="B236" s="58"/>
      <c r="C236" s="60"/>
      <c r="D236" s="52"/>
      <c r="E236" s="63"/>
      <c r="F236" s="8">
        <v>0.66666666666666663</v>
      </c>
      <c r="G236" s="67"/>
      <c r="H236" s="68"/>
      <c r="I236" s="35"/>
      <c r="J236" s="9" t="str">
        <f t="shared" si="59"/>
        <v/>
      </c>
      <c r="K236" s="39"/>
      <c r="L236" s="39"/>
      <c r="M236" s="39"/>
      <c r="N236" s="39"/>
      <c r="O236" s="39"/>
      <c r="P236" s="39"/>
      <c r="Q236" s="39"/>
      <c r="R236" s="39"/>
      <c r="S236" s="10">
        <f t="shared" si="60"/>
        <v>0</v>
      </c>
      <c r="T236" s="10">
        <v>100000</v>
      </c>
      <c r="U236" s="10">
        <f>T236*S236</f>
        <v>0</v>
      </c>
      <c r="V236" s="4"/>
      <c r="W236" s="4"/>
      <c r="X236" s="4"/>
      <c r="Y236" s="4"/>
    </row>
    <row r="237" spans="2:25" ht="18.75">
      <c r="B237" s="58"/>
      <c r="C237" s="60"/>
      <c r="D237" s="52"/>
      <c r="E237" s="63"/>
      <c r="F237" s="8">
        <v>0.75</v>
      </c>
      <c r="G237" s="67"/>
      <c r="H237" s="68"/>
      <c r="I237" s="35"/>
      <c r="J237" s="9" t="str">
        <f t="shared" si="59"/>
        <v/>
      </c>
      <c r="K237" s="39"/>
      <c r="L237" s="39"/>
      <c r="M237" s="39"/>
      <c r="N237" s="39"/>
      <c r="O237" s="39"/>
      <c r="P237" s="39"/>
      <c r="Q237" s="39"/>
      <c r="R237" s="39"/>
      <c r="S237" s="10">
        <f t="shared" si="60"/>
        <v>0</v>
      </c>
      <c r="T237" s="10">
        <v>100000</v>
      </c>
      <c r="U237" s="10">
        <f t="shared" ref="U237:U244" si="62">T237*S237</f>
        <v>0</v>
      </c>
      <c r="V237" s="4"/>
      <c r="W237" s="4"/>
      <c r="X237" s="11"/>
      <c r="Y237" s="4"/>
    </row>
    <row r="238" spans="2:25" ht="18.75">
      <c r="B238" s="58"/>
      <c r="C238" s="60"/>
      <c r="D238" s="53"/>
      <c r="E238" s="64"/>
      <c r="F238" s="12">
        <v>0.83333333333333337</v>
      </c>
      <c r="G238" s="67"/>
      <c r="H238" s="68"/>
      <c r="I238" s="36"/>
      <c r="J238" s="9" t="str">
        <f t="shared" si="59"/>
        <v/>
      </c>
      <c r="K238" s="41"/>
      <c r="L238" s="41"/>
      <c r="M238" s="41"/>
      <c r="N238" s="41"/>
      <c r="O238" s="41"/>
      <c r="P238" s="41"/>
      <c r="Q238" s="41"/>
      <c r="R238" s="41"/>
      <c r="S238" s="13">
        <f t="shared" si="60"/>
        <v>0</v>
      </c>
      <c r="T238" s="13">
        <v>100000</v>
      </c>
      <c r="U238" s="13">
        <f t="shared" si="62"/>
        <v>0</v>
      </c>
      <c r="V238" s="4"/>
      <c r="Y238" s="4"/>
    </row>
    <row r="239" spans="2:25" ht="37.5">
      <c r="B239" s="58"/>
      <c r="C239" s="60"/>
      <c r="D239" s="51" t="s">
        <v>43</v>
      </c>
      <c r="E239" s="62" t="s">
        <v>102</v>
      </c>
      <c r="F239" s="5">
        <v>0.91666666666666663</v>
      </c>
      <c r="G239" s="65" t="s">
        <v>107</v>
      </c>
      <c r="H239" s="66"/>
      <c r="I239" s="34">
        <v>57</v>
      </c>
      <c r="J239" s="6">
        <f t="shared" si="59"/>
        <v>5.2631578947368418E-2</v>
      </c>
      <c r="K239" s="38"/>
      <c r="L239" s="38"/>
      <c r="M239" s="38"/>
      <c r="N239" s="38"/>
      <c r="O239" s="38"/>
      <c r="P239" s="38"/>
      <c r="Q239" s="38"/>
      <c r="R239" s="38">
        <v>3</v>
      </c>
      <c r="S239" s="7">
        <f t="shared" si="60"/>
        <v>3</v>
      </c>
      <c r="T239" s="7">
        <v>100000</v>
      </c>
      <c r="U239" s="7">
        <f t="shared" si="62"/>
        <v>300000</v>
      </c>
      <c r="V239" s="4"/>
      <c r="Y239" s="4"/>
    </row>
    <row r="240" spans="2:25" ht="37.5">
      <c r="B240" s="58"/>
      <c r="C240" s="60"/>
      <c r="D240" s="52" t="s">
        <v>43</v>
      </c>
      <c r="E240" s="63"/>
      <c r="F240" s="8">
        <v>1</v>
      </c>
      <c r="G240" s="67" t="s">
        <v>107</v>
      </c>
      <c r="H240" s="68"/>
      <c r="I240" s="35">
        <v>57</v>
      </c>
      <c r="J240" s="9">
        <f t="shared" si="59"/>
        <v>5.2631578947368418E-2</v>
      </c>
      <c r="K240" s="39"/>
      <c r="L240" s="39"/>
      <c r="M240" s="39"/>
      <c r="N240" s="39"/>
      <c r="O240" s="39"/>
      <c r="P240" s="39"/>
      <c r="Q240" s="39"/>
      <c r="R240" s="39">
        <v>3</v>
      </c>
      <c r="S240" s="10">
        <f t="shared" si="60"/>
        <v>3</v>
      </c>
      <c r="T240" s="10">
        <v>100000</v>
      </c>
      <c r="U240" s="10">
        <f t="shared" si="62"/>
        <v>300000</v>
      </c>
      <c r="V240" s="4"/>
      <c r="Y240" s="4"/>
    </row>
    <row r="241" spans="2:25" ht="37.5">
      <c r="B241" s="58"/>
      <c r="C241" s="60"/>
      <c r="D241" s="52" t="s">
        <v>43</v>
      </c>
      <c r="E241" s="63"/>
      <c r="F241" s="8">
        <v>8.3333333333333329E-2</v>
      </c>
      <c r="G241" s="67" t="s">
        <v>107</v>
      </c>
      <c r="H241" s="68"/>
      <c r="I241" s="35">
        <v>57</v>
      </c>
      <c r="J241" s="9">
        <f t="shared" si="59"/>
        <v>5.2631578947368418E-2</v>
      </c>
      <c r="K241" s="39"/>
      <c r="L241" s="39"/>
      <c r="M241" s="39"/>
      <c r="N241" s="39"/>
      <c r="O241" s="39"/>
      <c r="P241" s="39"/>
      <c r="Q241" s="39"/>
      <c r="R241" s="39">
        <v>3</v>
      </c>
      <c r="S241" s="10">
        <f t="shared" si="60"/>
        <v>3</v>
      </c>
      <c r="T241" s="10">
        <v>100000</v>
      </c>
      <c r="U241" s="10">
        <f t="shared" si="62"/>
        <v>300000</v>
      </c>
      <c r="V241" s="4"/>
      <c r="Y241" s="4"/>
    </row>
    <row r="242" spans="2:25" ht="37.5">
      <c r="B242" s="58"/>
      <c r="C242" s="60"/>
      <c r="D242" s="52" t="s">
        <v>43</v>
      </c>
      <c r="E242" s="63"/>
      <c r="F242" s="8">
        <v>0.16666666666666666</v>
      </c>
      <c r="G242" s="67" t="s">
        <v>105</v>
      </c>
      <c r="H242" s="68"/>
      <c r="I242" s="35">
        <v>57</v>
      </c>
      <c r="J242" s="9">
        <f t="shared" si="59"/>
        <v>5.2631578947368418E-2</v>
      </c>
      <c r="K242" s="39"/>
      <c r="L242" s="39"/>
      <c r="M242" s="39"/>
      <c r="N242" s="39"/>
      <c r="O242" s="39"/>
      <c r="P242" s="39"/>
      <c r="Q242" s="39"/>
      <c r="R242" s="39">
        <v>3</v>
      </c>
      <c r="S242" s="10">
        <f t="shared" si="60"/>
        <v>3</v>
      </c>
      <c r="T242" s="10">
        <v>100000</v>
      </c>
      <c r="U242" s="10">
        <f t="shared" si="62"/>
        <v>300000</v>
      </c>
      <c r="V242" s="4"/>
      <c r="W242" s="4"/>
      <c r="X242" s="4"/>
      <c r="Y242" s="4"/>
    </row>
    <row r="243" spans="2:25" ht="37.5">
      <c r="B243" s="58"/>
      <c r="C243" s="60"/>
      <c r="D243" s="52" t="s">
        <v>43</v>
      </c>
      <c r="E243" s="63"/>
      <c r="F243" s="8">
        <v>0.25</v>
      </c>
      <c r="G243" s="67" t="s">
        <v>105</v>
      </c>
      <c r="H243" s="68"/>
      <c r="I243" s="35">
        <v>57</v>
      </c>
      <c r="J243" s="9">
        <f t="shared" si="59"/>
        <v>5.2631578947368418E-2</v>
      </c>
      <c r="K243" s="39"/>
      <c r="L243" s="39"/>
      <c r="M243" s="39"/>
      <c r="N243" s="39"/>
      <c r="O243" s="39"/>
      <c r="P243" s="39"/>
      <c r="Q243" s="39"/>
      <c r="R243" s="39">
        <v>3</v>
      </c>
      <c r="S243" s="10">
        <f t="shared" si="60"/>
        <v>3</v>
      </c>
      <c r="T243" s="10">
        <v>100000</v>
      </c>
      <c r="U243" s="10">
        <f t="shared" si="62"/>
        <v>300000</v>
      </c>
      <c r="V243" s="4"/>
      <c r="Y243" s="4"/>
    </row>
    <row r="244" spans="2:25" ht="37.5">
      <c r="B244" s="58"/>
      <c r="C244" s="61"/>
      <c r="D244" s="53" t="s">
        <v>43</v>
      </c>
      <c r="E244" s="69"/>
      <c r="F244" s="14">
        <v>0.33333333333333331</v>
      </c>
      <c r="G244" s="67" t="s">
        <v>105</v>
      </c>
      <c r="H244" s="68"/>
      <c r="I244" s="37">
        <v>57</v>
      </c>
      <c r="J244" s="15">
        <f t="shared" si="59"/>
        <v>5.2631578947368418E-2</v>
      </c>
      <c r="K244" s="40"/>
      <c r="L244" s="40"/>
      <c r="M244" s="40"/>
      <c r="N244" s="40"/>
      <c r="O244" s="40"/>
      <c r="P244" s="40"/>
      <c r="Q244" s="40"/>
      <c r="R244" s="40">
        <v>3</v>
      </c>
      <c r="S244" s="16">
        <f t="shared" si="60"/>
        <v>3</v>
      </c>
      <c r="T244" s="16">
        <v>100000</v>
      </c>
      <c r="U244" s="16">
        <f t="shared" si="62"/>
        <v>300000</v>
      </c>
      <c r="V244" s="4"/>
      <c r="W244" s="4"/>
      <c r="X244" s="4"/>
      <c r="Y244" s="4"/>
    </row>
    <row r="245" spans="2:25" ht="38.25" customHeight="1">
      <c r="B245" s="58">
        <v>46101</v>
      </c>
      <c r="C245" s="59" t="s">
        <v>17</v>
      </c>
      <c r="D245" s="51" t="s">
        <v>43</v>
      </c>
      <c r="E245" s="62" t="s">
        <v>101</v>
      </c>
      <c r="F245" s="5">
        <v>0.41666666666666669</v>
      </c>
      <c r="G245" s="65" t="s">
        <v>75</v>
      </c>
      <c r="H245" s="66"/>
      <c r="I245" s="34">
        <v>57</v>
      </c>
      <c r="J245" s="6">
        <f t="shared" ref="J245:J280" si="63">IFERROR(S245/I245,"")</f>
        <v>5.2631578947368418E-2</v>
      </c>
      <c r="K245" s="38"/>
      <c r="L245" s="38"/>
      <c r="M245" s="38"/>
      <c r="N245" s="38"/>
      <c r="O245" s="38"/>
      <c r="P245" s="38"/>
      <c r="Q245" s="38"/>
      <c r="R245" s="38">
        <v>3</v>
      </c>
      <c r="S245" s="7">
        <f>SUM(K245:R245)</f>
        <v>3</v>
      </c>
      <c r="T245" s="7">
        <v>100000</v>
      </c>
      <c r="U245" s="7">
        <f>T245*S245</f>
        <v>300000</v>
      </c>
      <c r="V245" s="4"/>
      <c r="W245" s="4"/>
      <c r="X245" s="4"/>
      <c r="Y245" s="4"/>
    </row>
    <row r="246" spans="2:25" ht="37.5">
      <c r="B246" s="58"/>
      <c r="C246" s="60"/>
      <c r="D246" s="52" t="s">
        <v>43</v>
      </c>
      <c r="E246" s="63"/>
      <c r="F246" s="8">
        <v>0.5</v>
      </c>
      <c r="G246" s="67" t="s">
        <v>75</v>
      </c>
      <c r="H246" s="68"/>
      <c r="I246" s="35">
        <v>60</v>
      </c>
      <c r="J246" s="9">
        <f t="shared" si="63"/>
        <v>0</v>
      </c>
      <c r="K246" s="39"/>
      <c r="L246" s="39"/>
      <c r="M246" s="39"/>
      <c r="N246" s="39"/>
      <c r="O246" s="39"/>
      <c r="P246" s="39"/>
      <c r="Q246" s="39"/>
      <c r="R246" s="39"/>
      <c r="S246" s="10">
        <f t="shared" ref="S246:S256" si="64">SUM(K246:R246)</f>
        <v>0</v>
      </c>
      <c r="T246" s="10">
        <v>100000</v>
      </c>
      <c r="U246" s="10">
        <f t="shared" ref="U246:U247" si="65">T246*S246</f>
        <v>0</v>
      </c>
      <c r="V246" s="4"/>
      <c r="W246" s="4"/>
      <c r="X246" s="4"/>
      <c r="Y246" s="4"/>
    </row>
    <row r="247" spans="2:25" ht="37.5">
      <c r="B247" s="58"/>
      <c r="C247" s="60"/>
      <c r="D247" s="52" t="s">
        <v>43</v>
      </c>
      <c r="E247" s="63"/>
      <c r="F247" s="8">
        <v>0.58333333333333337</v>
      </c>
      <c r="G247" s="67" t="s">
        <v>75</v>
      </c>
      <c r="H247" s="68"/>
      <c r="I247" s="35">
        <v>60</v>
      </c>
      <c r="J247" s="9">
        <f t="shared" si="63"/>
        <v>0</v>
      </c>
      <c r="K247" s="39"/>
      <c r="L247" s="39"/>
      <c r="M247" s="39"/>
      <c r="N247" s="39"/>
      <c r="O247" s="39"/>
      <c r="P247" s="39"/>
      <c r="Q247" s="39"/>
      <c r="R247" s="39"/>
      <c r="S247" s="10">
        <f t="shared" si="64"/>
        <v>0</v>
      </c>
      <c r="T247" s="10">
        <v>100000</v>
      </c>
      <c r="U247" s="10">
        <f t="shared" si="65"/>
        <v>0</v>
      </c>
      <c r="V247" s="4"/>
      <c r="W247" s="4"/>
      <c r="X247" s="4"/>
      <c r="Y247" s="4"/>
    </row>
    <row r="248" spans="2:25" ht="37.5">
      <c r="B248" s="58"/>
      <c r="C248" s="60"/>
      <c r="D248" s="52" t="s">
        <v>43</v>
      </c>
      <c r="E248" s="63"/>
      <c r="F248" s="8">
        <v>0.66666666666666663</v>
      </c>
      <c r="G248" s="67" t="s">
        <v>75</v>
      </c>
      <c r="H248" s="68"/>
      <c r="I248" s="35">
        <v>60</v>
      </c>
      <c r="J248" s="9">
        <f t="shared" si="63"/>
        <v>0</v>
      </c>
      <c r="K248" s="39"/>
      <c r="L248" s="39"/>
      <c r="M248" s="39"/>
      <c r="N248" s="39"/>
      <c r="O248" s="39"/>
      <c r="P248" s="39"/>
      <c r="Q248" s="39"/>
      <c r="R248" s="39"/>
      <c r="S248" s="10">
        <f t="shared" si="64"/>
        <v>0</v>
      </c>
      <c r="T248" s="10">
        <v>100000</v>
      </c>
      <c r="U248" s="10">
        <f>T248*S248</f>
        <v>0</v>
      </c>
      <c r="V248" s="4"/>
      <c r="W248" s="4"/>
      <c r="X248" s="4"/>
      <c r="Y248" s="4"/>
    </row>
    <row r="249" spans="2:25" ht="37.5">
      <c r="B249" s="58"/>
      <c r="C249" s="60"/>
      <c r="D249" s="52" t="s">
        <v>43</v>
      </c>
      <c r="E249" s="63"/>
      <c r="F249" s="8">
        <v>0.75</v>
      </c>
      <c r="G249" s="67" t="s">
        <v>75</v>
      </c>
      <c r="H249" s="68"/>
      <c r="I249" s="35">
        <v>60</v>
      </c>
      <c r="J249" s="9">
        <f t="shared" si="63"/>
        <v>0</v>
      </c>
      <c r="K249" s="39"/>
      <c r="L249" s="39"/>
      <c r="M249" s="39"/>
      <c r="N249" s="39"/>
      <c r="O249" s="39"/>
      <c r="P249" s="39"/>
      <c r="Q249" s="39"/>
      <c r="R249" s="39"/>
      <c r="S249" s="10">
        <f t="shared" si="64"/>
        <v>0</v>
      </c>
      <c r="T249" s="10">
        <v>100000</v>
      </c>
      <c r="U249" s="10">
        <f t="shared" ref="U249:U256" si="66">T249*S249</f>
        <v>0</v>
      </c>
      <c r="V249" s="4"/>
      <c r="W249" s="4"/>
      <c r="X249" s="11"/>
      <c r="Y249" s="4"/>
    </row>
    <row r="250" spans="2:25" ht="37.5">
      <c r="B250" s="58"/>
      <c r="C250" s="60"/>
      <c r="D250" s="53" t="s">
        <v>43</v>
      </c>
      <c r="E250" s="64"/>
      <c r="F250" s="12">
        <v>0.83333333333333337</v>
      </c>
      <c r="G250" s="67" t="s">
        <v>75</v>
      </c>
      <c r="H250" s="68"/>
      <c r="I250" s="36">
        <v>45</v>
      </c>
      <c r="J250" s="9">
        <f t="shared" si="63"/>
        <v>0</v>
      </c>
      <c r="K250" s="41"/>
      <c r="L250" s="41"/>
      <c r="M250" s="41"/>
      <c r="N250" s="41"/>
      <c r="O250" s="41"/>
      <c r="P250" s="41"/>
      <c r="Q250" s="41"/>
      <c r="R250" s="41"/>
      <c r="S250" s="13">
        <f t="shared" si="64"/>
        <v>0</v>
      </c>
      <c r="T250" s="13">
        <v>100000</v>
      </c>
      <c r="U250" s="13">
        <f t="shared" si="66"/>
        <v>0</v>
      </c>
      <c r="V250" s="4"/>
      <c r="Y250" s="4"/>
    </row>
    <row r="251" spans="2:25" ht="37.5" customHeight="1">
      <c r="B251" s="58"/>
      <c r="C251" s="60"/>
      <c r="D251" s="51" t="s">
        <v>43</v>
      </c>
      <c r="E251" s="62" t="s">
        <v>102</v>
      </c>
      <c r="F251" s="5">
        <v>0.91666666666666663</v>
      </c>
      <c r="G251" s="65" t="s">
        <v>82</v>
      </c>
      <c r="H251" s="66"/>
      <c r="I251" s="34">
        <v>15</v>
      </c>
      <c r="J251" s="6">
        <f t="shared" si="63"/>
        <v>0.66666666666666663</v>
      </c>
      <c r="K251" s="38"/>
      <c r="L251" s="38"/>
      <c r="M251" s="38"/>
      <c r="N251" s="38"/>
      <c r="O251" s="38"/>
      <c r="P251" s="38"/>
      <c r="Q251" s="38">
        <v>10</v>
      </c>
      <c r="R251" s="38"/>
      <c r="S251" s="7">
        <f t="shared" si="64"/>
        <v>10</v>
      </c>
      <c r="T251" s="7">
        <v>100000</v>
      </c>
      <c r="U251" s="7">
        <f t="shared" si="66"/>
        <v>1000000</v>
      </c>
      <c r="V251" s="4"/>
      <c r="Y251" s="4"/>
    </row>
    <row r="252" spans="2:25" ht="37.5" customHeight="1">
      <c r="B252" s="58"/>
      <c r="C252" s="60"/>
      <c r="D252" s="52" t="s">
        <v>43</v>
      </c>
      <c r="E252" s="63"/>
      <c r="F252" s="8">
        <v>1</v>
      </c>
      <c r="G252" s="67" t="s">
        <v>82</v>
      </c>
      <c r="H252" s="68"/>
      <c r="I252" s="35">
        <v>55</v>
      </c>
      <c r="J252" s="9">
        <f t="shared" si="63"/>
        <v>3.6363636363636362E-2</v>
      </c>
      <c r="K252" s="39"/>
      <c r="L252" s="39"/>
      <c r="M252" s="39"/>
      <c r="N252" s="39"/>
      <c r="O252" s="39"/>
      <c r="P252" s="39"/>
      <c r="Q252" s="39"/>
      <c r="R252" s="39">
        <v>2</v>
      </c>
      <c r="S252" s="10">
        <f t="shared" si="64"/>
        <v>2</v>
      </c>
      <c r="T252" s="10">
        <v>100000</v>
      </c>
      <c r="U252" s="10">
        <f t="shared" si="66"/>
        <v>200000</v>
      </c>
      <c r="V252" s="4"/>
      <c r="Y252" s="4"/>
    </row>
    <row r="253" spans="2:25" ht="37.5" customHeight="1">
      <c r="B253" s="58"/>
      <c r="C253" s="60"/>
      <c r="D253" s="52" t="s">
        <v>43</v>
      </c>
      <c r="E253" s="63"/>
      <c r="F253" s="8">
        <v>8.3333333333333329E-2</v>
      </c>
      <c r="G253" s="67" t="s">
        <v>82</v>
      </c>
      <c r="H253" s="68"/>
      <c r="I253" s="35">
        <v>55</v>
      </c>
      <c r="J253" s="9">
        <f t="shared" si="63"/>
        <v>3.6363636363636362E-2</v>
      </c>
      <c r="K253" s="39"/>
      <c r="L253" s="39"/>
      <c r="M253" s="39"/>
      <c r="N253" s="39"/>
      <c r="O253" s="39"/>
      <c r="P253" s="39"/>
      <c r="Q253" s="39"/>
      <c r="R253" s="39">
        <v>2</v>
      </c>
      <c r="S253" s="10">
        <f t="shared" si="64"/>
        <v>2</v>
      </c>
      <c r="T253" s="10">
        <v>100000</v>
      </c>
      <c r="U253" s="10">
        <f t="shared" si="66"/>
        <v>200000</v>
      </c>
      <c r="V253" s="4"/>
      <c r="Y253" s="4"/>
    </row>
    <row r="254" spans="2:25" ht="37.5" customHeight="1">
      <c r="B254" s="58"/>
      <c r="C254" s="60"/>
      <c r="D254" s="52" t="s">
        <v>43</v>
      </c>
      <c r="E254" s="63"/>
      <c r="F254" s="8">
        <v>0.16666666666666666</v>
      </c>
      <c r="G254" s="67" t="s">
        <v>82</v>
      </c>
      <c r="H254" s="68"/>
      <c r="I254" s="35">
        <v>55</v>
      </c>
      <c r="J254" s="9">
        <f t="shared" si="63"/>
        <v>3.6363636363636362E-2</v>
      </c>
      <c r="K254" s="39"/>
      <c r="L254" s="39"/>
      <c r="M254" s="39"/>
      <c r="N254" s="39"/>
      <c r="O254" s="39"/>
      <c r="P254" s="39"/>
      <c r="Q254" s="39"/>
      <c r="R254" s="39">
        <v>2</v>
      </c>
      <c r="S254" s="10">
        <f t="shared" si="64"/>
        <v>2</v>
      </c>
      <c r="T254" s="10">
        <v>100000</v>
      </c>
      <c r="U254" s="10">
        <f t="shared" si="66"/>
        <v>200000</v>
      </c>
      <c r="V254" s="4"/>
      <c r="W254" s="4"/>
      <c r="X254" s="4"/>
      <c r="Y254" s="4"/>
    </row>
    <row r="255" spans="2:25" ht="37.5" customHeight="1">
      <c r="B255" s="58"/>
      <c r="C255" s="60"/>
      <c r="D255" s="52" t="s">
        <v>43</v>
      </c>
      <c r="E255" s="63"/>
      <c r="F255" s="8">
        <v>0.25</v>
      </c>
      <c r="G255" s="67" t="s">
        <v>82</v>
      </c>
      <c r="H255" s="68"/>
      <c r="I255" s="35">
        <v>55</v>
      </c>
      <c r="J255" s="9">
        <f t="shared" si="63"/>
        <v>3.6363636363636362E-2</v>
      </c>
      <c r="K255" s="39"/>
      <c r="L255" s="39"/>
      <c r="M255" s="39"/>
      <c r="N255" s="39"/>
      <c r="O255" s="39"/>
      <c r="P255" s="39"/>
      <c r="Q255" s="39"/>
      <c r="R255" s="39">
        <v>2</v>
      </c>
      <c r="S255" s="10">
        <f t="shared" si="64"/>
        <v>2</v>
      </c>
      <c r="T255" s="10">
        <v>100000</v>
      </c>
      <c r="U255" s="10">
        <f t="shared" si="66"/>
        <v>200000</v>
      </c>
      <c r="V255" s="4"/>
      <c r="Y255" s="4"/>
    </row>
    <row r="256" spans="2:25" ht="37.5" customHeight="1">
      <c r="B256" s="58"/>
      <c r="C256" s="61"/>
      <c r="D256" s="53" t="s">
        <v>43</v>
      </c>
      <c r="E256" s="69"/>
      <c r="F256" s="14">
        <v>0.33333333333333331</v>
      </c>
      <c r="G256" s="67" t="s">
        <v>82</v>
      </c>
      <c r="H256" s="68"/>
      <c r="I256" s="37">
        <v>55</v>
      </c>
      <c r="J256" s="15">
        <f t="shared" si="63"/>
        <v>1.8181818181818181E-2</v>
      </c>
      <c r="K256" s="40"/>
      <c r="L256" s="40"/>
      <c r="M256" s="40"/>
      <c r="N256" s="40"/>
      <c r="O256" s="40"/>
      <c r="P256" s="40"/>
      <c r="Q256" s="40"/>
      <c r="R256" s="40">
        <v>1</v>
      </c>
      <c r="S256" s="16">
        <f t="shared" si="64"/>
        <v>1</v>
      </c>
      <c r="T256" s="16">
        <v>100000</v>
      </c>
      <c r="U256" s="16">
        <f t="shared" si="66"/>
        <v>100000</v>
      </c>
      <c r="V256" s="4"/>
      <c r="W256" s="4"/>
      <c r="X256" s="4"/>
      <c r="Y256" s="4"/>
    </row>
    <row r="257" spans="2:25" ht="38.25" customHeight="1">
      <c r="B257" s="58">
        <v>46102</v>
      </c>
      <c r="C257" s="59" t="s">
        <v>17</v>
      </c>
      <c r="D257" s="51"/>
      <c r="E257" s="62" t="s">
        <v>101</v>
      </c>
      <c r="F257" s="5">
        <v>0.41666666666666669</v>
      </c>
      <c r="G257" s="65"/>
      <c r="H257" s="66"/>
      <c r="I257" s="34"/>
      <c r="J257" s="6" t="str">
        <f t="shared" si="63"/>
        <v/>
      </c>
      <c r="K257" s="38"/>
      <c r="L257" s="38"/>
      <c r="M257" s="38"/>
      <c r="N257" s="38"/>
      <c r="O257" s="38"/>
      <c r="P257" s="38"/>
      <c r="Q257" s="38"/>
      <c r="R257" s="38"/>
      <c r="S257" s="7">
        <f>SUM(K257:R257)</f>
        <v>0</v>
      </c>
      <c r="T257" s="7">
        <v>100000</v>
      </c>
      <c r="U257" s="7">
        <f>T257*S257</f>
        <v>0</v>
      </c>
      <c r="V257" s="4"/>
      <c r="W257" s="4"/>
      <c r="X257" s="4"/>
      <c r="Y257" s="4"/>
    </row>
    <row r="258" spans="2:25" ht="18.75">
      <c r="B258" s="58"/>
      <c r="C258" s="60"/>
      <c r="D258" s="52"/>
      <c r="E258" s="63"/>
      <c r="F258" s="8">
        <v>0.5</v>
      </c>
      <c r="G258" s="67"/>
      <c r="H258" s="68"/>
      <c r="I258" s="35"/>
      <c r="J258" s="9" t="str">
        <f t="shared" si="63"/>
        <v/>
      </c>
      <c r="K258" s="39"/>
      <c r="L258" s="39"/>
      <c r="M258" s="39"/>
      <c r="N258" s="39"/>
      <c r="O258" s="39"/>
      <c r="P258" s="39"/>
      <c r="Q258" s="39"/>
      <c r="R258" s="39"/>
      <c r="S258" s="10">
        <f t="shared" ref="S258:S268" si="67">SUM(K258:R258)</f>
        <v>0</v>
      </c>
      <c r="T258" s="10">
        <v>100000</v>
      </c>
      <c r="U258" s="10">
        <f t="shared" ref="U258:U259" si="68">T258*S258</f>
        <v>0</v>
      </c>
      <c r="V258" s="4"/>
      <c r="W258" s="4"/>
      <c r="X258" s="4"/>
      <c r="Y258" s="4"/>
    </row>
    <row r="259" spans="2:25" ht="18.75">
      <c r="B259" s="58"/>
      <c r="C259" s="60"/>
      <c r="D259" s="52"/>
      <c r="E259" s="63"/>
      <c r="F259" s="8">
        <v>0.58333333333333337</v>
      </c>
      <c r="G259" s="67"/>
      <c r="H259" s="68"/>
      <c r="I259" s="35"/>
      <c r="J259" s="9" t="str">
        <f t="shared" si="63"/>
        <v/>
      </c>
      <c r="K259" s="39"/>
      <c r="L259" s="39"/>
      <c r="M259" s="39"/>
      <c r="N259" s="39"/>
      <c r="O259" s="39"/>
      <c r="P259" s="39"/>
      <c r="Q259" s="39"/>
      <c r="R259" s="39"/>
      <c r="S259" s="10">
        <f t="shared" si="67"/>
        <v>0</v>
      </c>
      <c r="T259" s="10">
        <v>100000</v>
      </c>
      <c r="U259" s="10">
        <f t="shared" si="68"/>
        <v>0</v>
      </c>
      <c r="V259" s="4"/>
      <c r="W259" s="4"/>
      <c r="X259" s="4"/>
      <c r="Y259" s="4"/>
    </row>
    <row r="260" spans="2:25" ht="18.75">
      <c r="B260" s="58"/>
      <c r="C260" s="60"/>
      <c r="D260" s="52"/>
      <c r="E260" s="63"/>
      <c r="F260" s="8">
        <v>0.66666666666666663</v>
      </c>
      <c r="G260" s="67"/>
      <c r="H260" s="68"/>
      <c r="I260" s="35"/>
      <c r="J260" s="9" t="str">
        <f t="shared" si="63"/>
        <v/>
      </c>
      <c r="K260" s="39"/>
      <c r="L260" s="39"/>
      <c r="M260" s="39"/>
      <c r="N260" s="39"/>
      <c r="O260" s="39"/>
      <c r="P260" s="39"/>
      <c r="Q260" s="39"/>
      <c r="R260" s="39"/>
      <c r="S260" s="10">
        <f t="shared" si="67"/>
        <v>0</v>
      </c>
      <c r="T260" s="10">
        <v>100000</v>
      </c>
      <c r="U260" s="10">
        <f>T260*S260</f>
        <v>0</v>
      </c>
      <c r="V260" s="4"/>
      <c r="W260" s="4"/>
      <c r="X260" s="4"/>
      <c r="Y260" s="4"/>
    </row>
    <row r="261" spans="2:25" ht="18.75">
      <c r="B261" s="58"/>
      <c r="C261" s="60"/>
      <c r="D261" s="52"/>
      <c r="E261" s="63"/>
      <c r="F261" s="8">
        <v>0.75</v>
      </c>
      <c r="G261" s="67"/>
      <c r="H261" s="68"/>
      <c r="I261" s="35"/>
      <c r="J261" s="9" t="str">
        <f t="shared" si="63"/>
        <v/>
      </c>
      <c r="K261" s="39"/>
      <c r="L261" s="39"/>
      <c r="M261" s="39"/>
      <c r="N261" s="39"/>
      <c r="O261" s="39"/>
      <c r="P261" s="39"/>
      <c r="Q261" s="39"/>
      <c r="R261" s="39"/>
      <c r="S261" s="10">
        <f t="shared" si="67"/>
        <v>0</v>
      </c>
      <c r="T261" s="10">
        <v>100000</v>
      </c>
      <c r="U261" s="10">
        <f t="shared" ref="U261:U268" si="69">T261*S261</f>
        <v>0</v>
      </c>
      <c r="V261" s="4"/>
      <c r="W261" s="4"/>
      <c r="X261" s="11"/>
      <c r="Y261" s="4"/>
    </row>
    <row r="262" spans="2:25" ht="18.75">
      <c r="B262" s="58"/>
      <c r="C262" s="60"/>
      <c r="D262" s="53"/>
      <c r="E262" s="64"/>
      <c r="F262" s="12">
        <v>0.83333333333333337</v>
      </c>
      <c r="G262" s="67"/>
      <c r="H262" s="68"/>
      <c r="I262" s="36"/>
      <c r="J262" s="9" t="str">
        <f t="shared" si="63"/>
        <v/>
      </c>
      <c r="K262" s="41"/>
      <c r="L262" s="41"/>
      <c r="M262" s="41"/>
      <c r="N262" s="41"/>
      <c r="O262" s="41"/>
      <c r="P262" s="41"/>
      <c r="Q262" s="41"/>
      <c r="R262" s="41"/>
      <c r="S262" s="13">
        <f t="shared" si="67"/>
        <v>0</v>
      </c>
      <c r="T262" s="13">
        <v>100000</v>
      </c>
      <c r="U262" s="13">
        <f t="shared" si="69"/>
        <v>0</v>
      </c>
      <c r="V262" s="4"/>
      <c r="Y262" s="4"/>
    </row>
    <row r="263" spans="2:25" ht="18.75">
      <c r="B263" s="58"/>
      <c r="C263" s="60"/>
      <c r="D263" s="51"/>
      <c r="E263" s="62" t="s">
        <v>102</v>
      </c>
      <c r="F263" s="5">
        <v>0.91666666666666663</v>
      </c>
      <c r="G263" s="65"/>
      <c r="H263" s="66"/>
      <c r="I263" s="34"/>
      <c r="J263" s="6" t="str">
        <f t="shared" si="63"/>
        <v/>
      </c>
      <c r="K263" s="38"/>
      <c r="L263" s="38"/>
      <c r="M263" s="38"/>
      <c r="N263" s="38"/>
      <c r="O263" s="38"/>
      <c r="P263" s="38"/>
      <c r="Q263" s="38"/>
      <c r="R263" s="38"/>
      <c r="S263" s="7">
        <f t="shared" si="67"/>
        <v>0</v>
      </c>
      <c r="T263" s="7">
        <v>100000</v>
      </c>
      <c r="U263" s="7">
        <f t="shared" si="69"/>
        <v>0</v>
      </c>
      <c r="V263" s="4"/>
      <c r="Y263" s="4"/>
    </row>
    <row r="264" spans="2:25" ht="18.75">
      <c r="B264" s="58"/>
      <c r="C264" s="60"/>
      <c r="D264" s="52"/>
      <c r="E264" s="63"/>
      <c r="F264" s="8">
        <v>1</v>
      </c>
      <c r="G264" s="67"/>
      <c r="H264" s="68"/>
      <c r="I264" s="35"/>
      <c r="J264" s="9" t="str">
        <f t="shared" si="63"/>
        <v/>
      </c>
      <c r="K264" s="39"/>
      <c r="L264" s="39"/>
      <c r="M264" s="39"/>
      <c r="N264" s="39"/>
      <c r="O264" s="39"/>
      <c r="P264" s="39"/>
      <c r="Q264" s="39"/>
      <c r="R264" s="39"/>
      <c r="S264" s="10">
        <f t="shared" si="67"/>
        <v>0</v>
      </c>
      <c r="T264" s="10">
        <v>100000</v>
      </c>
      <c r="U264" s="10">
        <f t="shared" si="69"/>
        <v>0</v>
      </c>
      <c r="V264" s="4"/>
      <c r="Y264" s="4"/>
    </row>
    <row r="265" spans="2:25" ht="18.75">
      <c r="B265" s="58"/>
      <c r="C265" s="60"/>
      <c r="D265" s="52"/>
      <c r="E265" s="63"/>
      <c r="F265" s="8">
        <v>8.3333333333333329E-2</v>
      </c>
      <c r="G265" s="67"/>
      <c r="H265" s="68"/>
      <c r="I265" s="35"/>
      <c r="J265" s="9" t="str">
        <f t="shared" si="63"/>
        <v/>
      </c>
      <c r="K265" s="39"/>
      <c r="L265" s="39"/>
      <c r="M265" s="39"/>
      <c r="N265" s="39"/>
      <c r="O265" s="39"/>
      <c r="P265" s="39"/>
      <c r="Q265" s="39"/>
      <c r="R265" s="39"/>
      <c r="S265" s="10">
        <f t="shared" si="67"/>
        <v>0</v>
      </c>
      <c r="T265" s="10">
        <v>100000</v>
      </c>
      <c r="U265" s="10">
        <f t="shared" si="69"/>
        <v>0</v>
      </c>
      <c r="V265" s="4"/>
      <c r="Y265" s="4"/>
    </row>
    <row r="266" spans="2:25" ht="18.75">
      <c r="B266" s="58"/>
      <c r="C266" s="60"/>
      <c r="D266" s="52"/>
      <c r="E266" s="63"/>
      <c r="F266" s="8">
        <v>0.16666666666666666</v>
      </c>
      <c r="G266" s="67"/>
      <c r="H266" s="68"/>
      <c r="I266" s="35"/>
      <c r="J266" s="9" t="str">
        <f t="shared" si="63"/>
        <v/>
      </c>
      <c r="K266" s="39"/>
      <c r="L266" s="39"/>
      <c r="M266" s="39"/>
      <c r="N266" s="39"/>
      <c r="O266" s="39"/>
      <c r="P266" s="39"/>
      <c r="Q266" s="39"/>
      <c r="R266" s="39"/>
      <c r="S266" s="10">
        <f t="shared" si="67"/>
        <v>0</v>
      </c>
      <c r="T266" s="10">
        <v>100000</v>
      </c>
      <c r="U266" s="10">
        <f t="shared" si="69"/>
        <v>0</v>
      </c>
      <c r="V266" s="4"/>
      <c r="W266" s="4"/>
      <c r="X266" s="4"/>
      <c r="Y266" s="4"/>
    </row>
    <row r="267" spans="2:25" ht="18.75">
      <c r="B267" s="58"/>
      <c r="C267" s="60"/>
      <c r="D267" s="52"/>
      <c r="E267" s="63"/>
      <c r="F267" s="8">
        <v>0.25</v>
      </c>
      <c r="G267" s="67"/>
      <c r="H267" s="68"/>
      <c r="I267" s="35"/>
      <c r="J267" s="9" t="str">
        <f t="shared" si="63"/>
        <v/>
      </c>
      <c r="K267" s="39"/>
      <c r="L267" s="39"/>
      <c r="M267" s="39"/>
      <c r="N267" s="39"/>
      <c r="O267" s="39"/>
      <c r="P267" s="39"/>
      <c r="Q267" s="39"/>
      <c r="R267" s="39"/>
      <c r="S267" s="10">
        <f t="shared" si="67"/>
        <v>0</v>
      </c>
      <c r="T267" s="10">
        <v>100000</v>
      </c>
      <c r="U267" s="10">
        <f t="shared" si="69"/>
        <v>0</v>
      </c>
      <c r="V267" s="4"/>
      <c r="Y267" s="4"/>
    </row>
    <row r="268" spans="2:25" ht="18.75">
      <c r="B268" s="58"/>
      <c r="C268" s="61"/>
      <c r="D268" s="53"/>
      <c r="E268" s="69"/>
      <c r="F268" s="14">
        <v>0.33333333333333331</v>
      </c>
      <c r="G268" s="67"/>
      <c r="H268" s="68"/>
      <c r="I268" s="37"/>
      <c r="J268" s="15" t="str">
        <f t="shared" si="63"/>
        <v/>
      </c>
      <c r="K268" s="40"/>
      <c r="L268" s="40"/>
      <c r="M268" s="40"/>
      <c r="N268" s="40"/>
      <c r="O268" s="40"/>
      <c r="P268" s="40"/>
      <c r="Q268" s="40"/>
      <c r="R268" s="40"/>
      <c r="S268" s="16">
        <f t="shared" si="67"/>
        <v>0</v>
      </c>
      <c r="T268" s="16">
        <v>100000</v>
      </c>
      <c r="U268" s="16">
        <f t="shared" si="69"/>
        <v>0</v>
      </c>
      <c r="V268" s="4"/>
      <c r="W268" s="4"/>
      <c r="X268" s="4"/>
      <c r="Y268" s="4"/>
    </row>
    <row r="269" spans="2:25" ht="38.25" customHeight="1">
      <c r="B269" s="58">
        <v>46103</v>
      </c>
      <c r="C269" s="59" t="s">
        <v>17</v>
      </c>
      <c r="D269" s="51"/>
      <c r="E269" s="62" t="s">
        <v>101</v>
      </c>
      <c r="F269" s="5">
        <v>0.41666666666666669</v>
      </c>
      <c r="G269" s="65"/>
      <c r="H269" s="66"/>
      <c r="I269" s="34"/>
      <c r="J269" s="6" t="str">
        <f t="shared" si="63"/>
        <v/>
      </c>
      <c r="K269" s="38"/>
      <c r="L269" s="38"/>
      <c r="M269" s="38"/>
      <c r="N269" s="38"/>
      <c r="O269" s="38"/>
      <c r="P269" s="38"/>
      <c r="Q269" s="38"/>
      <c r="R269" s="38"/>
      <c r="S269" s="7">
        <f>SUM(K269:R269)</f>
        <v>0</v>
      </c>
      <c r="T269" s="7">
        <v>100000</v>
      </c>
      <c r="U269" s="7">
        <f>T269*S269</f>
        <v>0</v>
      </c>
      <c r="V269" s="4"/>
      <c r="W269" s="4"/>
      <c r="X269" s="4"/>
      <c r="Y269" s="4"/>
    </row>
    <row r="270" spans="2:25" ht="18.75">
      <c r="B270" s="58"/>
      <c r="C270" s="60"/>
      <c r="D270" s="52"/>
      <c r="E270" s="63"/>
      <c r="F270" s="8">
        <v>0.5</v>
      </c>
      <c r="G270" s="67"/>
      <c r="H270" s="68"/>
      <c r="I270" s="35"/>
      <c r="J270" s="9" t="str">
        <f t="shared" si="63"/>
        <v/>
      </c>
      <c r="K270" s="39"/>
      <c r="L270" s="39"/>
      <c r="M270" s="39"/>
      <c r="N270" s="39"/>
      <c r="O270" s="39"/>
      <c r="P270" s="39"/>
      <c r="Q270" s="39"/>
      <c r="R270" s="39"/>
      <c r="S270" s="10">
        <f t="shared" ref="S270:S280" si="70">SUM(K270:R270)</f>
        <v>0</v>
      </c>
      <c r="T270" s="10">
        <v>100000</v>
      </c>
      <c r="U270" s="10">
        <f t="shared" ref="U270:U271" si="71">T270*S270</f>
        <v>0</v>
      </c>
      <c r="V270" s="4"/>
      <c r="W270" s="4"/>
      <c r="X270" s="4"/>
      <c r="Y270" s="4"/>
    </row>
    <row r="271" spans="2:25" ht="18.75">
      <c r="B271" s="58"/>
      <c r="C271" s="60"/>
      <c r="D271" s="52"/>
      <c r="E271" s="63"/>
      <c r="F271" s="8">
        <v>0.58333333333333337</v>
      </c>
      <c r="G271" s="67"/>
      <c r="H271" s="68"/>
      <c r="I271" s="35"/>
      <c r="J271" s="9" t="str">
        <f t="shared" si="63"/>
        <v/>
      </c>
      <c r="K271" s="39"/>
      <c r="L271" s="39"/>
      <c r="M271" s="39"/>
      <c r="N271" s="39"/>
      <c r="O271" s="39"/>
      <c r="P271" s="39"/>
      <c r="Q271" s="39"/>
      <c r="R271" s="39"/>
      <c r="S271" s="10">
        <f t="shared" si="70"/>
        <v>0</v>
      </c>
      <c r="T271" s="10">
        <v>100000</v>
      </c>
      <c r="U271" s="10">
        <f t="shared" si="71"/>
        <v>0</v>
      </c>
      <c r="V271" s="4"/>
      <c r="W271" s="4"/>
      <c r="X271" s="4"/>
      <c r="Y271" s="4"/>
    </row>
    <row r="272" spans="2:25" ht="18.75">
      <c r="B272" s="58"/>
      <c r="C272" s="60"/>
      <c r="D272" s="52"/>
      <c r="E272" s="63"/>
      <c r="F272" s="8">
        <v>0.66666666666666663</v>
      </c>
      <c r="G272" s="67"/>
      <c r="H272" s="68"/>
      <c r="I272" s="35"/>
      <c r="J272" s="9" t="str">
        <f t="shared" si="63"/>
        <v/>
      </c>
      <c r="K272" s="39"/>
      <c r="L272" s="39"/>
      <c r="M272" s="39"/>
      <c r="N272" s="39"/>
      <c r="O272" s="39"/>
      <c r="P272" s="39"/>
      <c r="Q272" s="39"/>
      <c r="R272" s="39"/>
      <c r="S272" s="10">
        <f t="shared" si="70"/>
        <v>0</v>
      </c>
      <c r="T272" s="10">
        <v>100000</v>
      </c>
      <c r="U272" s="10">
        <f>T272*S272</f>
        <v>0</v>
      </c>
      <c r="V272" s="4"/>
      <c r="W272" s="4"/>
      <c r="X272" s="4"/>
      <c r="Y272" s="4"/>
    </row>
    <row r="273" spans="2:25" ht="18.75">
      <c r="B273" s="58"/>
      <c r="C273" s="60"/>
      <c r="D273" s="52"/>
      <c r="E273" s="63"/>
      <c r="F273" s="8">
        <v>0.75</v>
      </c>
      <c r="G273" s="67"/>
      <c r="H273" s="68"/>
      <c r="I273" s="35"/>
      <c r="J273" s="9" t="str">
        <f t="shared" si="63"/>
        <v/>
      </c>
      <c r="K273" s="39"/>
      <c r="L273" s="39"/>
      <c r="M273" s="39"/>
      <c r="N273" s="39"/>
      <c r="O273" s="39"/>
      <c r="P273" s="39"/>
      <c r="Q273" s="39"/>
      <c r="R273" s="39"/>
      <c r="S273" s="10">
        <f t="shared" si="70"/>
        <v>0</v>
      </c>
      <c r="T273" s="10">
        <v>100000</v>
      </c>
      <c r="U273" s="10">
        <f t="shared" ref="U273:U280" si="72">T273*S273</f>
        <v>0</v>
      </c>
      <c r="V273" s="4"/>
      <c r="W273" s="4"/>
      <c r="X273" s="11"/>
      <c r="Y273" s="4"/>
    </row>
    <row r="274" spans="2:25" ht="18.75">
      <c r="B274" s="58"/>
      <c r="C274" s="60"/>
      <c r="D274" s="53"/>
      <c r="E274" s="64"/>
      <c r="F274" s="12">
        <v>0.83333333333333337</v>
      </c>
      <c r="G274" s="67"/>
      <c r="H274" s="68"/>
      <c r="I274" s="36"/>
      <c r="J274" s="9" t="str">
        <f t="shared" si="63"/>
        <v/>
      </c>
      <c r="K274" s="41"/>
      <c r="L274" s="41"/>
      <c r="M274" s="41"/>
      <c r="N274" s="41"/>
      <c r="O274" s="41"/>
      <c r="P274" s="41"/>
      <c r="Q274" s="41"/>
      <c r="R274" s="41"/>
      <c r="S274" s="13">
        <f t="shared" si="70"/>
        <v>0</v>
      </c>
      <c r="T274" s="13">
        <v>100000</v>
      </c>
      <c r="U274" s="13">
        <f t="shared" si="72"/>
        <v>0</v>
      </c>
      <c r="V274" s="4"/>
      <c r="Y274" s="4"/>
    </row>
    <row r="275" spans="2:25" ht="18.75">
      <c r="B275" s="58"/>
      <c r="C275" s="60"/>
      <c r="D275" s="51"/>
      <c r="E275" s="62" t="s">
        <v>102</v>
      </c>
      <c r="F275" s="5">
        <v>0.91666666666666663</v>
      </c>
      <c r="G275" s="65"/>
      <c r="H275" s="66"/>
      <c r="I275" s="34"/>
      <c r="J275" s="6" t="str">
        <f t="shared" si="63"/>
        <v/>
      </c>
      <c r="K275" s="38"/>
      <c r="L275" s="38"/>
      <c r="M275" s="38"/>
      <c r="N275" s="38"/>
      <c r="O275" s="38"/>
      <c r="P275" s="38"/>
      <c r="Q275" s="38"/>
      <c r="R275" s="38"/>
      <c r="S275" s="7">
        <f t="shared" si="70"/>
        <v>0</v>
      </c>
      <c r="T275" s="7">
        <v>100000</v>
      </c>
      <c r="U275" s="7">
        <f t="shared" si="72"/>
        <v>0</v>
      </c>
      <c r="V275" s="4"/>
      <c r="Y275" s="4"/>
    </row>
    <row r="276" spans="2:25" ht="18.75">
      <c r="B276" s="58"/>
      <c r="C276" s="60"/>
      <c r="D276" s="52"/>
      <c r="E276" s="63"/>
      <c r="F276" s="8">
        <v>1</v>
      </c>
      <c r="G276" s="67"/>
      <c r="H276" s="68"/>
      <c r="I276" s="35"/>
      <c r="J276" s="9" t="str">
        <f t="shared" si="63"/>
        <v/>
      </c>
      <c r="K276" s="39"/>
      <c r="L276" s="39"/>
      <c r="M276" s="39"/>
      <c r="N276" s="39"/>
      <c r="O276" s="39"/>
      <c r="P276" s="39"/>
      <c r="Q276" s="39"/>
      <c r="R276" s="39"/>
      <c r="S276" s="10">
        <f t="shared" si="70"/>
        <v>0</v>
      </c>
      <c r="T276" s="10">
        <v>100000</v>
      </c>
      <c r="U276" s="10">
        <f t="shared" si="72"/>
        <v>0</v>
      </c>
      <c r="V276" s="4"/>
      <c r="Y276" s="4"/>
    </row>
    <row r="277" spans="2:25" ht="18.75">
      <c r="B277" s="58"/>
      <c r="C277" s="60"/>
      <c r="D277" s="52"/>
      <c r="E277" s="63"/>
      <c r="F277" s="8">
        <v>8.3333333333333329E-2</v>
      </c>
      <c r="G277" s="67"/>
      <c r="H277" s="68"/>
      <c r="I277" s="35"/>
      <c r="J277" s="9" t="str">
        <f t="shared" si="63"/>
        <v/>
      </c>
      <c r="K277" s="39"/>
      <c r="L277" s="39"/>
      <c r="M277" s="39"/>
      <c r="N277" s="39"/>
      <c r="O277" s="39"/>
      <c r="P277" s="39"/>
      <c r="Q277" s="39"/>
      <c r="R277" s="39"/>
      <c r="S277" s="10">
        <f t="shared" si="70"/>
        <v>0</v>
      </c>
      <c r="T277" s="10">
        <v>100000</v>
      </c>
      <c r="U277" s="10">
        <f t="shared" si="72"/>
        <v>0</v>
      </c>
      <c r="V277" s="4"/>
      <c r="Y277" s="4"/>
    </row>
    <row r="278" spans="2:25" ht="18.75">
      <c r="B278" s="58"/>
      <c r="C278" s="60"/>
      <c r="D278" s="52"/>
      <c r="E278" s="63"/>
      <c r="F278" s="8">
        <v>0.16666666666666666</v>
      </c>
      <c r="G278" s="67"/>
      <c r="H278" s="68"/>
      <c r="I278" s="35"/>
      <c r="J278" s="9" t="str">
        <f t="shared" si="63"/>
        <v/>
      </c>
      <c r="K278" s="39"/>
      <c r="L278" s="39"/>
      <c r="M278" s="39"/>
      <c r="N278" s="39"/>
      <c r="O278" s="39"/>
      <c r="P278" s="39"/>
      <c r="Q278" s="39"/>
      <c r="R278" s="39"/>
      <c r="S278" s="10">
        <f t="shared" si="70"/>
        <v>0</v>
      </c>
      <c r="T278" s="10">
        <v>100000</v>
      </c>
      <c r="U278" s="10">
        <f t="shared" si="72"/>
        <v>0</v>
      </c>
      <c r="V278" s="4"/>
      <c r="W278" s="4"/>
      <c r="X278" s="4"/>
      <c r="Y278" s="4"/>
    </row>
    <row r="279" spans="2:25" ht="18.75">
      <c r="B279" s="58"/>
      <c r="C279" s="60"/>
      <c r="D279" s="52"/>
      <c r="E279" s="63"/>
      <c r="F279" s="8">
        <v>0.25</v>
      </c>
      <c r="G279" s="67"/>
      <c r="H279" s="68"/>
      <c r="I279" s="35"/>
      <c r="J279" s="9" t="str">
        <f t="shared" si="63"/>
        <v/>
      </c>
      <c r="K279" s="39"/>
      <c r="L279" s="39"/>
      <c r="M279" s="39"/>
      <c r="N279" s="39"/>
      <c r="O279" s="39"/>
      <c r="P279" s="39"/>
      <c r="Q279" s="39"/>
      <c r="R279" s="39"/>
      <c r="S279" s="10">
        <f t="shared" si="70"/>
        <v>0</v>
      </c>
      <c r="T279" s="10">
        <v>100000</v>
      </c>
      <c r="U279" s="10">
        <f t="shared" si="72"/>
        <v>0</v>
      </c>
      <c r="V279" s="4"/>
      <c r="Y279" s="4"/>
    </row>
    <row r="280" spans="2:25" ht="18.75">
      <c r="B280" s="58"/>
      <c r="C280" s="61"/>
      <c r="D280" s="53"/>
      <c r="E280" s="69"/>
      <c r="F280" s="14">
        <v>0.33333333333333331</v>
      </c>
      <c r="G280" s="67"/>
      <c r="H280" s="68"/>
      <c r="I280" s="37"/>
      <c r="J280" s="15" t="str">
        <f t="shared" si="63"/>
        <v/>
      </c>
      <c r="K280" s="40"/>
      <c r="L280" s="40"/>
      <c r="M280" s="40"/>
      <c r="N280" s="40"/>
      <c r="O280" s="40"/>
      <c r="P280" s="40"/>
      <c r="Q280" s="40"/>
      <c r="R280" s="40"/>
      <c r="S280" s="16">
        <f t="shared" si="70"/>
        <v>0</v>
      </c>
      <c r="T280" s="16">
        <v>100000</v>
      </c>
      <c r="U280" s="16">
        <f t="shared" si="72"/>
        <v>0</v>
      </c>
      <c r="V280" s="4"/>
      <c r="W280" s="4"/>
      <c r="X280" s="4"/>
      <c r="Y280" s="4"/>
    </row>
  </sheetData>
  <mergeCells count="370">
    <mergeCell ref="B269:B280"/>
    <mergeCell ref="C269:C280"/>
    <mergeCell ref="E269:E274"/>
    <mergeCell ref="G269:H269"/>
    <mergeCell ref="G270:H270"/>
    <mergeCell ref="G271:H271"/>
    <mergeCell ref="G272:H272"/>
    <mergeCell ref="G273:H273"/>
    <mergeCell ref="G274:H274"/>
    <mergeCell ref="E275:E280"/>
    <mergeCell ref="G275:H275"/>
    <mergeCell ref="G276:H276"/>
    <mergeCell ref="G277:H277"/>
    <mergeCell ref="G278:H278"/>
    <mergeCell ref="G279:H279"/>
    <mergeCell ref="G280:H280"/>
    <mergeCell ref="B257:B268"/>
    <mergeCell ref="C257:C268"/>
    <mergeCell ref="E257:E262"/>
    <mergeCell ref="G257:H257"/>
    <mergeCell ref="G258:H258"/>
    <mergeCell ref="G259:H259"/>
    <mergeCell ref="G260:H260"/>
    <mergeCell ref="G261:H261"/>
    <mergeCell ref="G262:H262"/>
    <mergeCell ref="E263:E268"/>
    <mergeCell ref="G263:H263"/>
    <mergeCell ref="G264:H264"/>
    <mergeCell ref="G265:H265"/>
    <mergeCell ref="G266:H266"/>
    <mergeCell ref="G267:H267"/>
    <mergeCell ref="G268:H268"/>
    <mergeCell ref="B245:B256"/>
    <mergeCell ref="C245:C256"/>
    <mergeCell ref="E245:E250"/>
    <mergeCell ref="G245:H245"/>
    <mergeCell ref="G246:H246"/>
    <mergeCell ref="G247:H247"/>
    <mergeCell ref="G248:H248"/>
    <mergeCell ref="G249:H249"/>
    <mergeCell ref="G250:H250"/>
    <mergeCell ref="E251:E256"/>
    <mergeCell ref="G251:H251"/>
    <mergeCell ref="G252:H252"/>
    <mergeCell ref="G253:H253"/>
    <mergeCell ref="G254:H254"/>
    <mergeCell ref="G255:H255"/>
    <mergeCell ref="G256:H256"/>
    <mergeCell ref="B197:B208"/>
    <mergeCell ref="C197:C208"/>
    <mergeCell ref="E197:E202"/>
    <mergeCell ref="G197:H197"/>
    <mergeCell ref="G198:H198"/>
    <mergeCell ref="G199:H199"/>
    <mergeCell ref="G200:H200"/>
    <mergeCell ref="G201:H201"/>
    <mergeCell ref="G202:H202"/>
    <mergeCell ref="E203:E208"/>
    <mergeCell ref="G203:H203"/>
    <mergeCell ref="G204:H204"/>
    <mergeCell ref="G205:H205"/>
    <mergeCell ref="G206:H206"/>
    <mergeCell ref="G207:H207"/>
    <mergeCell ref="G208:H208"/>
    <mergeCell ref="B185:B196"/>
    <mergeCell ref="C185:C196"/>
    <mergeCell ref="E185:E190"/>
    <mergeCell ref="G185:H185"/>
    <mergeCell ref="G186:H186"/>
    <mergeCell ref="G187:H187"/>
    <mergeCell ref="G188:H188"/>
    <mergeCell ref="G189:H189"/>
    <mergeCell ref="G190:H190"/>
    <mergeCell ref="E191:E196"/>
    <mergeCell ref="G191:H191"/>
    <mergeCell ref="G192:H192"/>
    <mergeCell ref="G193:H193"/>
    <mergeCell ref="G194:H194"/>
    <mergeCell ref="G195:H195"/>
    <mergeCell ref="G196:H196"/>
    <mergeCell ref="B173:B184"/>
    <mergeCell ref="C173:C184"/>
    <mergeCell ref="E173:E178"/>
    <mergeCell ref="G173:H173"/>
    <mergeCell ref="G174:H174"/>
    <mergeCell ref="G175:H175"/>
    <mergeCell ref="G176:H176"/>
    <mergeCell ref="G177:H177"/>
    <mergeCell ref="G178:H178"/>
    <mergeCell ref="E179:E184"/>
    <mergeCell ref="G179:H179"/>
    <mergeCell ref="G180:H180"/>
    <mergeCell ref="G181:H181"/>
    <mergeCell ref="G182:H182"/>
    <mergeCell ref="G183:H183"/>
    <mergeCell ref="G184:H184"/>
    <mergeCell ref="B161:B172"/>
    <mergeCell ref="C161:C172"/>
    <mergeCell ref="E161:E166"/>
    <mergeCell ref="G161:H161"/>
    <mergeCell ref="G162:H162"/>
    <mergeCell ref="G163:H163"/>
    <mergeCell ref="G164:H164"/>
    <mergeCell ref="G165:H165"/>
    <mergeCell ref="G166:H166"/>
    <mergeCell ref="E167:E172"/>
    <mergeCell ref="G167:H167"/>
    <mergeCell ref="G168:H168"/>
    <mergeCell ref="G169:H169"/>
    <mergeCell ref="G170:H170"/>
    <mergeCell ref="G171:H171"/>
    <mergeCell ref="G172:H172"/>
    <mergeCell ref="B4:U4"/>
    <mergeCell ref="B8:U8"/>
    <mergeCell ref="B2:U2"/>
    <mergeCell ref="B17:B28"/>
    <mergeCell ref="C17:C28"/>
    <mergeCell ref="E17:E22"/>
    <mergeCell ref="E23:E28"/>
    <mergeCell ref="S14:U14"/>
    <mergeCell ref="B15:B16"/>
    <mergeCell ref="C15:C16"/>
    <mergeCell ref="E15:E16"/>
    <mergeCell ref="F15:F16"/>
    <mergeCell ref="I15:J15"/>
    <mergeCell ref="K15:S15"/>
    <mergeCell ref="T15:U15"/>
    <mergeCell ref="E59:E64"/>
    <mergeCell ref="B65:B76"/>
    <mergeCell ref="C65:C76"/>
    <mergeCell ref="E65:E70"/>
    <mergeCell ref="E71:E76"/>
    <mergeCell ref="B29:B40"/>
    <mergeCell ref="C29:C40"/>
    <mergeCell ref="E29:E34"/>
    <mergeCell ref="E35:E40"/>
    <mergeCell ref="B41:B52"/>
    <mergeCell ref="C41:C52"/>
    <mergeCell ref="E41:E46"/>
    <mergeCell ref="E47:E52"/>
    <mergeCell ref="B125:B136"/>
    <mergeCell ref="C125:C136"/>
    <mergeCell ref="E125:E130"/>
    <mergeCell ref="E131:E136"/>
    <mergeCell ref="D15:D16"/>
    <mergeCell ref="B101:B112"/>
    <mergeCell ref="C101:C112"/>
    <mergeCell ref="E101:E106"/>
    <mergeCell ref="E107:E112"/>
    <mergeCell ref="B113:B124"/>
    <mergeCell ref="C113:C124"/>
    <mergeCell ref="E113:E118"/>
    <mergeCell ref="E119:E124"/>
    <mergeCell ref="B77:B88"/>
    <mergeCell ref="C77:C88"/>
    <mergeCell ref="E77:E82"/>
    <mergeCell ref="E83:E88"/>
    <mergeCell ref="B89:B100"/>
    <mergeCell ref="C89:C100"/>
    <mergeCell ref="E89:E94"/>
    <mergeCell ref="E95:E100"/>
    <mergeCell ref="B53:B64"/>
    <mergeCell ref="C53:C64"/>
    <mergeCell ref="E53:E58"/>
    <mergeCell ref="G30:H30"/>
    <mergeCell ref="G31:H31"/>
    <mergeCell ref="G32:H32"/>
    <mergeCell ref="G33:H33"/>
    <mergeCell ref="G34:H34"/>
    <mergeCell ref="G15:H16"/>
    <mergeCell ref="G17:H17"/>
    <mergeCell ref="G18:H18"/>
    <mergeCell ref="G19:H19"/>
    <mergeCell ref="G20:H20"/>
    <mergeCell ref="G21:H21"/>
    <mergeCell ref="G22:H22"/>
    <mergeCell ref="G23:H23"/>
    <mergeCell ref="G24:H24"/>
    <mergeCell ref="G25:H25"/>
    <mergeCell ref="G26:H26"/>
    <mergeCell ref="G27:H27"/>
    <mergeCell ref="G28:H28"/>
    <mergeCell ref="G29:H29"/>
    <mergeCell ref="G40:H40"/>
    <mergeCell ref="G41:H41"/>
    <mergeCell ref="G42:H42"/>
    <mergeCell ref="G43:H43"/>
    <mergeCell ref="G44:H44"/>
    <mergeCell ref="G35:H35"/>
    <mergeCell ref="G36:H36"/>
    <mergeCell ref="G37:H37"/>
    <mergeCell ref="G38:H38"/>
    <mergeCell ref="G39:H39"/>
    <mergeCell ref="G50:H50"/>
    <mergeCell ref="G51:H51"/>
    <mergeCell ref="G52:H52"/>
    <mergeCell ref="G53:H53"/>
    <mergeCell ref="G54:H54"/>
    <mergeCell ref="G45:H45"/>
    <mergeCell ref="G46:H46"/>
    <mergeCell ref="G47:H47"/>
    <mergeCell ref="G48:H48"/>
    <mergeCell ref="G49:H49"/>
    <mergeCell ref="G60:H60"/>
    <mergeCell ref="G61:H61"/>
    <mergeCell ref="G62:H62"/>
    <mergeCell ref="G63:H63"/>
    <mergeCell ref="G64:H64"/>
    <mergeCell ref="G55:H55"/>
    <mergeCell ref="G56:H56"/>
    <mergeCell ref="G57:H57"/>
    <mergeCell ref="G58:H58"/>
    <mergeCell ref="G59:H59"/>
    <mergeCell ref="G70:H70"/>
    <mergeCell ref="G71:H71"/>
    <mergeCell ref="G72:H72"/>
    <mergeCell ref="G73:H73"/>
    <mergeCell ref="G74:H74"/>
    <mergeCell ref="G65:H65"/>
    <mergeCell ref="G66:H66"/>
    <mergeCell ref="G67:H67"/>
    <mergeCell ref="G68:H68"/>
    <mergeCell ref="G69:H69"/>
    <mergeCell ref="G80:H80"/>
    <mergeCell ref="G81:H81"/>
    <mergeCell ref="G82:H82"/>
    <mergeCell ref="G83:H83"/>
    <mergeCell ref="G84:H84"/>
    <mergeCell ref="G75:H75"/>
    <mergeCell ref="G76:H76"/>
    <mergeCell ref="G77:H77"/>
    <mergeCell ref="G78:H78"/>
    <mergeCell ref="G79:H79"/>
    <mergeCell ref="G90:H90"/>
    <mergeCell ref="G91:H91"/>
    <mergeCell ref="G92:H92"/>
    <mergeCell ref="G93:H93"/>
    <mergeCell ref="G94:H94"/>
    <mergeCell ref="G85:H85"/>
    <mergeCell ref="G86:H86"/>
    <mergeCell ref="G87:H87"/>
    <mergeCell ref="G88:H88"/>
    <mergeCell ref="G89:H89"/>
    <mergeCell ref="G100:H100"/>
    <mergeCell ref="G101:H101"/>
    <mergeCell ref="G102:H102"/>
    <mergeCell ref="G103:H103"/>
    <mergeCell ref="G104:H104"/>
    <mergeCell ref="G95:H95"/>
    <mergeCell ref="G96:H96"/>
    <mergeCell ref="G97:H97"/>
    <mergeCell ref="G98:H98"/>
    <mergeCell ref="G99:H99"/>
    <mergeCell ref="G117:H117"/>
    <mergeCell ref="G118:H118"/>
    <mergeCell ref="G119:H119"/>
    <mergeCell ref="G110:H110"/>
    <mergeCell ref="G111:H111"/>
    <mergeCell ref="G112:H112"/>
    <mergeCell ref="G113:H113"/>
    <mergeCell ref="G114:H114"/>
    <mergeCell ref="G105:H105"/>
    <mergeCell ref="G106:H106"/>
    <mergeCell ref="G107:H107"/>
    <mergeCell ref="G108:H108"/>
    <mergeCell ref="G109:H109"/>
    <mergeCell ref="G135:H135"/>
    <mergeCell ref="G136:H136"/>
    <mergeCell ref="D6:J6"/>
    <mergeCell ref="M6:U6"/>
    <mergeCell ref="D7:K7"/>
    <mergeCell ref="M7:U7"/>
    <mergeCell ref="B13:U13"/>
    <mergeCell ref="G130:H130"/>
    <mergeCell ref="G131:H131"/>
    <mergeCell ref="G132:H132"/>
    <mergeCell ref="G133:H133"/>
    <mergeCell ref="G134:H134"/>
    <mergeCell ref="G125:H125"/>
    <mergeCell ref="G126:H126"/>
    <mergeCell ref="G127:H127"/>
    <mergeCell ref="G128:H128"/>
    <mergeCell ref="G129:H129"/>
    <mergeCell ref="G120:H120"/>
    <mergeCell ref="G121:H121"/>
    <mergeCell ref="G122:H122"/>
    <mergeCell ref="G123:H123"/>
    <mergeCell ref="G124:H124"/>
    <mergeCell ref="G115:H115"/>
    <mergeCell ref="G116:H116"/>
    <mergeCell ref="G147:H147"/>
    <mergeCell ref="G148:H148"/>
    <mergeCell ref="B137:B148"/>
    <mergeCell ref="C137:C148"/>
    <mergeCell ref="E137:E142"/>
    <mergeCell ref="G137:H137"/>
    <mergeCell ref="G138:H138"/>
    <mergeCell ref="G139:H139"/>
    <mergeCell ref="G140:H140"/>
    <mergeCell ref="G141:H141"/>
    <mergeCell ref="G142:H142"/>
    <mergeCell ref="E143:E148"/>
    <mergeCell ref="G143:H143"/>
    <mergeCell ref="G144:H144"/>
    <mergeCell ref="G145:H145"/>
    <mergeCell ref="G146:H146"/>
    <mergeCell ref="B149:B160"/>
    <mergeCell ref="C149:C160"/>
    <mergeCell ref="E149:E154"/>
    <mergeCell ref="G149:H149"/>
    <mergeCell ref="G150:H150"/>
    <mergeCell ref="G151:H151"/>
    <mergeCell ref="G152:H152"/>
    <mergeCell ref="G153:H153"/>
    <mergeCell ref="G154:H154"/>
    <mergeCell ref="E155:E160"/>
    <mergeCell ref="G155:H155"/>
    <mergeCell ref="G156:H156"/>
    <mergeCell ref="G157:H157"/>
    <mergeCell ref="G158:H158"/>
    <mergeCell ref="G159:H159"/>
    <mergeCell ref="G160:H160"/>
    <mergeCell ref="B209:B220"/>
    <mergeCell ref="C209:C220"/>
    <mergeCell ref="E209:E214"/>
    <mergeCell ref="G209:H209"/>
    <mergeCell ref="G210:H210"/>
    <mergeCell ref="G211:H211"/>
    <mergeCell ref="G212:H212"/>
    <mergeCell ref="G213:H213"/>
    <mergeCell ref="G214:H214"/>
    <mergeCell ref="E215:E220"/>
    <mergeCell ref="G215:H215"/>
    <mergeCell ref="G216:H216"/>
    <mergeCell ref="G217:H217"/>
    <mergeCell ref="G218:H218"/>
    <mergeCell ref="G219:H219"/>
    <mergeCell ref="G220:H220"/>
    <mergeCell ref="B221:B232"/>
    <mergeCell ref="C221:C232"/>
    <mergeCell ref="E221:E226"/>
    <mergeCell ref="G221:H221"/>
    <mergeCell ref="G222:H222"/>
    <mergeCell ref="G223:H223"/>
    <mergeCell ref="G224:H224"/>
    <mergeCell ref="G225:H225"/>
    <mergeCell ref="G226:H226"/>
    <mergeCell ref="E227:E232"/>
    <mergeCell ref="G227:H227"/>
    <mergeCell ref="G228:H228"/>
    <mergeCell ref="G229:H229"/>
    <mergeCell ref="G230:H230"/>
    <mergeCell ref="G231:H231"/>
    <mergeCell ref="G232:H232"/>
    <mergeCell ref="B233:B244"/>
    <mergeCell ref="C233:C244"/>
    <mergeCell ref="E233:E238"/>
    <mergeCell ref="G233:H233"/>
    <mergeCell ref="G234:H234"/>
    <mergeCell ref="G235:H235"/>
    <mergeCell ref="G236:H236"/>
    <mergeCell ref="G237:H237"/>
    <mergeCell ref="G238:H238"/>
    <mergeCell ref="E239:E244"/>
    <mergeCell ref="G239:H239"/>
    <mergeCell ref="G240:H240"/>
    <mergeCell ref="G241:H241"/>
    <mergeCell ref="G242:H242"/>
    <mergeCell ref="G243:H243"/>
    <mergeCell ref="G244:H244"/>
  </mergeCells>
  <phoneticPr fontId="1" type="noConversion"/>
  <dataValidations count="6">
    <dataValidation type="list" allowBlank="1" showInputMessage="1" showErrorMessage="1" sqref="G17:G22 G29:G34 G41:G46 G53:G58 G65:G70 G137:G142 G89:G94 G101:G106 G77:G82 G113:G118 G125:G130 G149:G154 G233:G238 G161:G166 G185:G190 G173:G178 G197:G202 G209:G214 G221:G226 G269:G274 G245:G250 G257:G262" xr:uid="{6C067AEE-CAB5-43E2-AD1F-B5005E3CCCA2}">
      <formula1>$C$11:$S$11</formula1>
    </dataValidation>
    <dataValidation type="list" allowBlank="1" showInputMessage="1" showErrorMessage="1" sqref="C6" xr:uid="{A5564117-42A0-4DC2-BF02-96FBD92CB783}">
      <formula1>$X$2:$X$7</formula1>
    </dataValidation>
    <dataValidation type="list" allowBlank="1" showInputMessage="1" showErrorMessage="1" sqref="C125 C17 C29 C41 C53 C65 C77 C89 C101 C113 C137 C149 C161 C173 C185 C197 C209 C221 C233 C245 C257 C269" xr:uid="{58553C05-1849-4CDA-B0E2-3B094F9E4BDA}">
      <formula1>$X$17:$X$21</formula1>
    </dataValidation>
    <dataValidation type="list" allowBlank="1" showInputMessage="1" showErrorMessage="1" sqref="E17 E23 E29 E41 E53 E65 E77 E89 E101 E113 E125 E137 E35 E47 E59 E71 E83 E95 E107 E119 E131 E143 E149 E155 E161 E167 E173 E179 E185 E191 E197 E203 E209 E215 E221 E227 E233 E239 E245 E251 E257 E263 E269 E275" xr:uid="{4EF1C21A-7E2D-4C07-B707-9FC1DBBAF8B9}">
      <formula1>$X$22:$X$23</formula1>
    </dataValidation>
    <dataValidation type="list" allowBlank="1" showInputMessage="1" showErrorMessage="1" sqref="D17:D280" xr:uid="{7E874D98-D5E9-44FC-BBBE-1D6FB0116A76}">
      <formula1>$Z$21:$Z$61</formula1>
    </dataValidation>
    <dataValidation type="list" allowBlank="1" showInputMessage="1" showErrorMessage="1" sqref="G23:H28 G35:H40 G47:H52 G59:H64 G71:H76 G203:H208 G83:H88 G107:H112 G119:H124 G95:H100 G131:H136 G143:H148 G155:H160 G167:H172 G191:H196 G179:H184 G227:H232 G215:H220 G239:H244 G275:H280 G263:H268 G251:H256" xr:uid="{DF8987A4-84F3-48A9-AA6D-BBB2D93082AD}">
      <formula1>$C$12:$S$12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1호기</vt:lpstr>
      <vt:lpstr>2호기</vt:lpstr>
      <vt:lpstr>3호기</vt:lpstr>
      <vt:lpstr>4호기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PL- 1</cp:lastModifiedBy>
  <dcterms:created xsi:type="dcterms:W3CDTF">2015-06-05T18:17:20Z</dcterms:created>
  <dcterms:modified xsi:type="dcterms:W3CDTF">2026-03-23T03:05:20Z</dcterms:modified>
</cp:coreProperties>
</file>